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Robin\OneDrive\Documents\"/>
    </mc:Choice>
  </mc:AlternateContent>
  <xr:revisionPtr revIDLastSave="0" documentId="13_ncr:1_{A1CB3271-3D29-4776-B8B8-2ACE5DDA4E4B}" xr6:coauthVersionLast="47" xr6:coauthVersionMax="47" xr10:uidLastSave="{00000000-0000-0000-0000-000000000000}"/>
  <bookViews>
    <workbookView xWindow="-110" yWindow="-110" windowWidth="29020" windowHeight="18700" tabRatio="500" activeTab="3" xr2:uid="{00000000-000D-0000-FFFF-FFFF00000000}"/>
  </bookViews>
  <sheets>
    <sheet name="Mii List" sheetId="1" r:id="rId1"/>
    <sheet name="Relationship Analysis" sheetId="2" r:id="rId2"/>
    <sheet name="Matching Engine" sheetId="3" r:id="rId3"/>
    <sheet name="LICENSE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2" i="1" l="1"/>
  <c r="B6" i="2"/>
  <c r="H200" i="3"/>
  <c r="F200" i="3"/>
  <c r="E200" i="3"/>
  <c r="D200" i="3"/>
  <c r="C200" i="3"/>
  <c r="B200" i="3"/>
  <c r="A200" i="3"/>
  <c r="M199" i="3"/>
  <c r="L199" i="3" a="1"/>
  <c r="L199" i="3" s="1"/>
  <c r="K199" i="3"/>
  <c r="F199" i="3"/>
  <c r="E199" i="3"/>
  <c r="D199" i="3"/>
  <c r="C199" i="3"/>
  <c r="A199" i="3"/>
  <c r="M198" i="3"/>
  <c r="K198" i="3"/>
  <c r="B198" i="3"/>
  <c r="A198" i="3"/>
  <c r="M197" i="3"/>
  <c r="L197" i="3" a="1"/>
  <c r="L197" i="3" s="1"/>
  <c r="K197" i="3"/>
  <c r="J197" i="3"/>
  <c r="I197" i="3"/>
  <c r="H197" i="3"/>
  <c r="G197" i="3"/>
  <c r="F197" i="3"/>
  <c r="E197" i="3"/>
  <c r="D197" i="3"/>
  <c r="C197" i="3"/>
  <c r="A197" i="3"/>
  <c r="B197" i="3" s="1"/>
  <c r="K196" i="3"/>
  <c r="J196" i="3"/>
  <c r="I196" i="3"/>
  <c r="H196" i="3"/>
  <c r="G196" i="3"/>
  <c r="F196" i="3"/>
  <c r="E196" i="3"/>
  <c r="D196" i="3"/>
  <c r="C196" i="3"/>
  <c r="B196" i="3"/>
  <c r="A196" i="3"/>
  <c r="L195" i="3" a="1"/>
  <c r="L195" i="3" s="1"/>
  <c r="G195" i="3"/>
  <c r="E195" i="3"/>
  <c r="D195" i="3"/>
  <c r="B195" i="3"/>
  <c r="A195" i="3"/>
  <c r="A194" i="3"/>
  <c r="M193" i="3"/>
  <c r="L193" i="3" a="1"/>
  <c r="L193" i="3" s="1"/>
  <c r="K193" i="3"/>
  <c r="J193" i="3"/>
  <c r="I193" i="3"/>
  <c r="H193" i="3"/>
  <c r="G193" i="3"/>
  <c r="F193" i="3"/>
  <c r="E193" i="3"/>
  <c r="C193" i="3"/>
  <c r="A193" i="3"/>
  <c r="D193" i="3" s="1"/>
  <c r="M192" i="3"/>
  <c r="K192" i="3"/>
  <c r="I192" i="3"/>
  <c r="H192" i="3"/>
  <c r="F192" i="3"/>
  <c r="E192" i="3"/>
  <c r="C192" i="3"/>
  <c r="B192" i="3"/>
  <c r="A192" i="3"/>
  <c r="A191" i="3"/>
  <c r="M190" i="3"/>
  <c r="L190" i="3" a="1"/>
  <c r="L190" i="3" s="1"/>
  <c r="K190" i="3"/>
  <c r="I190" i="3"/>
  <c r="G190" i="3"/>
  <c r="F190" i="3"/>
  <c r="E190" i="3"/>
  <c r="D190" i="3"/>
  <c r="C190" i="3"/>
  <c r="B190" i="3"/>
  <c r="A190" i="3"/>
  <c r="L189" i="3" a="1"/>
  <c r="L189" i="3" s="1"/>
  <c r="K189" i="3"/>
  <c r="J189" i="3"/>
  <c r="I189" i="3"/>
  <c r="G189" i="3"/>
  <c r="D189" i="3"/>
  <c r="C189" i="3"/>
  <c r="B189" i="3"/>
  <c r="A189" i="3"/>
  <c r="H188" i="3"/>
  <c r="E188" i="3"/>
  <c r="D188" i="3"/>
  <c r="C188" i="3"/>
  <c r="A188" i="3"/>
  <c r="F187" i="3"/>
  <c r="A187" i="3"/>
  <c r="A186" i="3"/>
  <c r="J185" i="3"/>
  <c r="I185" i="3"/>
  <c r="G185" i="3"/>
  <c r="C185" i="3"/>
  <c r="B185" i="3"/>
  <c r="A185" i="3"/>
  <c r="J184" i="3"/>
  <c r="A184" i="3"/>
  <c r="M183" i="3"/>
  <c r="L183" i="3" a="1"/>
  <c r="L183" i="3" s="1"/>
  <c r="K183" i="3"/>
  <c r="J183" i="3"/>
  <c r="I183" i="3"/>
  <c r="H183" i="3"/>
  <c r="G183" i="3"/>
  <c r="F183" i="3"/>
  <c r="E183" i="3"/>
  <c r="D183" i="3"/>
  <c r="C183" i="3"/>
  <c r="B183" i="3"/>
  <c r="A183" i="3"/>
  <c r="L182" i="3" a="1"/>
  <c r="L182" i="3" s="1"/>
  <c r="K182" i="3"/>
  <c r="J182" i="3"/>
  <c r="I182" i="3"/>
  <c r="H182" i="3"/>
  <c r="G182" i="3"/>
  <c r="E182" i="3"/>
  <c r="D182" i="3"/>
  <c r="C182" i="3"/>
  <c r="B182" i="3"/>
  <c r="A182" i="3"/>
  <c r="M182" i="3" s="1"/>
  <c r="M181" i="3"/>
  <c r="K181" i="3"/>
  <c r="H181" i="3"/>
  <c r="G181" i="3"/>
  <c r="C181" i="3"/>
  <c r="A181" i="3"/>
  <c r="L180" i="3" a="1"/>
  <c r="L180" i="3" s="1"/>
  <c r="K180" i="3"/>
  <c r="B180" i="3"/>
  <c r="A180" i="3"/>
  <c r="M179" i="3"/>
  <c r="L179" i="3" a="1"/>
  <c r="L179" i="3" s="1"/>
  <c r="K179" i="3"/>
  <c r="J179" i="3"/>
  <c r="I179" i="3"/>
  <c r="H179" i="3"/>
  <c r="G179" i="3"/>
  <c r="F179" i="3"/>
  <c r="E179" i="3"/>
  <c r="D179" i="3"/>
  <c r="A179" i="3"/>
  <c r="B179" i="3" s="1"/>
  <c r="M178" i="3"/>
  <c r="K178" i="3"/>
  <c r="H178" i="3"/>
  <c r="G178" i="3"/>
  <c r="E178" i="3"/>
  <c r="A178" i="3"/>
  <c r="I177" i="3"/>
  <c r="E177" i="3"/>
  <c r="D177" i="3"/>
  <c r="A177" i="3"/>
  <c r="A176" i="3"/>
  <c r="K176" i="3" s="1"/>
  <c r="M175" i="3"/>
  <c r="L175" i="3" a="1"/>
  <c r="L175" i="3" s="1"/>
  <c r="K175" i="3"/>
  <c r="J175" i="3"/>
  <c r="I175" i="3"/>
  <c r="H175" i="3"/>
  <c r="G175" i="3"/>
  <c r="F175" i="3"/>
  <c r="E175" i="3"/>
  <c r="C175" i="3"/>
  <c r="B175" i="3"/>
  <c r="A175" i="3"/>
  <c r="D175" i="3" s="1"/>
  <c r="K174" i="3"/>
  <c r="J174" i="3"/>
  <c r="I174" i="3"/>
  <c r="H174" i="3"/>
  <c r="G174" i="3"/>
  <c r="E174" i="3"/>
  <c r="D174" i="3"/>
  <c r="C174" i="3"/>
  <c r="B174" i="3"/>
  <c r="A174" i="3"/>
  <c r="M174" i="3" s="1"/>
  <c r="L173" i="3" a="1"/>
  <c r="L173" i="3" s="1"/>
  <c r="B173" i="3"/>
  <c r="A173" i="3"/>
  <c r="A172" i="3"/>
  <c r="L171" i="3" a="1"/>
  <c r="L171" i="3" s="1"/>
  <c r="K171" i="3"/>
  <c r="I171" i="3"/>
  <c r="H171" i="3"/>
  <c r="G171" i="3"/>
  <c r="E171" i="3"/>
  <c r="D171" i="3"/>
  <c r="B171" i="3"/>
  <c r="A171" i="3"/>
  <c r="J170" i="3"/>
  <c r="I170" i="3"/>
  <c r="H170" i="3"/>
  <c r="G170" i="3"/>
  <c r="F170" i="3"/>
  <c r="E170" i="3"/>
  <c r="D170" i="3"/>
  <c r="C170" i="3"/>
  <c r="A170" i="3"/>
  <c r="M169" i="3"/>
  <c r="L169" i="3" a="1"/>
  <c r="L169" i="3" s="1"/>
  <c r="K169" i="3"/>
  <c r="J169" i="3"/>
  <c r="E169" i="3"/>
  <c r="D169" i="3"/>
  <c r="C169" i="3"/>
  <c r="B169" i="3"/>
  <c r="A169" i="3"/>
  <c r="M168" i="3"/>
  <c r="L168" i="3" a="1"/>
  <c r="L168" i="3" s="1"/>
  <c r="K168" i="3"/>
  <c r="J168" i="3"/>
  <c r="I168" i="3"/>
  <c r="H168" i="3"/>
  <c r="G168" i="3"/>
  <c r="F168" i="3"/>
  <c r="E168" i="3"/>
  <c r="B168" i="3"/>
  <c r="A168" i="3"/>
  <c r="D168" i="3" s="1"/>
  <c r="M167" i="3"/>
  <c r="K167" i="3"/>
  <c r="J167" i="3"/>
  <c r="I167" i="3"/>
  <c r="F167" i="3"/>
  <c r="E167" i="3"/>
  <c r="D167" i="3"/>
  <c r="C167" i="3"/>
  <c r="A167" i="3"/>
  <c r="H166" i="3"/>
  <c r="G166" i="3"/>
  <c r="F166" i="3"/>
  <c r="C166" i="3"/>
  <c r="B166" i="3"/>
  <c r="A166" i="3"/>
  <c r="M165" i="3"/>
  <c r="K165" i="3"/>
  <c r="I165" i="3"/>
  <c r="F165" i="3"/>
  <c r="D165" i="3"/>
  <c r="B165" i="3"/>
  <c r="A165" i="3"/>
  <c r="J165" i="3" s="1"/>
  <c r="A164" i="3"/>
  <c r="L163" i="3" a="1"/>
  <c r="L163" i="3" s="1"/>
  <c r="K163" i="3"/>
  <c r="I163" i="3"/>
  <c r="G163" i="3"/>
  <c r="F163" i="3"/>
  <c r="E163" i="3"/>
  <c r="D163" i="3"/>
  <c r="C163" i="3"/>
  <c r="A163" i="3"/>
  <c r="A162" i="3"/>
  <c r="M162" i="3" s="1"/>
  <c r="L161" i="3" a="1"/>
  <c r="L161" i="3" s="1"/>
  <c r="J161" i="3"/>
  <c r="I161" i="3"/>
  <c r="E161" i="3"/>
  <c r="C161" i="3"/>
  <c r="A161" i="3"/>
  <c r="K161" i="3" s="1"/>
  <c r="M160" i="3"/>
  <c r="L160" i="3" a="1"/>
  <c r="L160" i="3" s="1"/>
  <c r="K160" i="3"/>
  <c r="J160" i="3"/>
  <c r="I160" i="3"/>
  <c r="H160" i="3"/>
  <c r="G160" i="3"/>
  <c r="F160" i="3"/>
  <c r="E160" i="3"/>
  <c r="D160" i="3"/>
  <c r="C160" i="3"/>
  <c r="B160" i="3"/>
  <c r="A160" i="3"/>
  <c r="K159" i="3"/>
  <c r="J159" i="3"/>
  <c r="I159" i="3"/>
  <c r="C159" i="3"/>
  <c r="A159" i="3"/>
  <c r="L158" i="3" a="1"/>
  <c r="L158" i="3" s="1"/>
  <c r="I158" i="3"/>
  <c r="F158" i="3"/>
  <c r="C158" i="3"/>
  <c r="A158" i="3"/>
  <c r="A157" i="3"/>
  <c r="M156" i="3"/>
  <c r="L156" i="3" a="1"/>
  <c r="L156" i="3" s="1"/>
  <c r="K156" i="3"/>
  <c r="J156" i="3"/>
  <c r="I156" i="3"/>
  <c r="H156" i="3"/>
  <c r="G156" i="3"/>
  <c r="F156" i="3"/>
  <c r="E156" i="3"/>
  <c r="D156" i="3"/>
  <c r="C156" i="3"/>
  <c r="B156" i="3"/>
  <c r="A156" i="3"/>
  <c r="J155" i="3"/>
  <c r="G155" i="3"/>
  <c r="F155" i="3"/>
  <c r="E155" i="3"/>
  <c r="D155" i="3"/>
  <c r="B155" i="3"/>
  <c r="A155" i="3"/>
  <c r="M154" i="3"/>
  <c r="L154" i="3" a="1"/>
  <c r="L154" i="3" s="1"/>
  <c r="K154" i="3"/>
  <c r="G154" i="3"/>
  <c r="E154" i="3"/>
  <c r="D154" i="3"/>
  <c r="C154" i="3"/>
  <c r="B154" i="3"/>
  <c r="A154" i="3"/>
  <c r="M153" i="3"/>
  <c r="L153" i="3" a="1"/>
  <c r="L153" i="3" s="1"/>
  <c r="K153" i="3"/>
  <c r="J153" i="3"/>
  <c r="I153" i="3"/>
  <c r="H153" i="3"/>
  <c r="G153" i="3"/>
  <c r="E153" i="3"/>
  <c r="D153" i="3"/>
  <c r="B153" i="3"/>
  <c r="A153" i="3"/>
  <c r="F153" i="3" s="1"/>
  <c r="K152" i="3"/>
  <c r="J152" i="3"/>
  <c r="F152" i="3"/>
  <c r="A152" i="3"/>
  <c r="M151" i="3"/>
  <c r="K151" i="3"/>
  <c r="I151" i="3"/>
  <c r="H151" i="3"/>
  <c r="G151" i="3"/>
  <c r="F151" i="3"/>
  <c r="E151" i="3"/>
  <c r="D151" i="3"/>
  <c r="C151" i="3"/>
  <c r="B151" i="3"/>
  <c r="A151" i="3"/>
  <c r="M150" i="3"/>
  <c r="J150" i="3"/>
  <c r="D150" i="3"/>
  <c r="C150" i="3"/>
  <c r="B150" i="3"/>
  <c r="A150" i="3"/>
  <c r="L149" i="3" a="1"/>
  <c r="L149" i="3" s="1"/>
  <c r="K149" i="3"/>
  <c r="J149" i="3"/>
  <c r="D149" i="3"/>
  <c r="A149" i="3"/>
  <c r="A148" i="3"/>
  <c r="M147" i="3"/>
  <c r="L147" i="3" a="1"/>
  <c r="L147" i="3" s="1"/>
  <c r="E147" i="3"/>
  <c r="D147" i="3"/>
  <c r="A147" i="3"/>
  <c r="L146" i="3" a="1"/>
  <c r="L146" i="3" s="1"/>
  <c r="K146" i="3"/>
  <c r="J146" i="3"/>
  <c r="I146" i="3"/>
  <c r="H146" i="3"/>
  <c r="E146" i="3"/>
  <c r="C146" i="3"/>
  <c r="B146" i="3"/>
  <c r="A146" i="3"/>
  <c r="M145" i="3"/>
  <c r="L145" i="3" a="1"/>
  <c r="L145" i="3" s="1"/>
  <c r="K145" i="3"/>
  <c r="I145" i="3"/>
  <c r="H145" i="3"/>
  <c r="G145" i="3"/>
  <c r="F145" i="3"/>
  <c r="E145" i="3"/>
  <c r="D145" i="3"/>
  <c r="C145" i="3"/>
  <c r="B145" i="3"/>
  <c r="A145" i="3"/>
  <c r="J145" i="3" s="1"/>
  <c r="J144" i="3"/>
  <c r="H144" i="3"/>
  <c r="G144" i="3"/>
  <c r="E144" i="3"/>
  <c r="D144" i="3"/>
  <c r="A144" i="3"/>
  <c r="M143" i="3"/>
  <c r="L143" i="3" a="1"/>
  <c r="L143" i="3" s="1"/>
  <c r="A143" i="3"/>
  <c r="L142" i="3" a="1"/>
  <c r="L142" i="3" s="1"/>
  <c r="A142" i="3"/>
  <c r="M141" i="3"/>
  <c r="L141" i="3" a="1"/>
  <c r="L141" i="3" s="1"/>
  <c r="K141" i="3"/>
  <c r="J141" i="3"/>
  <c r="I141" i="3"/>
  <c r="H141" i="3"/>
  <c r="G141" i="3"/>
  <c r="F141" i="3"/>
  <c r="E141" i="3"/>
  <c r="D141" i="3"/>
  <c r="C141" i="3"/>
  <c r="B141" i="3"/>
  <c r="A141" i="3"/>
  <c r="K140" i="3"/>
  <c r="J140" i="3"/>
  <c r="I140" i="3"/>
  <c r="E140" i="3"/>
  <c r="D140" i="3"/>
  <c r="C140" i="3"/>
  <c r="B140" i="3"/>
  <c r="A140" i="3"/>
  <c r="G140" i="3" s="1"/>
  <c r="A139" i="3"/>
  <c r="M138" i="3"/>
  <c r="L138" i="3" a="1"/>
  <c r="L138" i="3" s="1"/>
  <c r="K138" i="3"/>
  <c r="J138" i="3"/>
  <c r="G138" i="3"/>
  <c r="A138" i="3"/>
  <c r="K137" i="3"/>
  <c r="H137" i="3"/>
  <c r="G137" i="3"/>
  <c r="F137" i="3"/>
  <c r="C137" i="3"/>
  <c r="B137" i="3"/>
  <c r="A137" i="3"/>
  <c r="I136" i="3"/>
  <c r="H136" i="3"/>
  <c r="F136" i="3"/>
  <c r="E136" i="3"/>
  <c r="D136" i="3"/>
  <c r="C136" i="3"/>
  <c r="B136" i="3"/>
  <c r="A136" i="3"/>
  <c r="K135" i="3"/>
  <c r="G135" i="3"/>
  <c r="D135" i="3"/>
  <c r="A135" i="3"/>
  <c r="M134" i="3"/>
  <c r="K134" i="3"/>
  <c r="J134" i="3"/>
  <c r="I134" i="3"/>
  <c r="H134" i="3"/>
  <c r="F134" i="3"/>
  <c r="E134" i="3"/>
  <c r="A134" i="3"/>
  <c r="I133" i="3"/>
  <c r="H133" i="3"/>
  <c r="F133" i="3"/>
  <c r="C133" i="3"/>
  <c r="B133" i="3"/>
  <c r="A133" i="3"/>
  <c r="H132" i="3"/>
  <c r="G132" i="3"/>
  <c r="F132" i="3"/>
  <c r="E132" i="3"/>
  <c r="A132" i="3"/>
  <c r="M131" i="3"/>
  <c r="L131" i="3" a="1"/>
  <c r="L131" i="3" s="1"/>
  <c r="J131" i="3"/>
  <c r="I131" i="3"/>
  <c r="E131" i="3"/>
  <c r="C131" i="3"/>
  <c r="B131" i="3"/>
  <c r="A131" i="3"/>
  <c r="M130" i="3"/>
  <c r="L130" i="3" a="1"/>
  <c r="L130" i="3" s="1"/>
  <c r="K130" i="3"/>
  <c r="J130" i="3"/>
  <c r="I130" i="3"/>
  <c r="H130" i="3"/>
  <c r="G130" i="3"/>
  <c r="F130" i="3"/>
  <c r="E130" i="3"/>
  <c r="C130" i="3"/>
  <c r="B130" i="3"/>
  <c r="A130" i="3"/>
  <c r="D130" i="3" s="1"/>
  <c r="A129" i="3"/>
  <c r="J129" i="3" s="1"/>
  <c r="L128" i="3" a="1"/>
  <c r="L128" i="3" s="1"/>
  <c r="I128" i="3"/>
  <c r="F128" i="3"/>
  <c r="E128" i="3"/>
  <c r="D128" i="3"/>
  <c r="C128" i="3"/>
  <c r="B128" i="3"/>
  <c r="A128" i="3"/>
  <c r="A127" i="3"/>
  <c r="M126" i="3"/>
  <c r="L126" i="3" a="1"/>
  <c r="L126" i="3" s="1"/>
  <c r="K126" i="3"/>
  <c r="J126" i="3"/>
  <c r="I126" i="3"/>
  <c r="H126" i="3"/>
  <c r="G126" i="3"/>
  <c r="E126" i="3"/>
  <c r="D126" i="3"/>
  <c r="C126" i="3"/>
  <c r="B126" i="3"/>
  <c r="A126" i="3"/>
  <c r="F126" i="3" s="1"/>
  <c r="H125" i="3"/>
  <c r="A125" i="3"/>
  <c r="M124" i="3"/>
  <c r="K124" i="3"/>
  <c r="H124" i="3"/>
  <c r="F124" i="3"/>
  <c r="D124" i="3"/>
  <c r="C124" i="3"/>
  <c r="B124" i="3"/>
  <c r="A124" i="3"/>
  <c r="M123" i="3"/>
  <c r="L123" i="3" a="1"/>
  <c r="L123" i="3" s="1"/>
  <c r="J123" i="3"/>
  <c r="I123" i="3"/>
  <c r="H123" i="3"/>
  <c r="F123" i="3"/>
  <c r="A123" i="3"/>
  <c r="M122" i="3"/>
  <c r="L122" i="3" a="1"/>
  <c r="L122" i="3" s="1"/>
  <c r="K122" i="3"/>
  <c r="J122" i="3"/>
  <c r="I122" i="3"/>
  <c r="G122" i="3"/>
  <c r="F122" i="3"/>
  <c r="E122" i="3"/>
  <c r="B122" i="3"/>
  <c r="A122" i="3"/>
  <c r="J121" i="3"/>
  <c r="F121" i="3"/>
  <c r="C121" i="3"/>
  <c r="B121" i="3"/>
  <c r="A121" i="3"/>
  <c r="L120" i="3" a="1"/>
  <c r="L120" i="3" s="1"/>
  <c r="K120" i="3"/>
  <c r="A120" i="3"/>
  <c r="L119" i="3" a="1"/>
  <c r="L119" i="3" s="1"/>
  <c r="K119" i="3"/>
  <c r="J119" i="3"/>
  <c r="I119" i="3"/>
  <c r="H119" i="3"/>
  <c r="G119" i="3"/>
  <c r="F119" i="3"/>
  <c r="E119" i="3"/>
  <c r="D119" i="3"/>
  <c r="B119" i="3"/>
  <c r="A119" i="3"/>
  <c r="M119" i="3" s="1"/>
  <c r="L118" i="3" a="1"/>
  <c r="L118" i="3" s="1"/>
  <c r="K118" i="3"/>
  <c r="I118" i="3"/>
  <c r="H118" i="3"/>
  <c r="F118" i="3"/>
  <c r="E118" i="3"/>
  <c r="D118" i="3"/>
  <c r="B118" i="3"/>
  <c r="A118" i="3"/>
  <c r="A117" i="3"/>
  <c r="B117" i="3" s="1"/>
  <c r="M116" i="3"/>
  <c r="K116" i="3"/>
  <c r="J116" i="3"/>
  <c r="I116" i="3"/>
  <c r="F116" i="3"/>
  <c r="C116" i="3"/>
  <c r="A116" i="3"/>
  <c r="M115" i="3"/>
  <c r="L115" i="3" a="1"/>
  <c r="L115" i="3" s="1"/>
  <c r="J115" i="3"/>
  <c r="I115" i="3"/>
  <c r="H115" i="3"/>
  <c r="G115" i="3"/>
  <c r="F115" i="3"/>
  <c r="D115" i="3"/>
  <c r="A115" i="3"/>
  <c r="L114" i="3" a="1"/>
  <c r="L114" i="3" s="1"/>
  <c r="K114" i="3"/>
  <c r="J114" i="3"/>
  <c r="I114" i="3"/>
  <c r="F114" i="3"/>
  <c r="D114" i="3"/>
  <c r="B114" i="3"/>
  <c r="A114" i="3"/>
  <c r="L113" i="3" a="1"/>
  <c r="L113" i="3" s="1"/>
  <c r="J113" i="3"/>
  <c r="A113" i="3"/>
  <c r="M112" i="3"/>
  <c r="L112" i="3" a="1"/>
  <c r="L112" i="3" s="1"/>
  <c r="J112" i="3"/>
  <c r="E112" i="3"/>
  <c r="B112" i="3"/>
  <c r="A112" i="3"/>
  <c r="M111" i="3"/>
  <c r="L111" i="3" a="1"/>
  <c r="L111" i="3" s="1"/>
  <c r="K111" i="3"/>
  <c r="J111" i="3"/>
  <c r="I111" i="3"/>
  <c r="H111" i="3"/>
  <c r="G111" i="3"/>
  <c r="F111" i="3"/>
  <c r="E111" i="3"/>
  <c r="D111" i="3"/>
  <c r="C111" i="3"/>
  <c r="B111" i="3"/>
  <c r="A111" i="3"/>
  <c r="K110" i="3"/>
  <c r="J110" i="3"/>
  <c r="I110" i="3"/>
  <c r="H110" i="3"/>
  <c r="F110" i="3"/>
  <c r="E110" i="3"/>
  <c r="D110" i="3"/>
  <c r="C110" i="3"/>
  <c r="B110" i="3"/>
  <c r="A110" i="3"/>
  <c r="M109" i="3"/>
  <c r="L109" i="3" a="1"/>
  <c r="L109" i="3" s="1"/>
  <c r="A109" i="3"/>
  <c r="M108" i="3"/>
  <c r="K108" i="3"/>
  <c r="J108" i="3"/>
  <c r="I108" i="3"/>
  <c r="H108" i="3"/>
  <c r="G108" i="3"/>
  <c r="C108" i="3"/>
  <c r="A108" i="3"/>
  <c r="J107" i="3"/>
  <c r="A107" i="3"/>
  <c r="J106" i="3"/>
  <c r="I106" i="3"/>
  <c r="H106" i="3"/>
  <c r="G106" i="3"/>
  <c r="F106" i="3"/>
  <c r="D106" i="3"/>
  <c r="B106" i="3"/>
  <c r="A106" i="3"/>
  <c r="A105" i="3"/>
  <c r="M104" i="3"/>
  <c r="L104" i="3" a="1"/>
  <c r="L104" i="3" s="1"/>
  <c r="K104" i="3"/>
  <c r="J104" i="3"/>
  <c r="I104" i="3"/>
  <c r="G104" i="3"/>
  <c r="F104" i="3"/>
  <c r="E104" i="3"/>
  <c r="B104" i="3"/>
  <c r="A104" i="3"/>
  <c r="H104" i="3" s="1"/>
  <c r="M103" i="3"/>
  <c r="L103" i="3" a="1"/>
  <c r="L103" i="3" s="1"/>
  <c r="K103" i="3"/>
  <c r="J103" i="3"/>
  <c r="I103" i="3"/>
  <c r="H103" i="3"/>
  <c r="G103" i="3"/>
  <c r="F103" i="3"/>
  <c r="E103" i="3"/>
  <c r="C103" i="3"/>
  <c r="B103" i="3"/>
  <c r="A103" i="3"/>
  <c r="D103" i="3" s="1"/>
  <c r="M102" i="3"/>
  <c r="K102" i="3"/>
  <c r="I102" i="3"/>
  <c r="H102" i="3"/>
  <c r="D102" i="3"/>
  <c r="B102" i="3"/>
  <c r="A102" i="3"/>
  <c r="J101" i="3"/>
  <c r="I101" i="3"/>
  <c r="F101" i="3"/>
  <c r="C101" i="3"/>
  <c r="A101" i="3"/>
  <c r="M100" i="3"/>
  <c r="L100" i="3" a="1"/>
  <c r="L100" i="3" s="1"/>
  <c r="K100" i="3"/>
  <c r="G100" i="3"/>
  <c r="A100" i="3"/>
  <c r="L99" i="3" a="1"/>
  <c r="L99" i="3" s="1"/>
  <c r="A99" i="3"/>
  <c r="M98" i="3"/>
  <c r="L98" i="3" a="1"/>
  <c r="L98" i="3" s="1"/>
  <c r="J98" i="3"/>
  <c r="H98" i="3"/>
  <c r="G98" i="3"/>
  <c r="F98" i="3"/>
  <c r="E98" i="3"/>
  <c r="D98" i="3"/>
  <c r="C98" i="3"/>
  <c r="A98" i="3"/>
  <c r="M97" i="3"/>
  <c r="L97" i="3" a="1"/>
  <c r="L97" i="3" s="1"/>
  <c r="K97" i="3"/>
  <c r="J97" i="3"/>
  <c r="I97" i="3"/>
  <c r="H97" i="3"/>
  <c r="E97" i="3"/>
  <c r="C97" i="3"/>
  <c r="B97" i="3"/>
  <c r="A97" i="3"/>
  <c r="M96" i="3"/>
  <c r="L96" i="3" a="1"/>
  <c r="L96" i="3" s="1"/>
  <c r="K96" i="3"/>
  <c r="J96" i="3"/>
  <c r="I96" i="3"/>
  <c r="H96" i="3"/>
  <c r="G96" i="3"/>
  <c r="F96" i="3"/>
  <c r="E96" i="3"/>
  <c r="D96" i="3"/>
  <c r="C96" i="3"/>
  <c r="B96" i="3"/>
  <c r="A96" i="3"/>
  <c r="M95" i="3"/>
  <c r="K95" i="3"/>
  <c r="J95" i="3"/>
  <c r="I95" i="3"/>
  <c r="G95" i="3"/>
  <c r="F95" i="3"/>
  <c r="E95" i="3"/>
  <c r="D95" i="3"/>
  <c r="C95" i="3"/>
  <c r="B95" i="3"/>
  <c r="A95" i="3"/>
  <c r="M94" i="3"/>
  <c r="E94" i="3"/>
  <c r="C94" i="3"/>
  <c r="B94" i="3"/>
  <c r="A94" i="3"/>
  <c r="H93" i="3"/>
  <c r="F93" i="3"/>
  <c r="D93" i="3"/>
  <c r="C93" i="3"/>
  <c r="B93" i="3"/>
  <c r="A93" i="3"/>
  <c r="L92" i="3" a="1"/>
  <c r="L92" i="3" s="1"/>
  <c r="K92" i="3"/>
  <c r="J92" i="3"/>
  <c r="I92" i="3"/>
  <c r="H92" i="3"/>
  <c r="G92" i="3"/>
  <c r="F92" i="3"/>
  <c r="E92" i="3"/>
  <c r="D92" i="3"/>
  <c r="C92" i="3"/>
  <c r="B92" i="3"/>
  <c r="A92" i="3"/>
  <c r="M92" i="3" s="1"/>
  <c r="C91" i="3"/>
  <c r="A91" i="3"/>
  <c r="L90" i="3" a="1"/>
  <c r="L90" i="3" s="1"/>
  <c r="H90" i="3"/>
  <c r="G90" i="3"/>
  <c r="F90" i="3"/>
  <c r="E90" i="3"/>
  <c r="D90" i="3"/>
  <c r="C90" i="3"/>
  <c r="A90" i="3"/>
  <c r="C89" i="3"/>
  <c r="A89" i="3"/>
  <c r="M88" i="3"/>
  <c r="L88" i="3" a="1"/>
  <c r="L88" i="3" s="1"/>
  <c r="K88" i="3"/>
  <c r="J88" i="3"/>
  <c r="I88" i="3"/>
  <c r="H88" i="3"/>
  <c r="G88" i="3"/>
  <c r="F88" i="3"/>
  <c r="E88" i="3"/>
  <c r="C88" i="3"/>
  <c r="A88" i="3"/>
  <c r="B88" i="3" s="1"/>
  <c r="H87" i="3"/>
  <c r="F87" i="3"/>
  <c r="E87" i="3"/>
  <c r="B87" i="3"/>
  <c r="A87" i="3"/>
  <c r="M86" i="3"/>
  <c r="L86" i="3" a="1"/>
  <c r="L86" i="3" s="1"/>
  <c r="B86" i="3"/>
  <c r="A86" i="3"/>
  <c r="A85" i="3"/>
  <c r="M84" i="3"/>
  <c r="L84" i="3" a="1"/>
  <c r="L84" i="3" s="1"/>
  <c r="G84" i="3"/>
  <c r="E84" i="3"/>
  <c r="C84" i="3"/>
  <c r="B84" i="3"/>
  <c r="A84" i="3"/>
  <c r="M83" i="3"/>
  <c r="K83" i="3"/>
  <c r="I83" i="3"/>
  <c r="H83" i="3"/>
  <c r="G83" i="3"/>
  <c r="F83" i="3"/>
  <c r="E83" i="3"/>
  <c r="D83" i="3"/>
  <c r="C83" i="3"/>
  <c r="A83" i="3"/>
  <c r="A82" i="3"/>
  <c r="J82" i="3" s="1"/>
  <c r="M81" i="3"/>
  <c r="L81" i="3" a="1"/>
  <c r="L81" i="3" s="1"/>
  <c r="K81" i="3"/>
  <c r="I81" i="3"/>
  <c r="H81" i="3"/>
  <c r="F81" i="3"/>
  <c r="D81" i="3"/>
  <c r="A81" i="3"/>
  <c r="L80" i="3" a="1"/>
  <c r="L80" i="3" s="1"/>
  <c r="K80" i="3"/>
  <c r="J80" i="3"/>
  <c r="I80" i="3"/>
  <c r="H80" i="3"/>
  <c r="G80" i="3"/>
  <c r="E80" i="3"/>
  <c r="D80" i="3"/>
  <c r="C80" i="3"/>
  <c r="B80" i="3"/>
  <c r="A80" i="3"/>
  <c r="F80" i="3" s="1"/>
  <c r="M79" i="3"/>
  <c r="L79" i="3" a="1"/>
  <c r="L79" i="3" s="1"/>
  <c r="A79" i="3"/>
  <c r="K78" i="3"/>
  <c r="J78" i="3"/>
  <c r="H78" i="3"/>
  <c r="E78" i="3"/>
  <c r="D78" i="3"/>
  <c r="A78" i="3"/>
  <c r="M77" i="3"/>
  <c r="L77" i="3" a="1"/>
  <c r="L77" i="3" s="1"/>
  <c r="K77" i="3"/>
  <c r="J77" i="3"/>
  <c r="I77" i="3"/>
  <c r="H77" i="3"/>
  <c r="G77" i="3"/>
  <c r="F77" i="3"/>
  <c r="E77" i="3"/>
  <c r="D77" i="3"/>
  <c r="C77" i="3"/>
  <c r="B77" i="3"/>
  <c r="A77" i="3"/>
  <c r="L76" i="3" a="1"/>
  <c r="L76" i="3" s="1"/>
  <c r="J76" i="3"/>
  <c r="G76" i="3"/>
  <c r="A76" i="3"/>
  <c r="A75" i="3"/>
  <c r="F75" i="3" s="1"/>
  <c r="M74" i="3"/>
  <c r="L74" i="3" a="1"/>
  <c r="L74" i="3" s="1"/>
  <c r="G74" i="3"/>
  <c r="D74" i="3"/>
  <c r="C74" i="3"/>
  <c r="B74" i="3"/>
  <c r="A74" i="3"/>
  <c r="L73" i="3" a="1"/>
  <c r="L73" i="3" s="1"/>
  <c r="K73" i="3"/>
  <c r="I73" i="3"/>
  <c r="H73" i="3"/>
  <c r="G73" i="3"/>
  <c r="F73" i="3"/>
  <c r="E73" i="3"/>
  <c r="D73" i="3"/>
  <c r="C73" i="3"/>
  <c r="A73" i="3"/>
  <c r="A72" i="3"/>
  <c r="J72" i="3" s="1"/>
  <c r="M71" i="3"/>
  <c r="L71" i="3" a="1"/>
  <c r="L71" i="3" s="1"/>
  <c r="K71" i="3"/>
  <c r="I71" i="3"/>
  <c r="G71" i="3"/>
  <c r="A71" i="3"/>
  <c r="H70" i="3"/>
  <c r="G70" i="3"/>
  <c r="A70" i="3"/>
  <c r="M69" i="3"/>
  <c r="L69" i="3" a="1"/>
  <c r="L69" i="3" s="1"/>
  <c r="F69" i="3"/>
  <c r="E69" i="3"/>
  <c r="D69" i="3"/>
  <c r="C69" i="3"/>
  <c r="A69" i="3"/>
  <c r="M68" i="3"/>
  <c r="L68" i="3" a="1"/>
  <c r="L68" i="3" s="1"/>
  <c r="K68" i="3"/>
  <c r="J68" i="3"/>
  <c r="I68" i="3"/>
  <c r="H68" i="3"/>
  <c r="G68" i="3"/>
  <c r="E68" i="3"/>
  <c r="C68" i="3"/>
  <c r="A68" i="3"/>
  <c r="M67" i="3"/>
  <c r="L67" i="3" a="1"/>
  <c r="L67" i="3" s="1"/>
  <c r="K67" i="3"/>
  <c r="J67" i="3"/>
  <c r="I67" i="3"/>
  <c r="H67" i="3"/>
  <c r="G67" i="3"/>
  <c r="F67" i="3"/>
  <c r="E67" i="3"/>
  <c r="D67" i="3"/>
  <c r="C67" i="3"/>
  <c r="B67" i="3"/>
  <c r="A67" i="3"/>
  <c r="M66" i="3"/>
  <c r="K66" i="3"/>
  <c r="A66" i="3"/>
  <c r="M65" i="3"/>
  <c r="L65" i="3" a="1"/>
  <c r="L65" i="3" s="1"/>
  <c r="K65" i="3"/>
  <c r="I65" i="3"/>
  <c r="G65" i="3"/>
  <c r="F65" i="3"/>
  <c r="E65" i="3"/>
  <c r="C65" i="3"/>
  <c r="B65" i="3"/>
  <c r="A65" i="3"/>
  <c r="J64" i="3"/>
  <c r="I64" i="3"/>
  <c r="H64" i="3"/>
  <c r="D64" i="3"/>
  <c r="A64" i="3"/>
  <c r="L63" i="3" a="1"/>
  <c r="L63" i="3" s="1"/>
  <c r="K63" i="3"/>
  <c r="J63" i="3"/>
  <c r="I63" i="3"/>
  <c r="H63" i="3"/>
  <c r="B63" i="3"/>
  <c r="A63" i="3"/>
  <c r="L62" i="3" a="1"/>
  <c r="L62" i="3" s="1"/>
  <c r="K62" i="3"/>
  <c r="I62" i="3"/>
  <c r="H62" i="3"/>
  <c r="G62" i="3"/>
  <c r="F62" i="3"/>
  <c r="E62" i="3"/>
  <c r="D62" i="3"/>
  <c r="C62" i="3"/>
  <c r="B62" i="3"/>
  <c r="A62" i="3"/>
  <c r="J62" i="3" s="1"/>
  <c r="M61" i="3"/>
  <c r="H61" i="3"/>
  <c r="E61" i="3"/>
  <c r="D61" i="3"/>
  <c r="A61" i="3"/>
  <c r="M60" i="3"/>
  <c r="L60" i="3" a="1"/>
  <c r="L60" i="3" s="1"/>
  <c r="K60" i="3"/>
  <c r="I60" i="3"/>
  <c r="H60" i="3"/>
  <c r="G60" i="3"/>
  <c r="F60" i="3"/>
  <c r="E60" i="3"/>
  <c r="C60" i="3"/>
  <c r="A60" i="3"/>
  <c r="B60" i="3" s="1"/>
  <c r="L59" i="3" a="1"/>
  <c r="L59" i="3" s="1"/>
  <c r="A59" i="3"/>
  <c r="K59" i="3" s="1"/>
  <c r="M58" i="3"/>
  <c r="K58" i="3"/>
  <c r="E58" i="3"/>
  <c r="D58" i="3"/>
  <c r="C58" i="3"/>
  <c r="B58" i="3"/>
  <c r="A58" i="3"/>
  <c r="L57" i="3" a="1"/>
  <c r="L57" i="3" s="1"/>
  <c r="K57" i="3"/>
  <c r="J57" i="3"/>
  <c r="I57" i="3"/>
  <c r="F57" i="3"/>
  <c r="D57" i="3"/>
  <c r="C57" i="3"/>
  <c r="B57" i="3"/>
  <c r="A57" i="3"/>
  <c r="A56" i="3"/>
  <c r="H56" i="3" s="1"/>
  <c r="L55" i="3" a="1"/>
  <c r="L55" i="3" s="1"/>
  <c r="K55" i="3"/>
  <c r="J55" i="3"/>
  <c r="I55" i="3"/>
  <c r="H55" i="3"/>
  <c r="A55" i="3"/>
  <c r="F54" i="3"/>
  <c r="E54" i="3"/>
  <c r="A54" i="3"/>
  <c r="M53" i="3"/>
  <c r="G53" i="3"/>
  <c r="E53" i="3"/>
  <c r="C53" i="3"/>
  <c r="B53" i="3"/>
  <c r="A53" i="3"/>
  <c r="M52" i="3"/>
  <c r="L52" i="3" a="1"/>
  <c r="L52" i="3" s="1"/>
  <c r="K52" i="3"/>
  <c r="J52" i="3"/>
  <c r="I52" i="3"/>
  <c r="G52" i="3"/>
  <c r="E52" i="3"/>
  <c r="D52" i="3"/>
  <c r="C52" i="3"/>
  <c r="B52" i="3"/>
  <c r="A52" i="3"/>
  <c r="F52" i="3" s="1"/>
  <c r="K51" i="3"/>
  <c r="J51" i="3"/>
  <c r="I51" i="3"/>
  <c r="G51" i="3"/>
  <c r="F51" i="3"/>
  <c r="E51" i="3"/>
  <c r="D51" i="3"/>
  <c r="A51" i="3"/>
  <c r="A50" i="3"/>
  <c r="D50" i="3" s="1"/>
  <c r="A49" i="3"/>
  <c r="D49" i="3" s="1"/>
  <c r="G49" i="3" s="1"/>
  <c r="C48" i="3"/>
  <c r="B48" i="3"/>
  <c r="A48" i="3"/>
  <c r="G47" i="3"/>
  <c r="E47" i="3"/>
  <c r="H47" i="3" s="1"/>
  <c r="C47" i="3"/>
  <c r="F47" i="3" s="1"/>
  <c r="A47" i="3"/>
  <c r="D47" i="3" s="1"/>
  <c r="A46" i="3"/>
  <c r="E46" i="3" s="1"/>
  <c r="H46" i="3" s="1"/>
  <c r="E45" i="3"/>
  <c r="C45" i="3"/>
  <c r="F45" i="3" s="1"/>
  <c r="A45" i="3"/>
  <c r="A44" i="3"/>
  <c r="E43" i="3"/>
  <c r="H43" i="3" s="1"/>
  <c r="D43" i="3"/>
  <c r="G43" i="3" s="1"/>
  <c r="C43" i="3"/>
  <c r="F43" i="3" s="1"/>
  <c r="B43" i="3"/>
  <c r="I43" i="3" s="1"/>
  <c r="A43" i="3"/>
  <c r="D42" i="3"/>
  <c r="C42" i="3"/>
  <c r="A42" i="3"/>
  <c r="B42" i="3" s="1"/>
  <c r="A41" i="3"/>
  <c r="E40" i="3"/>
  <c r="H40" i="3" s="1"/>
  <c r="A40" i="3"/>
  <c r="E39" i="3"/>
  <c r="A39" i="3"/>
  <c r="D39" i="3" s="1"/>
  <c r="G39" i="3" s="1"/>
  <c r="A38" i="3"/>
  <c r="D37" i="3"/>
  <c r="A37" i="3"/>
  <c r="C37" i="3" s="1"/>
  <c r="F37" i="3" s="1"/>
  <c r="E36" i="3"/>
  <c r="H36" i="3" s="1"/>
  <c r="D36" i="3"/>
  <c r="G36" i="3" s="1"/>
  <c r="C36" i="3"/>
  <c r="F36" i="3" s="1"/>
  <c r="B36" i="3"/>
  <c r="K36" i="3" s="1"/>
  <c r="A36" i="3"/>
  <c r="A35" i="3"/>
  <c r="D34" i="3"/>
  <c r="C34" i="3"/>
  <c r="A34" i="3"/>
  <c r="G34" i="3" s="1"/>
  <c r="A33" i="3"/>
  <c r="C33" i="3" s="1"/>
  <c r="D32" i="3"/>
  <c r="G32" i="3" s="1"/>
  <c r="B32" i="3"/>
  <c r="I32" i="3" s="1"/>
  <c r="A32" i="3"/>
  <c r="D31" i="3"/>
  <c r="G31" i="3" s="1"/>
  <c r="C31" i="3"/>
  <c r="F31" i="3" s="1"/>
  <c r="B31" i="3"/>
  <c r="I31" i="3" s="1"/>
  <c r="A31" i="3"/>
  <c r="A30" i="3"/>
  <c r="D30" i="3" s="1"/>
  <c r="A29" i="3"/>
  <c r="A28" i="3"/>
  <c r="C28" i="3" s="1"/>
  <c r="E27" i="3"/>
  <c r="H27" i="3" s="1"/>
  <c r="D27" i="3"/>
  <c r="G27" i="3" s="1"/>
  <c r="B27" i="3"/>
  <c r="A27" i="3"/>
  <c r="C27" i="3" s="1"/>
  <c r="F27" i="3" s="1"/>
  <c r="A26" i="3"/>
  <c r="E25" i="3"/>
  <c r="H25" i="3" s="1"/>
  <c r="D25" i="3"/>
  <c r="C25" i="3"/>
  <c r="F25" i="3" s="1"/>
  <c r="A25" i="3"/>
  <c r="A24" i="3"/>
  <c r="A23" i="3"/>
  <c r="C22" i="3"/>
  <c r="F22" i="3" s="1"/>
  <c r="A22" i="3"/>
  <c r="A21" i="3"/>
  <c r="E21" i="3" s="1"/>
  <c r="A20" i="3"/>
  <c r="E20" i="3" s="1"/>
  <c r="H20" i="3" s="1"/>
  <c r="A19" i="3"/>
  <c r="A18" i="3"/>
  <c r="C18" i="3" s="1"/>
  <c r="A17" i="3"/>
  <c r="E16" i="3"/>
  <c r="H16" i="3" s="1"/>
  <c r="D16" i="3"/>
  <c r="C16" i="3"/>
  <c r="B16" i="3"/>
  <c r="J16" i="3" s="1"/>
  <c r="A16" i="3"/>
  <c r="I16" i="3" s="1"/>
  <c r="A15" i="3"/>
  <c r="C15" i="3" s="1"/>
  <c r="A14" i="3"/>
  <c r="A13" i="3"/>
  <c r="A12" i="3"/>
  <c r="A11" i="3"/>
  <c r="A10" i="3"/>
  <c r="E9" i="3"/>
  <c r="H9" i="3" s="1"/>
  <c r="D9" i="3"/>
  <c r="G9" i="3" s="1"/>
  <c r="A9" i="3"/>
  <c r="C9" i="3" s="1"/>
  <c r="F9" i="3" s="1"/>
  <c r="A8" i="3"/>
  <c r="A7" i="3"/>
  <c r="A6" i="3"/>
  <c r="C6" i="3" s="1"/>
  <c r="A5" i="3"/>
  <c r="A4" i="3"/>
  <c r="E4" i="3" s="1"/>
  <c r="H4" i="3" s="1"/>
  <c r="A3" i="3"/>
  <c r="D2" i="3"/>
  <c r="C2" i="3"/>
  <c r="A2" i="3"/>
  <c r="E68" i="2"/>
  <c r="D68" i="2"/>
  <c r="C68" i="2"/>
  <c r="B68" i="2"/>
  <c r="E67" i="2"/>
  <c r="D67" i="2"/>
  <c r="C67" i="2"/>
  <c r="B67" i="2"/>
  <c r="E66" i="2"/>
  <c r="D66" i="2"/>
  <c r="C66" i="2"/>
  <c r="B66" i="2"/>
  <c r="B9" i="2"/>
  <c r="B8" i="2"/>
  <c r="B7" i="2"/>
  <c r="H5" i="1"/>
  <c r="J4" i="1"/>
  <c r="H4" i="1"/>
  <c r="J3" i="1"/>
  <c r="H3" i="1"/>
  <c r="J2" i="1"/>
  <c r="J32" i="3" l="1"/>
  <c r="J31" i="3"/>
  <c r="B47" i="3"/>
  <c r="I47" i="3" s="1"/>
  <c r="C44" i="3"/>
  <c r="B44" i="3"/>
  <c r="D44" i="3"/>
  <c r="G44" i="3" s="1"/>
  <c r="F44" i="3"/>
  <c r="J43" i="3"/>
  <c r="E42" i="3"/>
  <c r="H42" i="3" s="1"/>
  <c r="G41" i="3"/>
  <c r="D41" i="3"/>
  <c r="B40" i="3"/>
  <c r="I40" i="3" s="1"/>
  <c r="C40" i="3"/>
  <c r="F40" i="3" s="1"/>
  <c r="D40" i="3"/>
  <c r="G40" i="3" s="1"/>
  <c r="B39" i="3"/>
  <c r="K39" i="3" s="1"/>
  <c r="B38" i="3"/>
  <c r="J38" i="3" s="1"/>
  <c r="D38" i="3"/>
  <c r="G38" i="3" s="1"/>
  <c r="E38" i="3"/>
  <c r="H38" i="3" s="1"/>
  <c r="C38" i="3"/>
  <c r="F38" i="3" s="1"/>
  <c r="B37" i="3"/>
  <c r="I37" i="3" s="1"/>
  <c r="B34" i="3"/>
  <c r="I34" i="3" s="1"/>
  <c r="E34" i="3"/>
  <c r="H34" i="3" s="1"/>
  <c r="F34" i="3"/>
  <c r="E31" i="3"/>
  <c r="H31" i="3" s="1"/>
  <c r="K31" i="3"/>
  <c r="B25" i="3"/>
  <c r="J25" i="3" s="1"/>
  <c r="G25" i="3"/>
  <c r="B23" i="3"/>
  <c r="K23" i="3" s="1"/>
  <c r="D23" i="3"/>
  <c r="G23" i="3" s="1"/>
  <c r="I23" i="3"/>
  <c r="B22" i="3"/>
  <c r="I22" i="3" s="1"/>
  <c r="D22" i="3"/>
  <c r="G22" i="3" s="1"/>
  <c r="E22" i="3"/>
  <c r="H22" i="3" s="1"/>
  <c r="D18" i="3"/>
  <c r="G18" i="3" s="1"/>
  <c r="B18" i="3"/>
  <c r="F18" i="3"/>
  <c r="E18" i="3"/>
  <c r="H18" i="3" s="1"/>
  <c r="F16" i="3"/>
  <c r="G16" i="3"/>
  <c r="B14" i="3"/>
  <c r="I14" i="3" s="1"/>
  <c r="D14" i="3"/>
  <c r="G14" i="3" s="1"/>
  <c r="B13" i="3"/>
  <c r="J13" i="3" s="1"/>
  <c r="C13" i="3"/>
  <c r="F13" i="3" s="1"/>
  <c r="D13" i="3"/>
  <c r="E13" i="3"/>
  <c r="H13" i="3" s="1"/>
  <c r="B9" i="3"/>
  <c r="J9" i="3" s="1"/>
  <c r="D7" i="3"/>
  <c r="E7" i="3"/>
  <c r="H7" i="3" s="1"/>
  <c r="G7" i="3"/>
  <c r="B7" i="3"/>
  <c r="J7" i="3" s="1"/>
  <c r="C7" i="3"/>
  <c r="F7" i="3" s="1"/>
  <c r="B5" i="3"/>
  <c r="I5" i="3" s="1"/>
  <c r="D5" i="3"/>
  <c r="G5" i="3"/>
  <c r="B4" i="3"/>
  <c r="C4" i="3"/>
  <c r="F4" i="3" s="1"/>
  <c r="D4" i="3"/>
  <c r="G4" i="3" s="1"/>
  <c r="B3" i="3"/>
  <c r="K3" i="3" s="1"/>
  <c r="D3" i="3"/>
  <c r="G3" i="3" s="1"/>
  <c r="E3" i="3"/>
  <c r="H3" i="3" s="1"/>
  <c r="C9" i="2"/>
  <c r="I105" i="3"/>
  <c r="H105" i="3"/>
  <c r="F105" i="3"/>
  <c r="J105" i="3"/>
  <c r="L105" i="3" a="1"/>
  <c r="L105" i="3" s="1"/>
  <c r="K105" i="3"/>
  <c r="E105" i="3"/>
  <c r="M105" i="3"/>
  <c r="G105" i="3"/>
  <c r="D105" i="3"/>
  <c r="B105" i="3"/>
  <c r="C105" i="3"/>
  <c r="D148" i="3"/>
  <c r="M148" i="3"/>
  <c r="K148" i="3"/>
  <c r="F148" i="3"/>
  <c r="J148" i="3"/>
  <c r="H148" i="3"/>
  <c r="I148" i="3"/>
  <c r="G148" i="3"/>
  <c r="E148" i="3"/>
  <c r="C148" i="3"/>
  <c r="L148" i="3" a="1"/>
  <c r="L148" i="3" s="1"/>
  <c r="B148" i="3"/>
  <c r="K9" i="3"/>
  <c r="I120" i="3"/>
  <c r="H120" i="3"/>
  <c r="F120" i="3"/>
  <c r="G120" i="3"/>
  <c r="D120" i="3"/>
  <c r="M120" i="3"/>
  <c r="J120" i="3"/>
  <c r="J127" i="3"/>
  <c r="F127" i="3"/>
  <c r="E127" i="3"/>
  <c r="C127" i="3"/>
  <c r="I127" i="3"/>
  <c r="H127" i="3"/>
  <c r="M127" i="3"/>
  <c r="D127" i="3"/>
  <c r="L127" i="3" a="1"/>
  <c r="L127" i="3" s="1"/>
  <c r="K127" i="3"/>
  <c r="J172" i="3"/>
  <c r="E172" i="3"/>
  <c r="D172" i="3"/>
  <c r="B172" i="3"/>
  <c r="F172" i="3"/>
  <c r="G172" i="3"/>
  <c r="C172" i="3"/>
  <c r="M172" i="3"/>
  <c r="I172" i="3"/>
  <c r="L172" i="3" a="1"/>
  <c r="L172" i="3" s="1"/>
  <c r="K172" i="3"/>
  <c r="E19" i="3"/>
  <c r="H19" i="3" s="1"/>
  <c r="B19" i="3"/>
  <c r="I19" i="3" s="1"/>
  <c r="D19" i="3"/>
  <c r="G19" i="3" s="1"/>
  <c r="C19" i="3"/>
  <c r="F19" i="3" s="1"/>
  <c r="D46" i="3"/>
  <c r="G46" i="3" s="1"/>
  <c r="M54" i="3"/>
  <c r="K54" i="3"/>
  <c r="I54" i="3"/>
  <c r="J54" i="3"/>
  <c r="L54" i="3" a="1"/>
  <c r="L54" i="3" s="1"/>
  <c r="H54" i="3"/>
  <c r="C54" i="3"/>
  <c r="G54" i="3"/>
  <c r="B120" i="3"/>
  <c r="B127" i="3"/>
  <c r="B143" i="3"/>
  <c r="K143" i="3"/>
  <c r="J143" i="3"/>
  <c r="H143" i="3"/>
  <c r="I143" i="3"/>
  <c r="G143" i="3"/>
  <c r="F143" i="3"/>
  <c r="D143" i="3"/>
  <c r="E143" i="3"/>
  <c r="H172" i="3"/>
  <c r="M191" i="3"/>
  <c r="G191" i="3"/>
  <c r="F191" i="3"/>
  <c r="D191" i="3"/>
  <c r="C191" i="3"/>
  <c r="H191" i="3"/>
  <c r="L191" i="3" a="1"/>
  <c r="L191" i="3" s="1"/>
  <c r="B191" i="3"/>
  <c r="K191" i="3"/>
  <c r="J191" i="3"/>
  <c r="I191" i="3"/>
  <c r="E191" i="3"/>
  <c r="E28" i="3"/>
  <c r="D28" i="3"/>
  <c r="G28" i="3" s="1"/>
  <c r="H28" i="3"/>
  <c r="F28" i="3"/>
  <c r="B46" i="3"/>
  <c r="K46" i="3" s="1"/>
  <c r="B54" i="3"/>
  <c r="F89" i="3"/>
  <c r="D89" i="3"/>
  <c r="J89" i="3"/>
  <c r="H89" i="3"/>
  <c r="K89" i="3"/>
  <c r="I89" i="3"/>
  <c r="G89" i="3"/>
  <c r="M89" i="3"/>
  <c r="L89" i="3" a="1"/>
  <c r="L89" i="3" s="1"/>
  <c r="E89" i="3"/>
  <c r="C120" i="3"/>
  <c r="B125" i="3"/>
  <c r="M125" i="3"/>
  <c r="F125" i="3"/>
  <c r="G125" i="3"/>
  <c r="E125" i="3"/>
  <c r="C125" i="3"/>
  <c r="L125" i="3" a="1"/>
  <c r="L125" i="3" s="1"/>
  <c r="I125" i="3"/>
  <c r="K125" i="3"/>
  <c r="J125" i="3"/>
  <c r="G127" i="3"/>
  <c r="C143" i="3"/>
  <c r="B6" i="3"/>
  <c r="I6" i="3" s="1"/>
  <c r="F6" i="3"/>
  <c r="E6" i="3"/>
  <c r="H6" i="3" s="1"/>
  <c r="D6" i="3"/>
  <c r="G6" i="3" s="1"/>
  <c r="B28" i="3"/>
  <c r="I28" i="3" s="1"/>
  <c r="C46" i="3"/>
  <c r="F46" i="3" s="1"/>
  <c r="D54" i="3"/>
  <c r="L87" i="3" a="1"/>
  <c r="L87" i="3" s="1"/>
  <c r="D87" i="3"/>
  <c r="M87" i="3"/>
  <c r="G87" i="3"/>
  <c r="K87" i="3"/>
  <c r="J87" i="3"/>
  <c r="I87" i="3"/>
  <c r="C87" i="3"/>
  <c r="B89" i="3"/>
  <c r="E120" i="3"/>
  <c r="D125" i="3"/>
  <c r="G2" i="3"/>
  <c r="F2" i="3"/>
  <c r="E2" i="3"/>
  <c r="H2" i="3" s="1"/>
  <c r="G50" i="3"/>
  <c r="E50" i="3"/>
  <c r="H50" i="3" s="1"/>
  <c r="B50" i="3"/>
  <c r="K50" i="3" s="1"/>
  <c r="B2" i="3"/>
  <c r="I2" i="3" s="1"/>
  <c r="C50" i="3"/>
  <c r="F50" i="3" s="1"/>
  <c r="M133" i="3"/>
  <c r="E133" i="3"/>
  <c r="K133" i="3"/>
  <c r="L133" i="3" a="1"/>
  <c r="L133" i="3" s="1"/>
  <c r="J133" i="3"/>
  <c r="D133" i="3"/>
  <c r="G133" i="3"/>
  <c r="I4" i="3"/>
  <c r="K4" i="3"/>
  <c r="J4" i="3"/>
  <c r="E11" i="3"/>
  <c r="H11" i="3" s="1"/>
  <c r="F11" i="3"/>
  <c r="B24" i="3"/>
  <c r="J24" i="3" s="1"/>
  <c r="C24" i="3"/>
  <c r="F24" i="3" s="1"/>
  <c r="H72" i="3"/>
  <c r="E82" i="3"/>
  <c r="B129" i="3"/>
  <c r="E24" i="3"/>
  <c r="H24" i="3" s="1"/>
  <c r="E35" i="3"/>
  <c r="H35" i="3" s="1"/>
  <c r="D35" i="3"/>
  <c r="G35" i="3" s="1"/>
  <c r="C35" i="3"/>
  <c r="F35" i="3" s="1"/>
  <c r="B35" i="3"/>
  <c r="K35" i="3" s="1"/>
  <c r="G15" i="3"/>
  <c r="B15" i="3"/>
  <c r="K15" i="3" s="1"/>
  <c r="E15" i="3"/>
  <c r="H15" i="3" s="1"/>
  <c r="F15" i="3"/>
  <c r="I33" i="3"/>
  <c r="G33" i="3"/>
  <c r="B33" i="3"/>
  <c r="K33" i="3" s="1"/>
  <c r="E33" i="3"/>
  <c r="H33" i="3" s="1"/>
  <c r="C56" i="3"/>
  <c r="M91" i="3"/>
  <c r="B91" i="3"/>
  <c r="H91" i="3"/>
  <c r="G91" i="3"/>
  <c r="F91" i="3"/>
  <c r="E91" i="3"/>
  <c r="D91" i="3"/>
  <c r="L91" i="3" a="1"/>
  <c r="L91" i="3" s="1"/>
  <c r="I91" i="3"/>
  <c r="H129" i="3"/>
  <c r="D24" i="3"/>
  <c r="G24" i="3" s="1"/>
  <c r="G56" i="3"/>
  <c r="H66" i="3"/>
  <c r="L66" i="3" a="1"/>
  <c r="L66" i="3" s="1"/>
  <c r="B66" i="3"/>
  <c r="J66" i="3"/>
  <c r="I66" i="3"/>
  <c r="G66" i="3"/>
  <c r="F66" i="3"/>
  <c r="E66" i="3"/>
  <c r="F70" i="3"/>
  <c r="M70" i="3"/>
  <c r="C70" i="3"/>
  <c r="J70" i="3"/>
  <c r="L70" i="3" a="1"/>
  <c r="L70" i="3" s="1"/>
  <c r="K70" i="3"/>
  <c r="I70" i="3"/>
  <c r="D70" i="3"/>
  <c r="H85" i="3"/>
  <c r="C85" i="3"/>
  <c r="E85" i="3"/>
  <c r="B85" i="3"/>
  <c r="K85" i="3"/>
  <c r="M85" i="3"/>
  <c r="L85" i="3" a="1"/>
  <c r="L85" i="3" s="1"/>
  <c r="J85" i="3"/>
  <c r="F85" i="3"/>
  <c r="I85" i="3"/>
  <c r="G85" i="3"/>
  <c r="D11" i="3"/>
  <c r="G11" i="3" s="1"/>
  <c r="C11" i="3"/>
  <c r="B11" i="3"/>
  <c r="K11" i="3" s="1"/>
  <c r="E17" i="3"/>
  <c r="H17" i="3" s="1"/>
  <c r="D17" i="3"/>
  <c r="G17" i="3" s="1"/>
  <c r="C17" i="3"/>
  <c r="F17" i="3" s="1"/>
  <c r="B17" i="3"/>
  <c r="K17" i="3" s="1"/>
  <c r="M72" i="3"/>
  <c r="G72" i="3"/>
  <c r="E72" i="3"/>
  <c r="L72" i="3" a="1"/>
  <c r="L72" i="3" s="1"/>
  <c r="K72" i="3"/>
  <c r="D72" i="3"/>
  <c r="F72" i="3"/>
  <c r="B72" i="3"/>
  <c r="M82" i="3"/>
  <c r="G82" i="3"/>
  <c r="F82" i="3"/>
  <c r="D82" i="3"/>
  <c r="L82" i="3" a="1"/>
  <c r="L82" i="3" s="1"/>
  <c r="K82" i="3"/>
  <c r="C82" i="3"/>
  <c r="I82" i="3"/>
  <c r="H176" i="3"/>
  <c r="F176" i="3"/>
  <c r="E176" i="3"/>
  <c r="C176" i="3"/>
  <c r="I176" i="3"/>
  <c r="G176" i="3"/>
  <c r="M176" i="3"/>
  <c r="L176" i="3" a="1"/>
  <c r="L176" i="3" s="1"/>
  <c r="B176" i="3"/>
  <c r="J176" i="3"/>
  <c r="C30" i="3"/>
  <c r="F30" i="3" s="1"/>
  <c r="B30" i="3"/>
  <c r="K30" i="3" s="1"/>
  <c r="E30" i="3"/>
  <c r="H30" i="3" s="1"/>
  <c r="G30" i="3"/>
  <c r="C72" i="3"/>
  <c r="B82" i="3"/>
  <c r="L129" i="3" a="1"/>
  <c r="L129" i="3" s="1"/>
  <c r="I129" i="3"/>
  <c r="D129" i="3"/>
  <c r="F129" i="3"/>
  <c r="M129" i="3"/>
  <c r="G129" i="3"/>
  <c r="E129" i="3"/>
  <c r="D176" i="3"/>
  <c r="F117" i="3"/>
  <c r="L117" i="3" a="1"/>
  <c r="L117" i="3" s="1"/>
  <c r="J117" i="3"/>
  <c r="E117" i="3"/>
  <c r="G117" i="3"/>
  <c r="M117" i="3"/>
  <c r="K117" i="3"/>
  <c r="I117" i="3"/>
  <c r="C117" i="3"/>
  <c r="H117" i="3"/>
  <c r="D117" i="3"/>
  <c r="C7" i="2"/>
  <c r="E8" i="3"/>
  <c r="H8" i="3" s="1"/>
  <c r="D8" i="3"/>
  <c r="G8" i="3" s="1"/>
  <c r="C8" i="3"/>
  <c r="F8" i="3" s="1"/>
  <c r="B8" i="3"/>
  <c r="K8" i="3" s="1"/>
  <c r="J8" i="3"/>
  <c r="G13" i="3"/>
  <c r="D15" i="3"/>
  <c r="D33" i="3"/>
  <c r="E64" i="3"/>
  <c r="C64" i="3"/>
  <c r="K64" i="3"/>
  <c r="M64" i="3"/>
  <c r="L64" i="3" a="1"/>
  <c r="L64" i="3" s="1"/>
  <c r="F64" i="3"/>
  <c r="G64" i="3"/>
  <c r="C66" i="3"/>
  <c r="B70" i="3"/>
  <c r="F78" i="3"/>
  <c r="B78" i="3"/>
  <c r="I78" i="3"/>
  <c r="L78" i="3" a="1"/>
  <c r="L78" i="3" s="1"/>
  <c r="M78" i="3"/>
  <c r="G78" i="3"/>
  <c r="D85" i="3"/>
  <c r="J91" i="3"/>
  <c r="K129" i="3"/>
  <c r="K147" i="3"/>
  <c r="I147" i="3"/>
  <c r="J147" i="3"/>
  <c r="C147" i="3"/>
  <c r="F147" i="3"/>
  <c r="H147" i="3"/>
  <c r="G147" i="3"/>
  <c r="D56" i="3"/>
  <c r="B56" i="3"/>
  <c r="I56" i="3"/>
  <c r="M56" i="3"/>
  <c r="L56" i="3" a="1"/>
  <c r="L56" i="3" s="1"/>
  <c r="F56" i="3"/>
  <c r="K56" i="3"/>
  <c r="E56" i="3"/>
  <c r="I72" i="3"/>
  <c r="H82" i="3"/>
  <c r="C129" i="3"/>
  <c r="C8" i="2"/>
  <c r="F33" i="3"/>
  <c r="F48" i="3"/>
  <c r="K48" i="3"/>
  <c r="D48" i="3"/>
  <c r="J48" i="3"/>
  <c r="E48" i="3"/>
  <c r="H48" i="3" s="1"/>
  <c r="I48" i="3"/>
  <c r="G48" i="3"/>
  <c r="J56" i="3"/>
  <c r="B64" i="3"/>
  <c r="D66" i="3"/>
  <c r="E70" i="3"/>
  <c r="C78" i="3"/>
  <c r="K91" i="3"/>
  <c r="B147" i="3"/>
  <c r="H59" i="3"/>
  <c r="L75" i="3" a="1"/>
  <c r="L75" i="3" s="1"/>
  <c r="H86" i="3"/>
  <c r="K86" i="3"/>
  <c r="I86" i="3"/>
  <c r="F86" i="3"/>
  <c r="E86" i="3"/>
  <c r="D86" i="3"/>
  <c r="C86" i="3"/>
  <c r="J162" i="3"/>
  <c r="F180" i="3"/>
  <c r="H180" i="3"/>
  <c r="G180" i="3"/>
  <c r="D180" i="3"/>
  <c r="C180" i="3"/>
  <c r="M180" i="3"/>
  <c r="E180" i="3"/>
  <c r="E187" i="3"/>
  <c r="D187" i="3"/>
  <c r="B187" i="3"/>
  <c r="M187" i="3"/>
  <c r="K187" i="3"/>
  <c r="C187" i="3"/>
  <c r="H187" i="3"/>
  <c r="L187" i="3" a="1"/>
  <c r="L187" i="3" s="1"/>
  <c r="J187" i="3"/>
  <c r="I187" i="3"/>
  <c r="H194" i="3"/>
  <c r="F194" i="3"/>
  <c r="E194" i="3"/>
  <c r="G194" i="3"/>
  <c r="D194" i="3"/>
  <c r="B194" i="3"/>
  <c r="M194" i="3"/>
  <c r="C194" i="3"/>
  <c r="L194" i="3" a="1"/>
  <c r="L194" i="3" s="1"/>
  <c r="J194" i="3"/>
  <c r="I27" i="3"/>
  <c r="K27" i="3"/>
  <c r="J27" i="3"/>
  <c r="D29" i="3"/>
  <c r="G29" i="3" s="1"/>
  <c r="C29" i="3"/>
  <c r="F29" i="3" s="1"/>
  <c r="B29" i="3"/>
  <c r="J29" i="3" s="1"/>
  <c r="J59" i="3"/>
  <c r="M75" i="3"/>
  <c r="J100" i="3"/>
  <c r="C100" i="3"/>
  <c r="B100" i="3"/>
  <c r="I100" i="3"/>
  <c r="H100" i="3"/>
  <c r="F100" i="3"/>
  <c r="B107" i="3"/>
  <c r="K107" i="3"/>
  <c r="E107" i="3"/>
  <c r="I107" i="3"/>
  <c r="H107" i="3"/>
  <c r="F107" i="3"/>
  <c r="M107" i="3"/>
  <c r="L107" i="3" a="1"/>
  <c r="L107" i="3" s="1"/>
  <c r="C107" i="3"/>
  <c r="D184" i="3"/>
  <c r="I184" i="3"/>
  <c r="H184" i="3"/>
  <c r="F184" i="3"/>
  <c r="C184" i="3"/>
  <c r="M184" i="3"/>
  <c r="K184" i="3"/>
  <c r="G184" i="3"/>
  <c r="L184" i="3" a="1"/>
  <c r="L184" i="3" s="1"/>
  <c r="I194" i="3"/>
  <c r="E29" i="3"/>
  <c r="H29" i="3" s="1"/>
  <c r="H76" i="3"/>
  <c r="K76" i="3"/>
  <c r="I76" i="3"/>
  <c r="F76" i="3"/>
  <c r="E76" i="3"/>
  <c r="D76" i="3"/>
  <c r="C76" i="3"/>
  <c r="G86" i="3"/>
  <c r="D100" i="3"/>
  <c r="D107" i="3"/>
  <c r="F135" i="3"/>
  <c r="I135" i="3"/>
  <c r="H135" i="3"/>
  <c r="E135" i="3"/>
  <c r="J135" i="3"/>
  <c r="L135" i="3" a="1"/>
  <c r="L135" i="3" s="1"/>
  <c r="M135" i="3"/>
  <c r="C135" i="3"/>
  <c r="F142" i="3"/>
  <c r="E142" i="3"/>
  <c r="C142" i="3"/>
  <c r="M142" i="3"/>
  <c r="H142" i="3"/>
  <c r="B142" i="3"/>
  <c r="J142" i="3"/>
  <c r="I142" i="3"/>
  <c r="G142" i="3"/>
  <c r="D142" i="3"/>
  <c r="I180" i="3"/>
  <c r="B184" i="3"/>
  <c r="G187" i="3"/>
  <c r="K194" i="3"/>
  <c r="K18" i="3"/>
  <c r="J18" i="3"/>
  <c r="D20" i="3"/>
  <c r="G20" i="3" s="1"/>
  <c r="C20" i="3"/>
  <c r="F20" i="3" s="1"/>
  <c r="B20" i="3"/>
  <c r="J20" i="3" s="1"/>
  <c r="B76" i="3"/>
  <c r="J86" i="3"/>
  <c r="E100" i="3"/>
  <c r="G107" i="3"/>
  <c r="B135" i="3"/>
  <c r="K142" i="3"/>
  <c r="B152" i="3"/>
  <c r="I152" i="3"/>
  <c r="C152" i="3"/>
  <c r="H152" i="3"/>
  <c r="G152" i="3"/>
  <c r="E152" i="3"/>
  <c r="M152" i="3"/>
  <c r="L152" i="3" a="1"/>
  <c r="L152" i="3" s="1"/>
  <c r="D152" i="3"/>
  <c r="J180" i="3"/>
  <c r="E184" i="3"/>
  <c r="B188" i="3"/>
  <c r="J188" i="3"/>
  <c r="I188" i="3"/>
  <c r="G188" i="3"/>
  <c r="M188" i="3"/>
  <c r="F188" i="3"/>
  <c r="L188" i="3" a="1"/>
  <c r="L188" i="3" s="1"/>
  <c r="K188" i="3"/>
  <c r="J195" i="3"/>
  <c r="I195" i="3"/>
  <c r="M195" i="3"/>
  <c r="K195" i="3"/>
  <c r="C195" i="3"/>
  <c r="H195" i="3"/>
  <c r="F195" i="3"/>
  <c r="E26" i="3"/>
  <c r="H26" i="3" s="1"/>
  <c r="D26" i="3"/>
  <c r="G26" i="3" s="1"/>
  <c r="C26" i="3"/>
  <c r="F26" i="3" s="1"/>
  <c r="B26" i="3"/>
  <c r="G37" i="3"/>
  <c r="E37" i="3"/>
  <c r="H37" i="3" s="1"/>
  <c r="M76" i="3"/>
  <c r="E93" i="3"/>
  <c r="G93" i="3"/>
  <c r="M93" i="3"/>
  <c r="L93" i="3" a="1"/>
  <c r="L93" i="3" s="1"/>
  <c r="D112" i="3"/>
  <c r="G112" i="3"/>
  <c r="F112" i="3"/>
  <c r="C112" i="3"/>
  <c r="I112" i="3"/>
  <c r="K112" i="3"/>
  <c r="H112" i="3"/>
  <c r="D166" i="3"/>
  <c r="L166" i="3" a="1"/>
  <c r="L166" i="3" s="1"/>
  <c r="J166" i="3"/>
  <c r="M166" i="3"/>
  <c r="E166" i="3"/>
  <c r="I166" i="3"/>
  <c r="K166" i="3"/>
  <c r="E59" i="3"/>
  <c r="M59" i="3"/>
  <c r="I59" i="3"/>
  <c r="D139" i="3"/>
  <c r="J139" i="3"/>
  <c r="I139" i="3"/>
  <c r="G139" i="3"/>
  <c r="L139" i="3" a="1"/>
  <c r="L139" i="3" s="1"/>
  <c r="C139" i="3"/>
  <c r="M139" i="3"/>
  <c r="K139" i="3"/>
  <c r="D157" i="3"/>
  <c r="F157" i="3"/>
  <c r="E157" i="3"/>
  <c r="B157" i="3"/>
  <c r="C157" i="3"/>
  <c r="L157" i="3" a="1"/>
  <c r="L157" i="3" s="1"/>
  <c r="J157" i="3"/>
  <c r="I157" i="3"/>
  <c r="G157" i="3"/>
  <c r="M164" i="3"/>
  <c r="C164" i="3"/>
  <c r="B164" i="3"/>
  <c r="J164" i="3"/>
  <c r="E164" i="3"/>
  <c r="L164" i="3" a="1"/>
  <c r="L164" i="3" s="1"/>
  <c r="K164" i="3"/>
  <c r="G164" i="3"/>
  <c r="I186" i="3"/>
  <c r="B186" i="3"/>
  <c r="J186" i="3"/>
  <c r="L186" i="3" a="1"/>
  <c r="L186" i="3" s="1"/>
  <c r="K186" i="3"/>
  <c r="G186" i="3"/>
  <c r="H186" i="3"/>
  <c r="E10" i="3"/>
  <c r="H10" i="3" s="1"/>
  <c r="D21" i="3"/>
  <c r="G21" i="3" s="1"/>
  <c r="B59" i="3"/>
  <c r="C75" i="3"/>
  <c r="B139" i="3"/>
  <c r="H157" i="3"/>
  <c r="F162" i="3"/>
  <c r="K162" i="3"/>
  <c r="I162" i="3"/>
  <c r="H162" i="3"/>
  <c r="L162" i="3" a="1"/>
  <c r="L162" i="3" s="1"/>
  <c r="D162" i="3"/>
  <c r="D164" i="3"/>
  <c r="C186" i="3"/>
  <c r="B10" i="3"/>
  <c r="J10" i="3" s="1"/>
  <c r="C12" i="3"/>
  <c r="F12" i="3" s="1"/>
  <c r="B12" i="3"/>
  <c r="K12" i="3" s="1"/>
  <c r="C59" i="3"/>
  <c r="B79" i="3"/>
  <c r="K79" i="3"/>
  <c r="H79" i="3"/>
  <c r="F79" i="3"/>
  <c r="J79" i="3"/>
  <c r="I79" i="3"/>
  <c r="G79" i="3"/>
  <c r="E79" i="3"/>
  <c r="I93" i="3"/>
  <c r="F99" i="3"/>
  <c r="M99" i="3"/>
  <c r="J99" i="3"/>
  <c r="C99" i="3"/>
  <c r="E99" i="3"/>
  <c r="K99" i="3"/>
  <c r="I99" i="3"/>
  <c r="H99" i="3"/>
  <c r="G99" i="3"/>
  <c r="H113" i="3"/>
  <c r="K113" i="3"/>
  <c r="I113" i="3"/>
  <c r="G113" i="3"/>
  <c r="C113" i="3"/>
  <c r="M113" i="3"/>
  <c r="D113" i="3"/>
  <c r="E139" i="3"/>
  <c r="H149" i="3"/>
  <c r="C149" i="3"/>
  <c r="B149" i="3"/>
  <c r="F149" i="3"/>
  <c r="M149" i="3"/>
  <c r="G149" i="3"/>
  <c r="K157" i="3"/>
  <c r="B162" i="3"/>
  <c r="F164" i="3"/>
  <c r="M173" i="3"/>
  <c r="J173" i="3"/>
  <c r="I173" i="3"/>
  <c r="G173" i="3"/>
  <c r="D173" i="3"/>
  <c r="H173" i="3"/>
  <c r="F173" i="3"/>
  <c r="E173" i="3"/>
  <c r="C173" i="3"/>
  <c r="D186" i="3"/>
  <c r="C21" i="3"/>
  <c r="F21" i="3" s="1"/>
  <c r="B21" i="3"/>
  <c r="K21" i="3" s="1"/>
  <c r="D75" i="3"/>
  <c r="J75" i="3"/>
  <c r="E75" i="3"/>
  <c r="B75" i="3"/>
  <c r="K75" i="3"/>
  <c r="C3" i="3"/>
  <c r="F3" i="3" s="1"/>
  <c r="C10" i="3"/>
  <c r="F10" i="3" s="1"/>
  <c r="D12" i="3"/>
  <c r="G12" i="3" s="1"/>
  <c r="B51" i="3"/>
  <c r="L51" i="3" a="1"/>
  <c r="L51" i="3" s="1"/>
  <c r="C51" i="3"/>
  <c r="M51" i="3"/>
  <c r="H51" i="3"/>
  <c r="D59" i="3"/>
  <c r="M63" i="3"/>
  <c r="F63" i="3"/>
  <c r="G63" i="3"/>
  <c r="E63" i="3"/>
  <c r="D63" i="3"/>
  <c r="C63" i="3"/>
  <c r="G75" i="3"/>
  <c r="C79" i="3"/>
  <c r="J90" i="3"/>
  <c r="I90" i="3"/>
  <c r="M90" i="3"/>
  <c r="B90" i="3"/>
  <c r="K90" i="3"/>
  <c r="J93" i="3"/>
  <c r="B99" i="3"/>
  <c r="J109" i="3"/>
  <c r="K109" i="3"/>
  <c r="I109" i="3"/>
  <c r="G109" i="3"/>
  <c r="E109" i="3"/>
  <c r="F109" i="3"/>
  <c r="D109" i="3"/>
  <c r="B109" i="3"/>
  <c r="H109" i="3"/>
  <c r="B113" i="3"/>
  <c r="F139" i="3"/>
  <c r="C162" i="3"/>
  <c r="H164" i="3"/>
  <c r="L178" i="3" a="1"/>
  <c r="L178" i="3" s="1"/>
  <c r="C178" i="3"/>
  <c r="J178" i="3"/>
  <c r="F178" i="3"/>
  <c r="I178" i="3"/>
  <c r="E186" i="3"/>
  <c r="D10" i="3"/>
  <c r="G10" i="3" s="1"/>
  <c r="E12" i="3"/>
  <c r="H12" i="3" s="1"/>
  <c r="E49" i="3"/>
  <c r="H49" i="3" s="1"/>
  <c r="C49" i="3"/>
  <c r="F49" i="3" s="1"/>
  <c r="M55" i="3"/>
  <c r="D55" i="3"/>
  <c r="G55" i="3"/>
  <c r="F55" i="3"/>
  <c r="E55" i="3"/>
  <c r="C55" i="3"/>
  <c r="F59" i="3"/>
  <c r="F61" i="3"/>
  <c r="I61" i="3"/>
  <c r="G61" i="3"/>
  <c r="L61" i="3" a="1"/>
  <c r="L61" i="3" s="1"/>
  <c r="K61" i="3"/>
  <c r="J61" i="3"/>
  <c r="B61" i="3"/>
  <c r="J71" i="3"/>
  <c r="B71" i="3"/>
  <c r="H71" i="3"/>
  <c r="F71" i="3"/>
  <c r="E71" i="3"/>
  <c r="D71" i="3"/>
  <c r="C71" i="3"/>
  <c r="H75" i="3"/>
  <c r="D79" i="3"/>
  <c r="K93" i="3"/>
  <c r="D99" i="3"/>
  <c r="C109" i="3"/>
  <c r="E113" i="3"/>
  <c r="H139" i="3"/>
  <c r="E149" i="3"/>
  <c r="M157" i="3"/>
  <c r="E162" i="3"/>
  <c r="I164" i="3"/>
  <c r="K173" i="3"/>
  <c r="B178" i="3"/>
  <c r="F186" i="3"/>
  <c r="H21" i="3"/>
  <c r="I36" i="3"/>
  <c r="J36" i="3"/>
  <c r="B49" i="3"/>
  <c r="K49" i="3" s="1"/>
  <c r="B55" i="3"/>
  <c r="G59" i="3"/>
  <c r="C61" i="3"/>
  <c r="I75" i="3"/>
  <c r="D94" i="3"/>
  <c r="K94" i="3"/>
  <c r="J94" i="3"/>
  <c r="H94" i="3"/>
  <c r="G94" i="3"/>
  <c r="L94" i="3" a="1"/>
  <c r="L94" i="3" s="1"/>
  <c r="I94" i="3"/>
  <c r="F94" i="3"/>
  <c r="F113" i="3"/>
  <c r="L132" i="3" a="1"/>
  <c r="L132" i="3" s="1"/>
  <c r="K132" i="3"/>
  <c r="I132" i="3"/>
  <c r="J132" i="3"/>
  <c r="D132" i="3"/>
  <c r="C132" i="3"/>
  <c r="B132" i="3"/>
  <c r="M132" i="3"/>
  <c r="M137" i="3"/>
  <c r="I137" i="3"/>
  <c r="D137" i="3"/>
  <c r="L137" i="3" a="1"/>
  <c r="L137" i="3" s="1"/>
  <c r="J137" i="3"/>
  <c r="E137" i="3"/>
  <c r="I149" i="3"/>
  <c r="H158" i="3"/>
  <c r="K158" i="3"/>
  <c r="J158" i="3"/>
  <c r="G158" i="3"/>
  <c r="M158" i="3"/>
  <c r="D158" i="3"/>
  <c r="B158" i="3"/>
  <c r="E158" i="3"/>
  <c r="G162" i="3"/>
  <c r="D178" i="3"/>
  <c r="M186" i="3"/>
  <c r="C39" i="3"/>
  <c r="F39" i="3" s="1"/>
  <c r="I42" i="3"/>
  <c r="G42" i="3"/>
  <c r="D45" i="3"/>
  <c r="G45" i="3" s="1"/>
  <c r="B45" i="3"/>
  <c r="J45" i="3"/>
  <c r="J53" i="3"/>
  <c r="F53" i="3"/>
  <c r="D53" i="3"/>
  <c r="L53" i="3" a="1"/>
  <c r="L53" i="3" s="1"/>
  <c r="L58" i="3" a="1"/>
  <c r="L58" i="3" s="1"/>
  <c r="J58" i="3"/>
  <c r="B69" i="3"/>
  <c r="K69" i="3"/>
  <c r="I69" i="3"/>
  <c r="E74" i="3"/>
  <c r="F74" i="3"/>
  <c r="D84" i="3"/>
  <c r="F84" i="3"/>
  <c r="M101" i="3"/>
  <c r="H101" i="3"/>
  <c r="G101" i="3"/>
  <c r="E101" i="3"/>
  <c r="D101" i="3"/>
  <c r="B101" i="3"/>
  <c r="D121" i="3"/>
  <c r="M121" i="3"/>
  <c r="L121" i="3" a="1"/>
  <c r="L121" i="3" s="1"/>
  <c r="K121" i="3"/>
  <c r="H121" i="3"/>
  <c r="I121" i="3"/>
  <c r="G121" i="3"/>
  <c r="E121" i="3"/>
  <c r="F144" i="3"/>
  <c r="L144" i="3" a="1"/>
  <c r="L144" i="3" s="1"/>
  <c r="I144" i="3"/>
  <c r="B144" i="3"/>
  <c r="C144" i="3"/>
  <c r="H150" i="3"/>
  <c r="G150" i="3"/>
  <c r="E150" i="3"/>
  <c r="F150" i="3"/>
  <c r="L150" i="3" a="1"/>
  <c r="L150" i="3" s="1"/>
  <c r="K150" i="3"/>
  <c r="I150" i="3"/>
  <c r="F42" i="3"/>
  <c r="H45" i="3"/>
  <c r="H53" i="3"/>
  <c r="F58" i="3"/>
  <c r="G69" i="3"/>
  <c r="H74" i="3"/>
  <c r="J81" i="3"/>
  <c r="B81" i="3"/>
  <c r="G81" i="3"/>
  <c r="H84" i="3"/>
  <c r="K101" i="3"/>
  <c r="E138" i="3"/>
  <c r="D138" i="3"/>
  <c r="B138" i="3"/>
  <c r="C138" i="3"/>
  <c r="I138" i="3"/>
  <c r="L159" i="3" a="1"/>
  <c r="L159" i="3" s="1"/>
  <c r="M159" i="3"/>
  <c r="G159" i="3"/>
  <c r="H159" i="3"/>
  <c r="F159" i="3"/>
  <c r="D159" i="3"/>
  <c r="E5" i="3"/>
  <c r="H5" i="3" s="1"/>
  <c r="C5" i="3"/>
  <c r="F5" i="3" s="1"/>
  <c r="K5" i="3"/>
  <c r="E14" i="3"/>
  <c r="H14" i="3" s="1"/>
  <c r="C14" i="3"/>
  <c r="F14" i="3" s="1"/>
  <c r="E23" i="3"/>
  <c r="H23" i="3" s="1"/>
  <c r="C23" i="3"/>
  <c r="F23" i="3" s="1"/>
  <c r="E32" i="3"/>
  <c r="H32" i="3" s="1"/>
  <c r="C32" i="3"/>
  <c r="F32" i="3" s="1"/>
  <c r="K32" i="3"/>
  <c r="H39" i="3"/>
  <c r="J44" i="3"/>
  <c r="E44" i="3"/>
  <c r="H44" i="3" s="1"/>
  <c r="I45" i="3"/>
  <c r="I53" i="3"/>
  <c r="G58" i="3"/>
  <c r="H69" i="3"/>
  <c r="I74" i="3"/>
  <c r="C81" i="3"/>
  <c r="I84" i="3"/>
  <c r="M114" i="3"/>
  <c r="C114" i="3"/>
  <c r="H114" i="3"/>
  <c r="G114" i="3"/>
  <c r="E114" i="3"/>
  <c r="H122" i="3"/>
  <c r="C122" i="3"/>
  <c r="D122" i="3"/>
  <c r="F138" i="3"/>
  <c r="K144" i="3"/>
  <c r="B159" i="3"/>
  <c r="J181" i="3"/>
  <c r="L181" i="3" a="1"/>
  <c r="L181" i="3" s="1"/>
  <c r="I181" i="3"/>
  <c r="D181" i="3"/>
  <c r="F181" i="3"/>
  <c r="E181" i="3"/>
  <c r="B181" i="3"/>
  <c r="H185" i="3"/>
  <c r="M185" i="3"/>
  <c r="L185" i="3" a="1"/>
  <c r="L185" i="3" s="1"/>
  <c r="K185" i="3"/>
  <c r="D185" i="3"/>
  <c r="F185" i="3"/>
  <c r="E185" i="3"/>
  <c r="E41" i="3"/>
  <c r="H41" i="3" s="1"/>
  <c r="C41" i="3"/>
  <c r="F41" i="3" s="1"/>
  <c r="J42" i="3"/>
  <c r="K45" i="3"/>
  <c r="K53" i="3"/>
  <c r="H58" i="3"/>
  <c r="F68" i="3"/>
  <c r="D68" i="3"/>
  <c r="J69" i="3"/>
  <c r="M73" i="3"/>
  <c r="J73" i="3"/>
  <c r="J74" i="3"/>
  <c r="L83" i="3" a="1"/>
  <c r="L83" i="3" s="1"/>
  <c r="J83" i="3"/>
  <c r="J84" i="3"/>
  <c r="L101" i="3" a="1"/>
  <c r="L101" i="3" s="1"/>
  <c r="K177" i="3"/>
  <c r="J177" i="3"/>
  <c r="H177" i="3"/>
  <c r="G177" i="3"/>
  <c r="B177" i="3"/>
  <c r="M177" i="3"/>
  <c r="L177" i="3" a="1"/>
  <c r="L177" i="3" s="1"/>
  <c r="F177" i="3"/>
  <c r="B41" i="3"/>
  <c r="K41" i="3" s="1"/>
  <c r="K42" i="3"/>
  <c r="H57" i="3"/>
  <c r="G57" i="3"/>
  <c r="E57" i="3"/>
  <c r="M57" i="3"/>
  <c r="I58" i="3"/>
  <c r="D65" i="3"/>
  <c r="J65" i="3"/>
  <c r="H65" i="3"/>
  <c r="B68" i="3"/>
  <c r="B73" i="3"/>
  <c r="K74" i="3"/>
  <c r="E81" i="3"/>
  <c r="B83" i="3"/>
  <c r="K84" i="3"/>
  <c r="L102" i="3" a="1"/>
  <c r="L102" i="3" s="1"/>
  <c r="J102" i="3"/>
  <c r="F102" i="3"/>
  <c r="G102" i="3"/>
  <c r="E102" i="3"/>
  <c r="C102" i="3"/>
  <c r="M106" i="3"/>
  <c r="L106" i="3" a="1"/>
  <c r="L106" i="3" s="1"/>
  <c r="K106" i="3"/>
  <c r="C106" i="3"/>
  <c r="E106" i="3"/>
  <c r="H138" i="3"/>
  <c r="M144" i="3"/>
  <c r="M155" i="3"/>
  <c r="L155" i="3" a="1"/>
  <c r="L155" i="3" s="1"/>
  <c r="K155" i="3"/>
  <c r="I155" i="3"/>
  <c r="C155" i="3"/>
  <c r="H155" i="3"/>
  <c r="E159" i="3"/>
  <c r="C177" i="3"/>
  <c r="I18" i="3"/>
  <c r="H52" i="3"/>
  <c r="J60" i="3"/>
  <c r="F108" i="3"/>
  <c r="E108" i="3"/>
  <c r="D108" i="3"/>
  <c r="B108" i="3"/>
  <c r="L108" i="3" a="1"/>
  <c r="L108" i="3" s="1"/>
  <c r="M110" i="3"/>
  <c r="G110" i="3"/>
  <c r="C115" i="3"/>
  <c r="B115" i="3"/>
  <c r="K115" i="3"/>
  <c r="E115" i="3"/>
  <c r="J124" i="3"/>
  <c r="I124" i="3"/>
  <c r="G124" i="3"/>
  <c r="L124" i="3" a="1"/>
  <c r="L124" i="3" s="1"/>
  <c r="E124" i="3"/>
  <c r="F171" i="3"/>
  <c r="J171" i="3"/>
  <c r="C171" i="3"/>
  <c r="K16" i="3"/>
  <c r="K25" i="3"/>
  <c r="K34" i="3"/>
  <c r="K43" i="3"/>
  <c r="L110" i="3" a="1"/>
  <c r="L110" i="3" s="1"/>
  <c r="B116" i="3"/>
  <c r="H116" i="3"/>
  <c r="G116" i="3"/>
  <c r="E116" i="3"/>
  <c r="L116" i="3" a="1"/>
  <c r="L116" i="3" s="1"/>
  <c r="J118" i="3"/>
  <c r="M118" i="3"/>
  <c r="G118" i="3"/>
  <c r="E123" i="3"/>
  <c r="D123" i="3"/>
  <c r="B123" i="3"/>
  <c r="K123" i="3"/>
  <c r="C123" i="3"/>
  <c r="M171" i="3"/>
  <c r="F198" i="3"/>
  <c r="E198" i="3"/>
  <c r="D198" i="3"/>
  <c r="C198" i="3"/>
  <c r="L198" i="3" a="1"/>
  <c r="L198" i="3" s="1"/>
  <c r="G198" i="3"/>
  <c r="H198" i="3"/>
  <c r="D60" i="3"/>
  <c r="M62" i="3"/>
  <c r="M80" i="3"/>
  <c r="D88" i="3"/>
  <c r="G97" i="3"/>
  <c r="F97" i="3"/>
  <c r="D97" i="3"/>
  <c r="D116" i="3"/>
  <c r="C118" i="3"/>
  <c r="G123" i="3"/>
  <c r="B134" i="3"/>
  <c r="D134" i="3"/>
  <c r="C134" i="3"/>
  <c r="L134" i="3" a="1"/>
  <c r="L134" i="3" s="1"/>
  <c r="G134" i="3"/>
  <c r="J163" i="3"/>
  <c r="M163" i="3"/>
  <c r="H163" i="3"/>
  <c r="B163" i="3"/>
  <c r="H167" i="3"/>
  <c r="L167" i="3" a="1"/>
  <c r="L167" i="3" s="1"/>
  <c r="G167" i="3"/>
  <c r="I198" i="3"/>
  <c r="H140" i="3"/>
  <c r="M140" i="3"/>
  <c r="L140" i="3" a="1"/>
  <c r="L140" i="3" s="1"/>
  <c r="F140" i="3"/>
  <c r="B161" i="3"/>
  <c r="G161" i="3"/>
  <c r="F161" i="3"/>
  <c r="D161" i="3"/>
  <c r="M161" i="3"/>
  <c r="H161" i="3"/>
  <c r="H165" i="3"/>
  <c r="G165" i="3"/>
  <c r="E165" i="3"/>
  <c r="C165" i="3"/>
  <c r="L165" i="3" a="1"/>
  <c r="L165" i="3" s="1"/>
  <c r="B167" i="3"/>
  <c r="F189" i="3"/>
  <c r="M189" i="3"/>
  <c r="E189" i="3"/>
  <c r="H189" i="3"/>
  <c r="J198" i="3"/>
  <c r="I169" i="3"/>
  <c r="H169" i="3"/>
  <c r="F169" i="3"/>
  <c r="L192" i="3" a="1"/>
  <c r="L192" i="3" s="1"/>
  <c r="J192" i="3"/>
  <c r="D192" i="3"/>
  <c r="M128" i="3"/>
  <c r="K128" i="3"/>
  <c r="J128" i="3"/>
  <c r="H128" i="3"/>
  <c r="H131" i="3"/>
  <c r="G131" i="3"/>
  <c r="F131" i="3"/>
  <c r="D131" i="3"/>
  <c r="J136" i="3"/>
  <c r="M136" i="3"/>
  <c r="L136" i="3" a="1"/>
  <c r="L136" i="3" s="1"/>
  <c r="K136" i="3"/>
  <c r="G169" i="3"/>
  <c r="F174" i="3"/>
  <c r="F182" i="3"/>
  <c r="G192" i="3"/>
  <c r="H95" i="3"/>
  <c r="L95" i="3" a="1"/>
  <c r="L95" i="3" s="1"/>
  <c r="B98" i="3"/>
  <c r="K98" i="3"/>
  <c r="I98" i="3"/>
  <c r="G128" i="3"/>
  <c r="K131" i="3"/>
  <c r="G136" i="3"/>
  <c r="M146" i="3"/>
  <c r="G146" i="3"/>
  <c r="F146" i="3"/>
  <c r="D146" i="3"/>
  <c r="L151" i="3" a="1"/>
  <c r="L151" i="3" s="1"/>
  <c r="J151" i="3"/>
  <c r="J154" i="3"/>
  <c r="I154" i="3"/>
  <c r="H154" i="3"/>
  <c r="F154" i="3"/>
  <c r="B170" i="3"/>
  <c r="M170" i="3"/>
  <c r="L170" i="3" a="1"/>
  <c r="L170" i="3" s="1"/>
  <c r="K170" i="3"/>
  <c r="L174" i="3" a="1"/>
  <c r="L174" i="3" s="1"/>
  <c r="M200" i="3"/>
  <c r="L200" i="3" a="1"/>
  <c r="L200" i="3" s="1"/>
  <c r="K200" i="3"/>
  <c r="G200" i="3"/>
  <c r="C104" i="3"/>
  <c r="C119" i="3"/>
  <c r="C153" i="3"/>
  <c r="C168" i="3"/>
  <c r="J199" i="3"/>
  <c r="I199" i="3"/>
  <c r="H199" i="3"/>
  <c r="G199" i="3"/>
  <c r="I200" i="3"/>
  <c r="D104" i="3"/>
  <c r="C179" i="3"/>
  <c r="J190" i="3"/>
  <c r="H190" i="3"/>
  <c r="M196" i="3"/>
  <c r="L196" i="3" a="1"/>
  <c r="L196" i="3" s="1"/>
  <c r="B199" i="3"/>
  <c r="J200" i="3"/>
  <c r="B193" i="3"/>
  <c r="I39" i="3" l="1"/>
  <c r="J23" i="3"/>
  <c r="J22" i="3"/>
  <c r="K13" i="3"/>
  <c r="I13" i="3"/>
  <c r="I9" i="3"/>
  <c r="K47" i="3"/>
  <c r="J47" i="3"/>
  <c r="I46" i="3"/>
  <c r="I44" i="3"/>
  <c r="K44" i="3"/>
  <c r="K40" i="3"/>
  <c r="J40" i="3"/>
  <c r="J39" i="3"/>
  <c r="I38" i="3"/>
  <c r="K38" i="3"/>
  <c r="K37" i="3"/>
  <c r="J37" i="3"/>
  <c r="J34" i="3"/>
  <c r="J33" i="3"/>
  <c r="I29" i="3"/>
  <c r="K29" i="3"/>
  <c r="I25" i="3"/>
  <c r="K22" i="3"/>
  <c r="I15" i="3"/>
  <c r="K14" i="3"/>
  <c r="J14" i="3"/>
  <c r="I10" i="3"/>
  <c r="K7" i="3"/>
  <c r="I7" i="3"/>
  <c r="J5" i="3"/>
  <c r="I3" i="3"/>
  <c r="J3" i="3"/>
  <c r="L28" i="3" a="1"/>
  <c r="L28" i="3" s="1"/>
  <c r="I17" i="3"/>
  <c r="B15" i="2"/>
  <c r="C15" i="2" s="1"/>
  <c r="I21" i="3"/>
  <c r="I12" i="3"/>
  <c r="I30" i="3"/>
  <c r="K19" i="3"/>
  <c r="J49" i="3"/>
  <c r="I49" i="3"/>
  <c r="J21" i="3"/>
  <c r="J12" i="3"/>
  <c r="J35" i="3"/>
  <c r="J11" i="3"/>
  <c r="J30" i="3"/>
  <c r="J17" i="3"/>
  <c r="J15" i="3"/>
  <c r="K2" i="3"/>
  <c r="I8" i="3"/>
  <c r="K24" i="3"/>
  <c r="I24" i="3"/>
  <c r="B13" i="2"/>
  <c r="C13" i="2" s="1"/>
  <c r="J19" i="3"/>
  <c r="K28" i="3"/>
  <c r="J50" i="3"/>
  <c r="J6" i="3"/>
  <c r="J41" i="3"/>
  <c r="I41" i="3"/>
  <c r="I11" i="3"/>
  <c r="K10" i="3"/>
  <c r="K6" i="3"/>
  <c r="J46" i="3"/>
  <c r="B14" i="2"/>
  <c r="C14" i="2" s="1"/>
  <c r="J2" i="3"/>
  <c r="J28" i="3"/>
  <c r="I50" i="3"/>
  <c r="I20" i="3"/>
  <c r="I35" i="3"/>
  <c r="J26" i="3"/>
  <c r="I26" i="3"/>
  <c r="K26" i="3"/>
  <c r="K20" i="3"/>
  <c r="B16" i="2" a="1"/>
  <c r="B16" i="2" s="1"/>
  <c r="C16" i="2" s="1"/>
  <c r="L15" i="3" l="1" a="1"/>
  <c r="L15" i="3" s="1"/>
  <c r="L40" i="3" a="1"/>
  <c r="L40" i="3" s="1"/>
  <c r="L41" i="3" a="1"/>
  <c r="L41" i="3" s="1"/>
  <c r="B26" i="2"/>
  <c r="L10" i="3" a="1"/>
  <c r="L10" i="3" s="1"/>
  <c r="L26" i="3" a="1"/>
  <c r="L26" i="3" s="1"/>
  <c r="C35" i="2"/>
  <c r="C42" i="2"/>
  <c r="L35" i="3" a="1"/>
  <c r="L35" i="3" s="1"/>
  <c r="B24" i="2"/>
  <c r="L39" i="3" a="1"/>
  <c r="L39" i="3" s="1"/>
  <c r="L6" i="3" a="1"/>
  <c r="L6" i="3" s="1"/>
  <c r="C40" i="2"/>
  <c r="B21" i="2"/>
  <c r="L48" i="3" a="1"/>
  <c r="L48" i="3" s="1"/>
  <c r="L34" i="3" a="1"/>
  <c r="L34" i="3" s="1"/>
  <c r="L3" i="3" a="1"/>
  <c r="L3" i="3" s="1"/>
  <c r="L23" i="3" a="1"/>
  <c r="L23" i="3" s="1"/>
  <c r="C32" i="2"/>
  <c r="L24" i="3" a="1"/>
  <c r="L24" i="3" s="1"/>
  <c r="B25" i="2"/>
  <c r="C25" i="2"/>
  <c r="L12" i="3" a="1"/>
  <c r="L12" i="3" s="1"/>
  <c r="L37" i="3" a="1"/>
  <c r="L37" i="3" s="1"/>
  <c r="L19" i="3" a="1"/>
  <c r="L19" i="3" s="1"/>
  <c r="L27" i="3" a="1"/>
  <c r="L27" i="3" s="1"/>
  <c r="L50" i="3" a="1"/>
  <c r="L50" i="3" s="1"/>
  <c r="C43" i="2"/>
  <c r="B35" i="2"/>
  <c r="B29" i="2"/>
  <c r="B34" i="2"/>
  <c r="C38" i="2"/>
  <c r="B32" i="2"/>
  <c r="C30" i="2"/>
  <c r="B30" i="2"/>
  <c r="C23" i="2"/>
  <c r="B28" i="2"/>
  <c r="D28" i="2" s="1"/>
  <c r="C22" i="2"/>
  <c r="C39" i="2"/>
  <c r="B33" i="2"/>
  <c r="C31" i="2"/>
  <c r="B31" i="2"/>
  <c r="L47" i="3" a="1"/>
  <c r="L47" i="3" s="1"/>
  <c r="L25" i="3" a="1"/>
  <c r="L25" i="3" s="1"/>
  <c r="L22" i="3" a="1"/>
  <c r="L22" i="3" s="1"/>
  <c r="L7" i="3" a="1"/>
  <c r="L7" i="3" s="1"/>
  <c r="L30" i="3" a="1"/>
  <c r="L30" i="3" s="1"/>
  <c r="L14" i="3" a="1"/>
  <c r="L14" i="3" s="1"/>
  <c r="L13" i="3" a="1"/>
  <c r="L13" i="3" s="1"/>
  <c r="L21" i="3" a="1"/>
  <c r="L21" i="3" s="1"/>
  <c r="L2" i="3" a="1"/>
  <c r="L2" i="3" s="1"/>
  <c r="B41" i="2"/>
  <c r="B40" i="2"/>
  <c r="B36" i="2"/>
  <c r="D36" i="2" s="1"/>
  <c r="B42" i="2"/>
  <c r="C21" i="2"/>
  <c r="C29" i="2"/>
  <c r="B43" i="2"/>
  <c r="B39" i="2"/>
  <c r="B38" i="2"/>
  <c r="C37" i="2"/>
  <c r="B37" i="2"/>
  <c r="L4" i="3" a="1"/>
  <c r="L4" i="3" s="1"/>
  <c r="C34" i="2"/>
  <c r="L20" i="3" a="1"/>
  <c r="L20" i="3" s="1"/>
  <c r="C26" i="2"/>
  <c r="L31" i="3" a="1"/>
  <c r="L31" i="3" s="1"/>
  <c r="L44" i="3" a="1"/>
  <c r="L44" i="3" s="1"/>
  <c r="L45" i="3" a="1"/>
  <c r="L45" i="3" s="1"/>
  <c r="L32" i="3" a="1"/>
  <c r="L32" i="3" s="1"/>
  <c r="L18" i="3" a="1"/>
  <c r="L18" i="3" s="1"/>
  <c r="L9" i="3" a="1"/>
  <c r="L9" i="3" s="1"/>
  <c r="C41" i="2"/>
  <c r="C33" i="2"/>
  <c r="L49" i="3" a="1"/>
  <c r="L49" i="3" s="1"/>
  <c r="L5" i="3" a="1"/>
  <c r="L5" i="3" s="1"/>
  <c r="L46" i="3" a="1"/>
  <c r="L46" i="3" s="1"/>
  <c r="B27" i="2"/>
  <c r="L38" i="3" a="1"/>
  <c r="L38" i="3" s="1"/>
  <c r="C27" i="2"/>
  <c r="L11" i="3" a="1"/>
  <c r="L11" i="3" s="1"/>
  <c r="L36" i="3" a="1"/>
  <c r="L36" i="3" s="1"/>
  <c r="B22" i="2"/>
  <c r="L16" i="3" a="1"/>
  <c r="L16" i="3" s="1"/>
  <c r="L29" i="3" a="1"/>
  <c r="L29" i="3" s="1"/>
  <c r="B20" i="2"/>
  <c r="D20" i="2" s="1"/>
  <c r="C24" i="2"/>
  <c r="L33" i="3" a="1"/>
  <c r="L33" i="3" s="1"/>
  <c r="B23" i="2"/>
  <c r="L42" i="3" a="1"/>
  <c r="L42" i="3" s="1"/>
  <c r="L8" i="3" a="1"/>
  <c r="L8" i="3" s="1"/>
  <c r="L17" i="3" a="1"/>
  <c r="L17" i="3" s="1"/>
  <c r="L43" i="3" a="1"/>
  <c r="L43" i="3" s="1"/>
  <c r="D26" i="2" l="1"/>
  <c r="D30" i="2"/>
  <c r="D33" i="2"/>
  <c r="D39" i="2"/>
  <c r="D31" i="2"/>
  <c r="A62" i="2" a="1"/>
  <c r="A62" i="2" s="1"/>
  <c r="A59" i="2" a="1"/>
  <c r="A59" i="2" s="1"/>
  <c r="A63" i="2" a="1"/>
  <c r="A63" i="2" s="1"/>
  <c r="A61" i="2" a="1"/>
  <c r="A61" i="2" s="1"/>
  <c r="A65" i="2" a="1"/>
  <c r="A65" i="2" s="1"/>
  <c r="A64" i="2" a="1"/>
  <c r="A64" i="2" s="1"/>
  <c r="A60" i="2" a="1"/>
  <c r="A60" i="2" s="1"/>
  <c r="O27" i="3" a="1"/>
  <c r="O27" i="3" s="1"/>
  <c r="P27" i="3" s="1"/>
  <c r="D23" i="2"/>
  <c r="O45" i="3" a="1"/>
  <c r="O45" i="3" s="1"/>
  <c r="P45" i="3" s="1"/>
  <c r="O41" i="3" a="1"/>
  <c r="O41" i="3" s="1"/>
  <c r="P41" i="3" s="1"/>
  <c r="O13" i="3" a="1"/>
  <c r="O13" i="3" s="1"/>
  <c r="P13" i="3" s="1"/>
  <c r="O44" i="3" a="1"/>
  <c r="O44" i="3" s="1"/>
  <c r="P44" i="3" s="1"/>
  <c r="O14" i="3" a="1"/>
  <c r="O14" i="3" s="1"/>
  <c r="P14" i="3" s="1"/>
  <c r="O11" i="3" a="1"/>
  <c r="O11" i="3" s="1"/>
  <c r="P11" i="3" s="1"/>
  <c r="O21" i="3" a="1"/>
  <c r="O21" i="3" s="1"/>
  <c r="P21" i="3" s="1"/>
  <c r="O39" i="3" a="1"/>
  <c r="O39" i="3" s="1"/>
  <c r="P39" i="3" s="1"/>
  <c r="O4" i="3" a="1"/>
  <c r="O4" i="3" s="1"/>
  <c r="P4" i="3" s="1"/>
  <c r="O47" i="3" a="1"/>
  <c r="O47" i="3" s="1"/>
  <c r="P47" i="3" s="1"/>
  <c r="O46" i="3" a="1"/>
  <c r="O46" i="3" s="1"/>
  <c r="P46" i="3" s="1"/>
  <c r="O28" i="3" a="1"/>
  <c r="O28" i="3" s="1"/>
  <c r="P28" i="3" s="1"/>
  <c r="O49" i="3" a="1"/>
  <c r="O49" i="3" s="1"/>
  <c r="P49" i="3" s="1"/>
  <c r="O40" i="3" a="1"/>
  <c r="O40" i="3" s="1"/>
  <c r="P40" i="3" s="1"/>
  <c r="O17" i="3" a="1"/>
  <c r="O17" i="3" s="1"/>
  <c r="P17" i="3" s="1"/>
  <c r="O24" i="3" a="1"/>
  <c r="O24" i="3" s="1"/>
  <c r="P24" i="3" s="1"/>
  <c r="O26" i="3" a="1"/>
  <c r="O26" i="3" s="1"/>
  <c r="P26" i="3" s="1"/>
  <c r="O29" i="3" a="1"/>
  <c r="O29" i="3" s="1"/>
  <c r="P29" i="3" s="1"/>
  <c r="O6" i="3" a="1"/>
  <c r="O6" i="3" s="1"/>
  <c r="P6" i="3" s="1"/>
  <c r="O7" i="3" a="1"/>
  <c r="O7" i="3" s="1"/>
  <c r="P7" i="3" s="1"/>
  <c r="O35" i="3" a="1"/>
  <c r="O35" i="3" s="1"/>
  <c r="P35" i="3" s="1"/>
  <c r="O19" i="3" a="1"/>
  <c r="O19" i="3" s="1"/>
  <c r="P19" i="3" s="1"/>
  <c r="O5" i="3" a="1"/>
  <c r="O5" i="3" s="1"/>
  <c r="P5" i="3" s="1"/>
  <c r="O43" i="3" a="1"/>
  <c r="O43" i="3" s="1"/>
  <c r="P43" i="3" s="1"/>
  <c r="O8" i="3" a="1"/>
  <c r="O8" i="3" s="1"/>
  <c r="P8" i="3" s="1"/>
  <c r="O2" i="3" a="1"/>
  <c r="O2" i="3" s="1"/>
  <c r="P2" i="3" s="1"/>
  <c r="O16" i="3" a="1"/>
  <c r="O16" i="3" s="1"/>
  <c r="P16" i="3" s="1"/>
  <c r="O22" i="3" a="1"/>
  <c r="O22" i="3" s="1"/>
  <c r="P22" i="3" s="1"/>
  <c r="O37" i="3" a="1"/>
  <c r="O37" i="3" s="1"/>
  <c r="P37" i="3" s="1"/>
  <c r="O10" i="3" a="1"/>
  <c r="O10" i="3" s="1"/>
  <c r="P10" i="3" s="1"/>
  <c r="O9" i="3" a="1"/>
  <c r="O9" i="3" s="1"/>
  <c r="P9" i="3" s="1"/>
  <c r="O23" i="3" a="1"/>
  <c r="O23" i="3" s="1"/>
  <c r="P23" i="3" s="1"/>
  <c r="O48" i="3" a="1"/>
  <c r="O48" i="3" s="1"/>
  <c r="P48" i="3" s="1"/>
  <c r="O20" i="3" a="1"/>
  <c r="O20" i="3" s="1"/>
  <c r="P20" i="3" s="1"/>
  <c r="O36" i="3" a="1"/>
  <c r="O36" i="3" s="1"/>
  <c r="P36" i="3" s="1"/>
  <c r="O50" i="3" a="1"/>
  <c r="O50" i="3" s="1"/>
  <c r="P50" i="3" s="1"/>
  <c r="O25" i="3" a="1"/>
  <c r="O25" i="3" s="1"/>
  <c r="P25" i="3" s="1"/>
  <c r="O12" i="3" a="1"/>
  <c r="O12" i="3" s="1"/>
  <c r="P12" i="3" s="1"/>
  <c r="O42" i="3" a="1"/>
  <c r="O42" i="3" s="1"/>
  <c r="P42" i="3" s="1"/>
  <c r="O18" i="3" a="1"/>
  <c r="O18" i="3" s="1"/>
  <c r="P18" i="3" s="1"/>
  <c r="O3" i="3" a="1"/>
  <c r="O3" i="3" s="1"/>
  <c r="P3" i="3" s="1"/>
  <c r="O15" i="3" a="1"/>
  <c r="O15" i="3" s="1"/>
  <c r="P15" i="3" s="1"/>
  <c r="O31" i="3" a="1"/>
  <c r="O31" i="3" s="1"/>
  <c r="P31" i="3" s="1"/>
  <c r="O30" i="3" a="1"/>
  <c r="O30" i="3" s="1"/>
  <c r="P30" i="3" s="1"/>
  <c r="O38" i="3" a="1"/>
  <c r="O38" i="3" s="1"/>
  <c r="P38" i="3" s="1"/>
  <c r="O33" i="3" a="1"/>
  <c r="O33" i="3" s="1"/>
  <c r="P33" i="3" s="1"/>
  <c r="O32" i="3" a="1"/>
  <c r="O32" i="3" s="1"/>
  <c r="P32" i="3" s="1"/>
  <c r="O34" i="3" a="1"/>
  <c r="O34" i="3" s="1"/>
  <c r="P34" i="3" s="1"/>
  <c r="M44" i="3"/>
  <c r="D34" i="2"/>
  <c r="M40" i="3"/>
  <c r="N47" i="3" a="1"/>
  <c r="N47" i="3" s="1"/>
  <c r="N29" i="3" a="1"/>
  <c r="N29" i="3" s="1"/>
  <c r="N11" i="3" a="1"/>
  <c r="N11" i="3" s="1"/>
  <c r="N46" i="3" a="1"/>
  <c r="N46" i="3" s="1"/>
  <c r="N28" i="3" a="1"/>
  <c r="N28" i="3" s="1"/>
  <c r="N10" i="3" a="1"/>
  <c r="N10" i="3" s="1"/>
  <c r="N39" i="3" a="1"/>
  <c r="N39" i="3" s="1"/>
  <c r="N17" i="3" a="1"/>
  <c r="N17" i="3" s="1"/>
  <c r="N32" i="3" a="1"/>
  <c r="N32" i="3" s="1"/>
  <c r="N30" i="3" a="1"/>
  <c r="N30" i="3" s="1"/>
  <c r="N45" i="3" a="1"/>
  <c r="N45" i="3" s="1"/>
  <c r="N27" i="3" a="1"/>
  <c r="N27" i="3" s="1"/>
  <c r="N9" i="3" a="1"/>
  <c r="N9" i="3" s="1"/>
  <c r="N22" i="3" a="1"/>
  <c r="N22" i="3" s="1"/>
  <c r="N20" i="3" a="1"/>
  <c r="N20" i="3" s="1"/>
  <c r="N18" i="3" a="1"/>
  <c r="N18" i="3" s="1"/>
  <c r="N33" i="3" a="1"/>
  <c r="N33" i="3" s="1"/>
  <c r="N13" i="3" a="1"/>
  <c r="N13" i="3" s="1"/>
  <c r="N12" i="3" a="1"/>
  <c r="N12" i="3" s="1"/>
  <c r="N44" i="3" a="1"/>
  <c r="N44" i="3" s="1"/>
  <c r="N26" i="3" a="1"/>
  <c r="N26" i="3" s="1"/>
  <c r="N8" i="3" a="1"/>
  <c r="N8" i="3" s="1"/>
  <c r="N4" i="3" a="1"/>
  <c r="N4" i="3" s="1"/>
  <c r="N38" i="3" a="1"/>
  <c r="N38" i="3" s="1"/>
  <c r="N36" i="3" a="1"/>
  <c r="N36" i="3" s="1"/>
  <c r="N16" i="3" a="1"/>
  <c r="N16" i="3" s="1"/>
  <c r="N49" i="3" a="1"/>
  <c r="N49" i="3" s="1"/>
  <c r="N43" i="3" a="1"/>
  <c r="N43" i="3" s="1"/>
  <c r="N25" i="3" a="1"/>
  <c r="N25" i="3" s="1"/>
  <c r="N7" i="3" a="1"/>
  <c r="N7" i="3" s="1"/>
  <c r="N40" i="3" a="1"/>
  <c r="N40" i="3" s="1"/>
  <c r="N21" i="3" a="1"/>
  <c r="N21" i="3" s="1"/>
  <c r="N37" i="3" a="1"/>
  <c r="N37" i="3" s="1"/>
  <c r="N34" i="3" a="1"/>
  <c r="N34" i="3" s="1"/>
  <c r="N50" i="3" a="1"/>
  <c r="N50" i="3" s="1"/>
  <c r="N48" i="3" a="1"/>
  <c r="N48" i="3" s="1"/>
  <c r="N42" i="3" a="1"/>
  <c r="N42" i="3" s="1"/>
  <c r="N24" i="3" a="1"/>
  <c r="N24" i="3" s="1"/>
  <c r="N6" i="3" a="1"/>
  <c r="N6" i="3" s="1"/>
  <c r="N5" i="3" a="1"/>
  <c r="N5" i="3" s="1"/>
  <c r="N3" i="3" a="1"/>
  <c r="N3" i="3" s="1"/>
  <c r="N35" i="3" a="1"/>
  <c r="N35" i="3" s="1"/>
  <c r="N15" i="3" a="1"/>
  <c r="N15" i="3" s="1"/>
  <c r="N31" i="3" a="1"/>
  <c r="N31" i="3" s="1"/>
  <c r="N41" i="3" a="1"/>
  <c r="N41" i="3" s="1"/>
  <c r="N23" i="3" a="1"/>
  <c r="N23" i="3" s="1"/>
  <c r="N2" i="3" a="1"/>
  <c r="N2" i="3" s="1"/>
  <c r="N14" i="3" a="1"/>
  <c r="N14" i="3" s="1"/>
  <c r="N19" i="3" a="1"/>
  <c r="N19" i="3" s="1"/>
  <c r="D21" i="2"/>
  <c r="D29" i="2"/>
  <c r="D32" i="2"/>
  <c r="D22" i="2"/>
  <c r="D24" i="2"/>
  <c r="D41" i="2"/>
  <c r="D37" i="2"/>
  <c r="M48" i="3"/>
  <c r="M35" i="3"/>
  <c r="M18" i="3"/>
  <c r="D40" i="2"/>
  <c r="M16" i="3"/>
  <c r="M22" i="3"/>
  <c r="M47" i="3"/>
  <c r="M9" i="3"/>
  <c r="M24" i="3"/>
  <c r="M32" i="3"/>
  <c r="M23" i="3"/>
  <c r="M34" i="3"/>
  <c r="M7" i="3"/>
  <c r="M25" i="3"/>
  <c r="M46" i="3"/>
  <c r="M33" i="3"/>
  <c r="M45" i="3"/>
  <c r="M41" i="3"/>
  <c r="M3" i="3"/>
  <c r="M20" i="3"/>
  <c r="M14" i="3"/>
  <c r="M36" i="3"/>
  <c r="M30" i="3"/>
  <c r="D35" i="2"/>
  <c r="M6" i="3"/>
  <c r="M31" i="3"/>
  <c r="M26" i="3"/>
  <c r="M50" i="3"/>
  <c r="M19" i="3"/>
  <c r="M37" i="3"/>
  <c r="M43" i="3"/>
  <c r="M5" i="3"/>
  <c r="D43" i="2"/>
  <c r="M28" i="3"/>
  <c r="M15" i="3"/>
  <c r="M29" i="3"/>
  <c r="M13" i="3"/>
  <c r="M4" i="3"/>
  <c r="D27" i="2"/>
  <c r="M21" i="3"/>
  <c r="M11" i="3"/>
  <c r="M38" i="3"/>
  <c r="D38" i="2"/>
  <c r="M49" i="3"/>
  <c r="M12" i="3"/>
  <c r="B48" i="2"/>
  <c r="M2" i="3"/>
  <c r="M39" i="3"/>
  <c r="M27" i="3"/>
  <c r="M17" i="3"/>
  <c r="M8" i="3"/>
  <c r="M10" i="3"/>
  <c r="M42" i="3"/>
  <c r="D42" i="2"/>
  <c r="D25" i="2"/>
  <c r="D60" i="2" l="1"/>
  <c r="E60" i="2"/>
  <c r="C60" i="2"/>
  <c r="B60" i="2"/>
  <c r="D64" i="2"/>
  <c r="B64" i="2"/>
  <c r="E64" i="2"/>
  <c r="C64" i="2"/>
  <c r="D65" i="2"/>
  <c r="E65" i="2"/>
  <c r="C65" i="2"/>
  <c r="B65" i="2"/>
  <c r="E61" i="2"/>
  <c r="D61" i="2"/>
  <c r="C61" i="2"/>
  <c r="B61" i="2"/>
  <c r="D63" i="2"/>
  <c r="E63" i="2"/>
  <c r="B63" i="2"/>
  <c r="C63" i="2"/>
  <c r="D59" i="2"/>
  <c r="C59" i="2"/>
  <c r="E59" i="2"/>
  <c r="B59" i="2"/>
  <c r="D62" i="2"/>
  <c r="C62" i="2"/>
  <c r="E62" i="2"/>
  <c r="B62" i="2"/>
  <c r="B54" i="2" a="1"/>
  <c r="B54" i="2" s="1"/>
  <c r="B55" i="2" s="1"/>
  <c r="B49" i="2"/>
  <c r="B50" i="2" s="1"/>
  <c r="B51" i="2" s="1"/>
  <c r="A110" i="2"/>
  <c r="B110" i="2" s="1"/>
  <c r="A92" i="2"/>
  <c r="B92" i="2" s="1"/>
  <c r="A74" i="2"/>
  <c r="A120" i="2"/>
  <c r="B120" i="2" s="1"/>
  <c r="A83" i="2"/>
  <c r="B83" i="2" s="1"/>
  <c r="A82" i="2"/>
  <c r="B82" i="2" s="1"/>
  <c r="A116" i="2"/>
  <c r="B116" i="2" s="1"/>
  <c r="A97" i="2"/>
  <c r="B97" i="2" s="1"/>
  <c r="A96" i="2"/>
  <c r="B96" i="2" s="1"/>
  <c r="A113" i="2"/>
  <c r="B113" i="2" s="1"/>
  <c r="A109" i="2"/>
  <c r="B109" i="2" s="1"/>
  <c r="A91" i="2"/>
  <c r="B91" i="2" s="1"/>
  <c r="A73" i="2"/>
  <c r="A103" i="2"/>
  <c r="B103" i="2" s="1"/>
  <c r="A102" i="2"/>
  <c r="B102" i="2" s="1"/>
  <c r="A118" i="2"/>
  <c r="B118" i="2" s="1"/>
  <c r="A81" i="2"/>
  <c r="B81" i="2" s="1"/>
  <c r="A80" i="2"/>
  <c r="B80" i="2" s="1"/>
  <c r="A112" i="2"/>
  <c r="B112" i="2" s="1"/>
  <c r="A75" i="2"/>
  <c r="B75" i="2" s="1"/>
  <c r="A108" i="2"/>
  <c r="B108" i="2" s="1"/>
  <c r="A90" i="2"/>
  <c r="B90" i="2" s="1"/>
  <c r="A86" i="2"/>
  <c r="B86" i="2" s="1"/>
  <c r="A85" i="2"/>
  <c r="B85" i="2" s="1"/>
  <c r="A84" i="2"/>
  <c r="B84" i="2" s="1"/>
  <c r="A77" i="2"/>
  <c r="B77" i="2" s="1"/>
  <c r="A107" i="2"/>
  <c r="B107" i="2" s="1"/>
  <c r="A89" i="2"/>
  <c r="B89" i="2" s="1"/>
  <c r="A72" i="2"/>
  <c r="A104" i="2"/>
  <c r="B104" i="2" s="1"/>
  <c r="A100" i="2"/>
  <c r="B100" i="2" s="1"/>
  <c r="A98" i="2"/>
  <c r="B98" i="2" s="1"/>
  <c r="A115" i="2"/>
  <c r="B115" i="2" s="1"/>
  <c r="A114" i="2"/>
  <c r="B114" i="2" s="1"/>
  <c r="A94" i="2"/>
  <c r="B94" i="2" s="1"/>
  <c r="A106" i="2"/>
  <c r="B106" i="2" s="1"/>
  <c r="A88" i="2"/>
  <c r="B88" i="2" s="1"/>
  <c r="A101" i="2"/>
  <c r="B101" i="2" s="1"/>
  <c r="A99" i="2"/>
  <c r="B99" i="2" s="1"/>
  <c r="A93" i="2"/>
  <c r="B93" i="2" s="1"/>
  <c r="A105" i="2"/>
  <c r="B105" i="2" s="1"/>
  <c r="A87" i="2"/>
  <c r="B87" i="2" s="1"/>
  <c r="A119" i="2"/>
  <c r="B119" i="2" s="1"/>
  <c r="A117" i="2"/>
  <c r="B117" i="2" s="1"/>
  <c r="A79" i="2"/>
  <c r="B79" i="2" s="1"/>
  <c r="A78" i="2"/>
  <c r="B78" i="2" s="1"/>
  <c r="A95" i="2"/>
  <c r="B95" i="2" s="1"/>
  <c r="A76" i="2"/>
  <c r="B76" i="2" s="1"/>
  <c r="A111" i="2"/>
  <c r="B111" i="2" s="1"/>
  <c r="A169" i="2"/>
  <c r="A151" i="2"/>
  <c r="A133" i="2"/>
  <c r="A158" i="2"/>
  <c r="A140" i="2"/>
  <c r="A122" i="2"/>
  <c r="A165" i="2"/>
  <c r="A147" i="2"/>
  <c r="A129" i="2"/>
  <c r="A171" i="2"/>
  <c r="A153" i="2"/>
  <c r="A135" i="2"/>
  <c r="A146" i="2"/>
  <c r="A137" i="2"/>
  <c r="A132" i="2"/>
  <c r="A123" i="2"/>
  <c r="A164" i="2"/>
  <c r="A155" i="2"/>
  <c r="A150" i="2"/>
  <c r="A141" i="2"/>
  <c r="A136" i="2"/>
  <c r="A127" i="2"/>
  <c r="A173" i="2"/>
  <c r="A168" i="2"/>
  <c r="A159" i="2"/>
  <c r="A154" i="2"/>
  <c r="A145" i="2"/>
  <c r="A131" i="2"/>
  <c r="A144" i="2"/>
  <c r="A139" i="2"/>
  <c r="A130" i="2"/>
  <c r="A125" i="2"/>
  <c r="A170" i="2"/>
  <c r="A156" i="2"/>
  <c r="A142" i="2"/>
  <c r="A128" i="2"/>
  <c r="A174" i="2"/>
  <c r="A160" i="2"/>
  <c r="A167" i="2"/>
  <c r="A157" i="2"/>
  <c r="A166" i="2"/>
  <c r="A134" i="2"/>
  <c r="A124" i="2"/>
  <c r="A148" i="2"/>
  <c r="A138" i="2"/>
  <c r="A126" i="2"/>
  <c r="A121" i="2"/>
  <c r="A163" i="2"/>
  <c r="A143" i="2"/>
  <c r="A172" i="2"/>
  <c r="A162" i="2"/>
  <c r="A152" i="2"/>
  <c r="A161" i="2"/>
  <c r="A149" i="2"/>
  <c r="B73" i="2" l="1"/>
  <c r="D73" i="2"/>
  <c r="E73" i="2" s="1"/>
  <c r="C73" i="2"/>
  <c r="D72" i="2"/>
  <c r="E72" i="2" s="1"/>
  <c r="B72" i="2"/>
  <c r="C72" i="2"/>
  <c r="B74" i="2"/>
  <c r="C74" i="2"/>
  <c r="D74" i="2"/>
  <c r="E74" i="2" s="1"/>
  <c r="B53" i="2"/>
  <c r="B52" i="2"/>
  <c r="C167" i="2"/>
  <c r="E167" i="2"/>
  <c r="D167" i="2"/>
  <c r="B167" i="2"/>
  <c r="D110" i="2"/>
  <c r="E110" i="2" s="1"/>
  <c r="C110" i="2"/>
  <c r="C97" i="2"/>
  <c r="D97" i="2"/>
  <c r="E97" i="2" s="1"/>
  <c r="E135" i="2"/>
  <c r="D135" i="2"/>
  <c r="B135" i="2"/>
  <c r="C135" i="2"/>
  <c r="E143" i="2"/>
  <c r="D143" i="2"/>
  <c r="C143" i="2"/>
  <c r="B143" i="2"/>
  <c r="D81" i="2"/>
  <c r="E81" i="2" s="1"/>
  <c r="C81" i="2"/>
  <c r="C84" i="2"/>
  <c r="D84" i="2"/>
  <c r="E84" i="2" s="1"/>
  <c r="C113" i="2"/>
  <c r="D113" i="2"/>
  <c r="E113" i="2" s="1"/>
  <c r="E153" i="2"/>
  <c r="D153" i="2"/>
  <c r="C153" i="2"/>
  <c r="B153" i="2"/>
  <c r="E163" i="2"/>
  <c r="D163" i="2"/>
  <c r="C163" i="2"/>
  <c r="B163" i="2"/>
  <c r="D107" i="2"/>
  <c r="E107" i="2" s="1"/>
  <c r="C107" i="2"/>
  <c r="D103" i="2"/>
  <c r="E103" i="2" s="1"/>
  <c r="C103" i="2"/>
  <c r="E127" i="2"/>
  <c r="C127" i="2"/>
  <c r="B127" i="2"/>
  <c r="D127" i="2"/>
  <c r="C171" i="2"/>
  <c r="D171" i="2"/>
  <c r="B171" i="2"/>
  <c r="E171" i="2"/>
  <c r="D112" i="2"/>
  <c r="E112" i="2" s="1"/>
  <c r="C112" i="2"/>
  <c r="D101" i="2"/>
  <c r="E101" i="2" s="1"/>
  <c r="C101" i="2"/>
  <c r="D116" i="2"/>
  <c r="E116" i="2" s="1"/>
  <c r="C116" i="2"/>
  <c r="D136" i="2"/>
  <c r="C136" i="2"/>
  <c r="B136" i="2"/>
  <c r="E136" i="2"/>
  <c r="C111" i="2"/>
  <c r="D111" i="2"/>
  <c r="E111" i="2"/>
  <c r="D121" i="2"/>
  <c r="E121" i="2" s="1"/>
  <c r="C121" i="2"/>
  <c r="B121" i="2"/>
  <c r="C129" i="2"/>
  <c r="B129" i="2"/>
  <c r="E129" i="2"/>
  <c r="D129" i="2"/>
  <c r="E130" i="2"/>
  <c r="D130" i="2"/>
  <c r="B130" i="2"/>
  <c r="C130" i="2"/>
  <c r="D91" i="2"/>
  <c r="E91" i="2" s="1"/>
  <c r="C91" i="2"/>
  <c r="D138" i="2"/>
  <c r="C138" i="2"/>
  <c r="B138" i="2"/>
  <c r="E138" i="2"/>
  <c r="D174" i="2"/>
  <c r="E174" i="2"/>
  <c r="C174" i="2"/>
  <c r="B174" i="2"/>
  <c r="E139" i="2"/>
  <c r="D139" i="2"/>
  <c r="C139" i="2"/>
  <c r="B139" i="2"/>
  <c r="C155" i="2"/>
  <c r="B155" i="2"/>
  <c r="E155" i="2"/>
  <c r="D155" i="2"/>
  <c r="C165" i="2"/>
  <c r="B165" i="2"/>
  <c r="E165" i="2"/>
  <c r="D165" i="2"/>
  <c r="D92" i="2"/>
  <c r="E92" i="2" s="1"/>
  <c r="C92" i="2"/>
  <c r="C148" i="2"/>
  <c r="D148" i="2"/>
  <c r="B148" i="2"/>
  <c r="E148" i="2"/>
  <c r="C79" i="2"/>
  <c r="D79" i="2"/>
  <c r="E79" i="2" s="1"/>
  <c r="D144" i="2"/>
  <c r="B144" i="2"/>
  <c r="E144" i="2"/>
  <c r="C144" i="2"/>
  <c r="C164" i="2"/>
  <c r="B164" i="2"/>
  <c r="E164" i="2"/>
  <c r="D164" i="2"/>
  <c r="D86" i="2"/>
  <c r="E86" i="2" s="1"/>
  <c r="C86" i="2"/>
  <c r="C100" i="2"/>
  <c r="D100" i="2"/>
  <c r="E100" i="2" s="1"/>
  <c r="D87" i="2"/>
  <c r="E87" i="2" s="1"/>
  <c r="C87" i="2"/>
  <c r="C94" i="2"/>
  <c r="D94" i="2"/>
  <c r="E94" i="2" s="1"/>
  <c r="D85" i="2"/>
  <c r="E85" i="2" s="1"/>
  <c r="C85" i="2"/>
  <c r="D82" i="2"/>
  <c r="E82" i="2" s="1"/>
  <c r="C82" i="2"/>
  <c r="D104" i="2"/>
  <c r="E104" i="2" s="1"/>
  <c r="C104" i="2"/>
  <c r="D99" i="2"/>
  <c r="E99" i="2" s="1"/>
  <c r="C99" i="2"/>
  <c r="C95" i="2"/>
  <c r="D95" i="2"/>
  <c r="E95" i="2" s="1"/>
  <c r="D114" i="2"/>
  <c r="E114" i="2" s="1"/>
  <c r="C114" i="2"/>
  <c r="C131" i="2"/>
  <c r="D131" i="2"/>
  <c r="B131" i="2"/>
  <c r="E131" i="2"/>
  <c r="D109" i="2"/>
  <c r="E109" i="2" s="1"/>
  <c r="C109" i="2"/>
  <c r="B122" i="2"/>
  <c r="D122" i="2"/>
  <c r="E122" i="2" s="1"/>
  <c r="C122" i="2"/>
  <c r="C77" i="2"/>
  <c r="D77" i="2"/>
  <c r="E77" i="2" s="1"/>
  <c r="C141" i="2"/>
  <c r="B141" i="2"/>
  <c r="E141" i="2"/>
  <c r="D141" i="2"/>
  <c r="B160" i="2"/>
  <c r="E160" i="2"/>
  <c r="D160" i="2"/>
  <c r="C160" i="2"/>
  <c r="B124" i="2"/>
  <c r="E124" i="2"/>
  <c r="D124" i="2"/>
  <c r="C124" i="2"/>
  <c r="B140" i="2"/>
  <c r="E140" i="2"/>
  <c r="D140" i="2"/>
  <c r="C140" i="2"/>
  <c r="C128" i="2"/>
  <c r="B128" i="2"/>
  <c r="D128" i="2"/>
  <c r="E128" i="2"/>
  <c r="B158" i="2"/>
  <c r="D158" i="2"/>
  <c r="C158" i="2"/>
  <c r="E158" i="2"/>
  <c r="E166" i="2"/>
  <c r="D166" i="2"/>
  <c r="C166" i="2"/>
  <c r="B166" i="2"/>
  <c r="D98" i="2"/>
  <c r="E98" i="2" s="1"/>
  <c r="C98" i="2"/>
  <c r="D115" i="2"/>
  <c r="E115" i="2" s="1"/>
  <c r="C115" i="2"/>
  <c r="E157" i="2"/>
  <c r="C157" i="2"/>
  <c r="D157" i="2"/>
  <c r="B157" i="2"/>
  <c r="E168" i="2"/>
  <c r="D168" i="2"/>
  <c r="C168" i="2"/>
  <c r="B168" i="2"/>
  <c r="C133" i="2"/>
  <c r="B133" i="2"/>
  <c r="E133" i="2"/>
  <c r="D133" i="2"/>
  <c r="D120" i="2"/>
  <c r="E120" i="2" s="1"/>
  <c r="C120" i="2"/>
  <c r="C80" i="2"/>
  <c r="D80" i="2"/>
  <c r="E80" i="2" s="1"/>
  <c r="D156" i="2"/>
  <c r="B156" i="2"/>
  <c r="C156" i="2"/>
  <c r="E156" i="2"/>
  <c r="E173" i="2"/>
  <c r="D173" i="2"/>
  <c r="C173" i="2"/>
  <c r="B173" i="2"/>
  <c r="E132" i="2"/>
  <c r="D132" i="2"/>
  <c r="C132" i="2"/>
  <c r="B132" i="2"/>
  <c r="E151" i="2"/>
  <c r="D151" i="2"/>
  <c r="C151" i="2"/>
  <c r="B151" i="2"/>
  <c r="D90" i="2"/>
  <c r="E90" i="2" s="1"/>
  <c r="C90" i="2"/>
  <c r="E126" i="2"/>
  <c r="D126" i="2"/>
  <c r="C126" i="2"/>
  <c r="B126" i="2"/>
  <c r="C147" i="2"/>
  <c r="B147" i="2"/>
  <c r="D147" i="2"/>
  <c r="E147" i="2"/>
  <c r="D108" i="2"/>
  <c r="E108" i="2" s="1"/>
  <c r="C108" i="2"/>
  <c r="C119" i="2"/>
  <c r="D119" i="2"/>
  <c r="E119" i="2" s="1"/>
  <c r="D75" i="2"/>
  <c r="E75" i="2" s="1"/>
  <c r="C75" i="2"/>
  <c r="C149" i="2"/>
  <c r="E149" i="2"/>
  <c r="D149" i="2"/>
  <c r="B149" i="2"/>
  <c r="D154" i="2"/>
  <c r="C154" i="2"/>
  <c r="B154" i="2"/>
  <c r="E154" i="2"/>
  <c r="E161" i="2"/>
  <c r="D161" i="2"/>
  <c r="C161" i="2"/>
  <c r="B161" i="2"/>
  <c r="E159" i="2"/>
  <c r="C159" i="2"/>
  <c r="B159" i="2"/>
  <c r="D159" i="2"/>
  <c r="D118" i="2"/>
  <c r="E118" i="2" s="1"/>
  <c r="C118" i="2"/>
  <c r="D76" i="2"/>
  <c r="E76" i="2" s="1"/>
  <c r="C76" i="2"/>
  <c r="B142" i="2"/>
  <c r="C142" i="2"/>
  <c r="E142" i="2"/>
  <c r="D142" i="2"/>
  <c r="E123" i="2"/>
  <c r="D123" i="2"/>
  <c r="C123" i="2"/>
  <c r="B123" i="2"/>
  <c r="E152" i="2"/>
  <c r="D152" i="2"/>
  <c r="C152" i="2"/>
  <c r="B152" i="2"/>
  <c r="D88" i="2"/>
  <c r="E88" i="2" s="1"/>
  <c r="C88" i="2"/>
  <c r="B170" i="2"/>
  <c r="C170" i="2"/>
  <c r="E170" i="2"/>
  <c r="D170" i="2"/>
  <c r="D78" i="2"/>
  <c r="E78" i="2" s="1"/>
  <c r="C78" i="2"/>
  <c r="E137" i="2"/>
  <c r="D137" i="2"/>
  <c r="C137" i="2"/>
  <c r="B137" i="2"/>
  <c r="C169" i="2"/>
  <c r="E169" i="2"/>
  <c r="D169" i="2"/>
  <c r="B169" i="2"/>
  <c r="E125" i="2"/>
  <c r="D125" i="2"/>
  <c r="C125" i="2"/>
  <c r="B125" i="2"/>
  <c r="E150" i="2"/>
  <c r="D150" i="2"/>
  <c r="C150" i="2"/>
  <c r="B150" i="2"/>
  <c r="E145" i="2"/>
  <c r="C145" i="2"/>
  <c r="B145" i="2"/>
  <c r="D145" i="2"/>
  <c r="C134" i="2"/>
  <c r="D134" i="2"/>
  <c r="E134" i="2"/>
  <c r="B134" i="2"/>
  <c r="D105" i="2"/>
  <c r="E105" i="2" s="1"/>
  <c r="C105" i="2"/>
  <c r="C162" i="2"/>
  <c r="E162" i="2"/>
  <c r="D162" i="2"/>
  <c r="B162" i="2"/>
  <c r="D96" i="2"/>
  <c r="E96" i="2" s="1"/>
  <c r="C96" i="2"/>
  <c r="D83" i="2"/>
  <c r="E83" i="2" s="1"/>
  <c r="C83" i="2"/>
  <c r="D89" i="2"/>
  <c r="E89" i="2" s="1"/>
  <c r="C89" i="2"/>
  <c r="E146" i="2"/>
  <c r="D146" i="2"/>
  <c r="C146" i="2"/>
  <c r="B146" i="2"/>
  <c r="D172" i="2"/>
  <c r="C172" i="2"/>
  <c r="B172" i="2"/>
  <c r="E172" i="2"/>
  <c r="D106" i="2"/>
  <c r="E106" i="2" s="1"/>
  <c r="C106" i="2"/>
  <c r="C102" i="2"/>
  <c r="D102" i="2"/>
  <c r="E102" i="2" s="1"/>
  <c r="D93" i="2"/>
  <c r="E93" i="2" s="1"/>
  <c r="C93" i="2"/>
  <c r="D117" i="2"/>
  <c r="E117" i="2" s="1"/>
  <c r="C117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<sst xmlns="http://schemas.openxmlformats.org/spreadsheetml/2006/main" count="635" uniqueCount="429">
  <si>
    <t>Name</t>
  </si>
  <si>
    <t>Gender</t>
  </si>
  <si>
    <t xml:space="preserve">❤︎♂? </t>
  </si>
  <si>
    <t>❤︎♀?</t>
  </si>
  <si>
    <t>❤︎⚧?</t>
  </si>
  <si>
    <t>📊 SUMMARY</t>
  </si>
  <si>
    <t>Nonbinary</t>
  </si>
  <si>
    <t>✓</t>
  </si>
  <si>
    <t>Total Miis</t>
  </si>
  <si>
    <t>Likes  ♂</t>
  </si>
  <si>
    <t>Male</t>
  </si>
  <si>
    <t>✗</t>
  </si>
  <si>
    <t>Likes ♀</t>
  </si>
  <si>
    <t>Female</t>
  </si>
  <si>
    <t>Likes ⚧</t>
  </si>
  <si>
    <t>🏝️ MII RELATIONSHIP ANALYSIS</t>
  </si>
  <si>
    <t>Optimal pairing to minimize Miis who fail to find a relationship</t>
  </si>
  <si>
    <t>📊 POPULATION OVERVIEW</t>
  </si>
  <si>
    <t>Metric</t>
  </si>
  <si>
    <t>Count</t>
  </si>
  <si>
    <t>% of Total</t>
  </si>
  <si>
    <t>—</t>
  </si>
  <si>
    <t xml:space="preserve">  Males</t>
  </si>
  <si>
    <t xml:space="preserve">  Females</t>
  </si>
  <si>
    <t xml:space="preserve">  Enbies</t>
  </si>
  <si>
    <t>💕 ATTRACTION PREFERENCES</t>
  </si>
  <si>
    <t>Preference</t>
  </si>
  <si>
    <t>Attracted to men</t>
  </si>
  <si>
    <t>Attracted to women</t>
  </si>
  <si>
    <t>Attracted to enbies</t>
  </si>
  <si>
    <t>Attracted to nobody</t>
  </si>
  <si>
    <t>🔍 SUPPLY &amp; DEMAND ANALYSIS</t>
  </si>
  <si>
    <t>Market</t>
  </si>
  <si>
    <t>Demand</t>
  </si>
  <si>
    <t>Supply</t>
  </si>
  <si>
    <t>♂ wanting nobody</t>
  </si>
  <si>
    <t>♂ wanting ⚧ only</t>
  </si>
  <si>
    <t>♂ wanting ♀ only</t>
  </si>
  <si>
    <t>♂ wanting ♀+⚧</t>
  </si>
  <si>
    <t>♂ wanting ♂ only</t>
  </si>
  <si>
    <t>♂ wanting ♂+⚧</t>
  </si>
  <si>
    <t>♂ wanting ♂+♀</t>
  </si>
  <si>
    <t>♂ wanting ♂+♀+⚧</t>
  </si>
  <si>
    <t>♀ wanting nobody</t>
  </si>
  <si>
    <t>♀ wanting ⚧ only</t>
  </si>
  <si>
    <t>♀ wanting ♀ only</t>
  </si>
  <si>
    <t>♀ wanting ♀+⚧</t>
  </si>
  <si>
    <t>♀ wanting ♂ only</t>
  </si>
  <si>
    <t>♀ wanting ♂+⚧</t>
  </si>
  <si>
    <t>♀ wanting ♂+♀</t>
  </si>
  <si>
    <t>♀ wanting ♂+♀+⚧</t>
  </si>
  <si>
    <t>⚧ wanting nobody</t>
  </si>
  <si>
    <t>⚧ wanting ⚧ only</t>
  </si>
  <si>
    <t>⚧ wanting ♀ only</t>
  </si>
  <si>
    <t>⚧ wanting ♀+⚧</t>
  </si>
  <si>
    <t>⚧ wanting ♂ only</t>
  </si>
  <si>
    <t>⚧ wanting ♂+⚧</t>
  </si>
  <si>
    <t>⚧ wanting ♂+♀</t>
  </si>
  <si>
    <t>⚧ wanting ♂+♀+⚧</t>
  </si>
  <si>
    <t>⚠️ MATCHING RESULTS</t>
  </si>
  <si>
    <t>Result</t>
  </si>
  <si>
    <t>Value</t>
  </si>
  <si>
    <t>Formula Logic</t>
  </si>
  <si>
    <t>Zero-Compatible (guaranteed alone)</t>
  </si>
  <si>
    <t>Miis with 0 compatible partners</t>
  </si>
  <si>
    <t>Surplus from constrained markets</t>
  </si>
  <si>
    <t>Exclusive-preference Miis exceeding reciprocal supply</t>
  </si>
  <si>
    <t>Parity adjustment (odd total)</t>
  </si>
  <si>
    <t>Odd remaining Miis → 1 extra unpaired</t>
  </si>
  <si>
    <t>📛 MINIMUM UNPAIRED MIIS</t>
  </si>
  <si>
    <t>zero-compatible + surplus + parity</t>
  </si>
  <si>
    <t>(total - unpaired) / 2</t>
  </si>
  <si>
    <t>Percentage who can find a partner</t>
  </si>
  <si>
    <t>WHO'S AT RISK? (0 Compatible Partners)</t>
  </si>
  <si>
    <t>Preferences</t>
  </si>
  <si>
    <t># Compatible</t>
  </si>
  <si>
    <t>Reason</t>
  </si>
  <si>
    <t>FULL COMPATIBILITY ROSTER</t>
  </si>
  <si>
    <t>♂?</t>
  </si>
  <si>
    <t>♀?</t>
  </si>
  <si>
    <t>⚧?</t>
  </si>
  <si>
    <t>Wants M</t>
  </si>
  <si>
    <t>Wants F</t>
  </si>
  <si>
    <t>Wants NB</t>
  </si>
  <si>
    <t>Is M</t>
  </si>
  <si>
    <t>Is F</t>
  </si>
  <si>
    <t>Is NB</t>
  </si>
  <si>
    <t>Rank</t>
  </si>
  <si>
    <t>Probability of finding a match</t>
  </si>
  <si>
    <t># compatible</t>
  </si>
  <si>
    <t>Surplus (unpaired)</t>
  </si>
  <si>
    <t>Maximum pairing success rate</t>
  </si>
  <si>
    <t>Maximum pairs formed</t>
  </si>
  <si>
    <t>Probable pairing success rate</t>
  </si>
  <si>
    <t>Demand Rate (H)</t>
  </si>
  <si>
    <t>Percentage who find a compatible partner under greedy random matching</t>
  </si>
  <si>
    <t>Avg Partner Compat</t>
  </si>
  <si>
    <t>CR Scale</t>
  </si>
  <si>
    <t>Probable pairs formed</t>
  </si>
  <si>
    <t>Narcissus</t>
  </si>
  <si>
    <t>Medusa</t>
  </si>
  <si>
    <t>The Sphinx</t>
  </si>
  <si>
    <t>Loki</t>
  </si>
  <si>
    <t>Tiresias</t>
  </si>
  <si>
    <t>Phanes</t>
  </si>
  <si>
    <t>Hermaphroditus</t>
  </si>
  <si>
    <t>Agdistis</t>
  </si>
  <si>
    <t>Vertumnus</t>
  </si>
  <si>
    <t>Ometeotl</t>
  </si>
  <si>
    <t>Ardhanarishvara</t>
  </si>
  <si>
    <t>Hapi</t>
  </si>
  <si>
    <t>Lan Caihe</t>
  </si>
  <si>
    <t>Achilles</t>
  </si>
  <si>
    <t>Patroclus</t>
  </si>
  <si>
    <t>Apollo</t>
  </si>
  <si>
    <t>Hyacinth</t>
  </si>
  <si>
    <t>Ganymede</t>
  </si>
  <si>
    <t>Antinous</t>
  </si>
  <si>
    <t>Alexander</t>
  </si>
  <si>
    <t>Hephaestion</t>
  </si>
  <si>
    <t>Zeus</t>
  </si>
  <si>
    <t>Poseidon</t>
  </si>
  <si>
    <t>Hades</t>
  </si>
  <si>
    <t>Ares</t>
  </si>
  <si>
    <t>Orpheus</t>
  </si>
  <si>
    <t>Paris</t>
  </si>
  <si>
    <t>Dionysus</t>
  </si>
  <si>
    <t>Hermes</t>
  </si>
  <si>
    <t>Pan</t>
  </si>
  <si>
    <t>Eros</t>
  </si>
  <si>
    <t>Sappho</t>
  </si>
  <si>
    <t>Artemis</t>
  </si>
  <si>
    <t>Athena</t>
  </si>
  <si>
    <t>Persephone</t>
  </si>
  <si>
    <t>Aphrodite</t>
  </si>
  <si>
    <t>Helen</t>
  </si>
  <si>
    <t>Penelope</t>
  </si>
  <si>
    <t>Circe</t>
  </si>
  <si>
    <t>Cleopatra</t>
  </si>
  <si>
    <t>Isis</t>
  </si>
  <si>
    <t>Freya</t>
  </si>
  <si>
    <t>Hera</t>
  </si>
  <si>
    <t>Demeter</t>
  </si>
  <si>
    <t>Nyx</t>
  </si>
  <si>
    <t>Prometheus</t>
  </si>
  <si>
    <t>Atlas</t>
  </si>
  <si>
    <t>Odin</t>
  </si>
  <si>
    <t>Thor</t>
  </si>
  <si>
    <t xml:space="preserve">                    GNU GENERAL PUBLIC LICENSE</t>
  </si>
  <si>
    <t xml:space="preserve">                       Version 2, June 1991</t>
  </si>
  <si>
    <t xml:space="preserve"> Copyright (C) 1989, 1991 Free Software Foundation, Inc.,</t>
  </si>
  <si>
    <t xml:space="preserve"> &lt;https://fsf.org/&gt;</t>
  </si>
  <si>
    <t xml:space="preserve"> Everyone is permitted to copy and distribute verbatim copies</t>
  </si>
  <si>
    <t xml:space="preserve"> of this license document, but changing it is not allowed.</t>
  </si>
  <si>
    <t xml:space="preserve">                            Preamble</t>
  </si>
  <si>
    <t xml:space="preserve">  The licenses for most software are designed to take away your</t>
  </si>
  <si>
    <t>freedom to share and change it.  By contrast, the GNU General Public</t>
  </si>
  <si>
    <t>License is intended to guarantee your freedom to share and change free</t>
  </si>
  <si>
    <t>software--to make sure the software is free for all its users.  This</t>
  </si>
  <si>
    <t>General Public License applies to most of the Free Software</t>
  </si>
  <si>
    <t>Foundation's software and to any other program whose authors commit to</t>
  </si>
  <si>
    <t>using it.  (Some other Free Software Foundation software is covered by</t>
  </si>
  <si>
    <t>the GNU Lesser General Public License instead.)  You can apply it to</t>
  </si>
  <si>
    <t>your programs, too.</t>
  </si>
  <si>
    <t xml:space="preserve">  When we speak of free software, we are referring to freedom, not</t>
  </si>
  <si>
    <t>price.  Our General Public Licenses are designed to make sure that you</t>
  </si>
  <si>
    <t>have the freedom to distribute copies of free software (and charge for</t>
  </si>
  <si>
    <t>this service if you wish), that you receive source code or can get it</t>
  </si>
  <si>
    <t>if you want it, that you can change the software or use pieces of it</t>
  </si>
  <si>
    <t>in new free programs; and that you know you can do these things.</t>
  </si>
  <si>
    <t xml:space="preserve">  To protect your rights, we need to make restrictions that forbid</t>
  </si>
  <si>
    <t>anyone to deny you these rights or to ask you to surrender the rights.</t>
  </si>
  <si>
    <t>These restrictions translate to certain responsibilities for you if you</t>
  </si>
  <si>
    <t>distribute copies of the software, or if you modify it.</t>
  </si>
  <si>
    <t xml:space="preserve">  For example, if you distribute copies of such a program, whether</t>
  </si>
  <si>
    <t>gratis or for a fee, you must give the recipients all the rights that</t>
  </si>
  <si>
    <t>you have.  You must make sure that they, too, receive or can get the</t>
  </si>
  <si>
    <t>source code.  And you must show them these terms so they know their</t>
  </si>
  <si>
    <t>rights.</t>
  </si>
  <si>
    <t xml:space="preserve">  We protect your rights with two steps: (1) copyright the software, and</t>
  </si>
  <si>
    <t>(2) offer you this license which gives you legal permission to copy,</t>
  </si>
  <si>
    <t>distribute and/or modify the software.</t>
  </si>
  <si>
    <t xml:space="preserve">  Also, for each author's protection and ours, we want to make certain</t>
  </si>
  <si>
    <t>that everyone understands that there is no warranty for this free</t>
  </si>
  <si>
    <t>software.  If the software is modified by someone else and passed on, we</t>
  </si>
  <si>
    <t>want its recipients to know that what they have is not the original, so</t>
  </si>
  <si>
    <t>that any problems introduced by others will not reflect on the original</t>
  </si>
  <si>
    <t>authors' reputations.</t>
  </si>
  <si>
    <t xml:space="preserve">  Finally, any free program is threatened constantly by software</t>
  </si>
  <si>
    <t>patents.  We wish to avoid the danger that redistributors of a free</t>
  </si>
  <si>
    <t>program will individually obtain patent licenses, in effect making the</t>
  </si>
  <si>
    <t>program proprietary.  To prevent this, we have made it clear that any</t>
  </si>
  <si>
    <t>patent must be licensed for everyone's free use or not licensed at all.</t>
  </si>
  <si>
    <t xml:space="preserve">  The precise terms and conditions for copying, distribution and</t>
  </si>
  <si>
    <t>modification follow.</t>
  </si>
  <si>
    <t xml:space="preserve">   TERMS AND CONDITIONS FOR COPYING, DISTRIBUTION AND MODIFICATION</t>
  </si>
  <si>
    <t xml:space="preserve">  0. This License applies to any program or other work which contains</t>
  </si>
  <si>
    <t>a notice placed by the copyright holder saying it may be distributed</t>
  </si>
  <si>
    <t>under the terms of this General Public License.  The "Program", below,</t>
  </si>
  <si>
    <t>refers to any such program or work, and a "work based on the Program"</t>
  </si>
  <si>
    <t>means either the Program or any derivative work under copyright law:</t>
  </si>
  <si>
    <t>that is to say, a work containing the Program or a portion of it,</t>
  </si>
  <si>
    <t>either verbatim or with modifications and/or translated into another</t>
  </si>
  <si>
    <t>language.  (Hereinafter, translation is included without limitation in</t>
  </si>
  <si>
    <t>the term "modification".)  Each licensee is addressed as "you".</t>
  </si>
  <si>
    <t>Activities other than copying, distribution and modification are not</t>
  </si>
  <si>
    <t>covered by this License; they are outside its scope.  The act of</t>
  </si>
  <si>
    <t>running the Program is not restricted, and the output from the Program</t>
  </si>
  <si>
    <t>is covered only if its contents constitute a work based on the</t>
  </si>
  <si>
    <t>Program (independent of having been made by running the Program).</t>
  </si>
  <si>
    <t>Whether that is true depends on what the Program does.</t>
  </si>
  <si>
    <t xml:space="preserve">  1. You may copy and distribute verbatim copies of the Program's</t>
  </si>
  <si>
    <t>source code as you receive it, in any medium, provided that you</t>
  </si>
  <si>
    <t>conspicuously and appropriately publish on each copy an appropriate</t>
  </si>
  <si>
    <t>copyright notice and disclaimer of warranty; keep intact all the</t>
  </si>
  <si>
    <t>notices that refer to this License and to the absence of any warranty;</t>
  </si>
  <si>
    <t>and give any other recipients of the Program a copy of this License</t>
  </si>
  <si>
    <t>along with the Program.</t>
  </si>
  <si>
    <t>You may charge a fee for the physical act of transferring a copy, and</t>
  </si>
  <si>
    <t>you may at your option offer warranty protection in exchange for a fee.</t>
  </si>
  <si>
    <t xml:space="preserve">  2. You may modify your copy or copies of the Program or any portion</t>
  </si>
  <si>
    <t>of it, thus forming a work based on the Program, and copy and</t>
  </si>
  <si>
    <t>distribute such modifications or work under the terms of Section 1</t>
  </si>
  <si>
    <t>above, provided that you also meet all of these conditions:</t>
  </si>
  <si>
    <t xml:space="preserve">    a) You must cause the modified files to carry prominent notices</t>
  </si>
  <si>
    <t xml:space="preserve">    stating that you changed the files and the date of any change.</t>
  </si>
  <si>
    <t xml:space="preserve">    b) You must cause any work that you distribute or publish, that in</t>
  </si>
  <si>
    <t xml:space="preserve">    whole or in part contains or is derived from the Program or any</t>
  </si>
  <si>
    <t xml:space="preserve">    part thereof, to be licensed as a whole at no charge to all third</t>
  </si>
  <si>
    <t xml:space="preserve">    parties under the terms of this License.</t>
  </si>
  <si>
    <t xml:space="preserve">    c) If the modified program normally reads commands interactively</t>
  </si>
  <si>
    <t xml:space="preserve">    when run, you must cause it, when started running for such</t>
  </si>
  <si>
    <t xml:space="preserve">    interactive use in the most ordinary way, to print or display an</t>
  </si>
  <si>
    <t xml:space="preserve">    announcement including an appropriate copyright notice and a</t>
  </si>
  <si>
    <t xml:space="preserve">    notice that there is no warranty (or else, saying that you provide</t>
  </si>
  <si>
    <t xml:space="preserve">    a warranty) and that users may redistribute the program under</t>
  </si>
  <si>
    <t xml:space="preserve">    these conditions, and telling the user how to view a copy of this</t>
  </si>
  <si>
    <t xml:space="preserve">    License.  (Exception: if the Program itself is interactive but</t>
  </si>
  <si>
    <t xml:space="preserve">    does not normally print such an announcement, your work based on</t>
  </si>
  <si>
    <t xml:space="preserve">    the Program is not required to print an announcement.)</t>
  </si>
  <si>
    <t>These requirements apply to the modified work as a whole.  If</t>
  </si>
  <si>
    <t>identifiable sections of that work are not derived from the Program,</t>
  </si>
  <si>
    <t>and can be reasonably considered independent and separate works in</t>
  </si>
  <si>
    <t>themselves, then this License, and its terms, do not apply to those</t>
  </si>
  <si>
    <t>sections when you distribute them as separate works.  But when you</t>
  </si>
  <si>
    <t>distribute the same sections as part of a whole which is a work based</t>
  </si>
  <si>
    <t>on the Program, the distribution of the whole must be on the terms of</t>
  </si>
  <si>
    <t>this License, whose permissions for other licensees extend to the</t>
  </si>
  <si>
    <t>entire whole, and thus to each and every part regardless of who wrote it.</t>
  </si>
  <si>
    <t>Thus, it is not the intent of this section to claim rights or contest</t>
  </si>
  <si>
    <t>your rights to work written entirely by you; rather, the intent is to</t>
  </si>
  <si>
    <t>exercise the right to control the distribution of derivative or</t>
  </si>
  <si>
    <t>collective works based on the Program.</t>
  </si>
  <si>
    <t>In addition, mere aggregation of another work not based on the Program</t>
  </si>
  <si>
    <t>with the Program (or with a work based on the Program) on a volume of</t>
  </si>
  <si>
    <t>a storage or distribution medium does not bring the other work under</t>
  </si>
  <si>
    <t>the scope of this License.</t>
  </si>
  <si>
    <t xml:space="preserve">  3. You may copy and distribute the Program (or a work based on it,</t>
  </si>
  <si>
    <t>under Section 2) in object code or executable form under the terms of</t>
  </si>
  <si>
    <t>Sections 1 and 2 above provided that you also do one of the following:</t>
  </si>
  <si>
    <t xml:space="preserve">    a) Accompany it with the complete corresponding machine-readable</t>
  </si>
  <si>
    <t xml:space="preserve">    source code, which must be distributed under the terms of Sections</t>
  </si>
  <si>
    <t xml:space="preserve">    1 and 2 above on a medium customarily used for software interchange; or,</t>
  </si>
  <si>
    <t xml:space="preserve">    b) Accompany it with a written offer, valid for at least three</t>
  </si>
  <si>
    <t xml:space="preserve">    years, to give any third party, for a charge no more than your</t>
  </si>
  <si>
    <t xml:space="preserve">    cost of physically performing source distribution, a complete</t>
  </si>
  <si>
    <t xml:space="preserve">    machine-readable copy of the corresponding source code, to be</t>
  </si>
  <si>
    <t xml:space="preserve">    distributed under the terms of Sections 1 and 2 above on a medium</t>
  </si>
  <si>
    <t xml:space="preserve">    customarily used for software interchange; or,</t>
  </si>
  <si>
    <t xml:space="preserve">    c) Accompany it with the information you received as to the offer</t>
  </si>
  <si>
    <t xml:space="preserve">    to distribute corresponding source code.  (This alternative is</t>
  </si>
  <si>
    <t xml:space="preserve">    allowed only for noncommercial distribution and only if you</t>
  </si>
  <si>
    <t xml:space="preserve">    received the program in object code or executable form with such</t>
  </si>
  <si>
    <t xml:space="preserve">    an offer, in accord with Subsection b above.)</t>
  </si>
  <si>
    <t>The source code for a work means the preferred form of the work for</t>
  </si>
  <si>
    <t>making modifications to it.  For an executable work, complete source</t>
  </si>
  <si>
    <t>code means all the source code for all modules it contains, plus any</t>
  </si>
  <si>
    <t>associated interface definition files, plus the scripts used to</t>
  </si>
  <si>
    <t>control compilation and installation of the executable.  However, as a</t>
  </si>
  <si>
    <t>special exception, the source code distributed need not include</t>
  </si>
  <si>
    <t>anything that is normally distributed (in either source or binary</t>
  </si>
  <si>
    <t>form) with the major components (compiler, kernel, and so on) of the</t>
  </si>
  <si>
    <t>operating system on which the executable runs, unless that component</t>
  </si>
  <si>
    <t>itself accompanies the executable.</t>
  </si>
  <si>
    <t>If distribution of executable or object code is made by offering</t>
  </si>
  <si>
    <t>access to copy from a designated place, then offering equivalent</t>
  </si>
  <si>
    <t>access to copy the source code from the same place counts as</t>
  </si>
  <si>
    <t>distribution of the source code, even though third parties are not</t>
  </si>
  <si>
    <t>compelled to copy the source along with the object code.</t>
  </si>
  <si>
    <t xml:space="preserve">  4. You may not copy, modify, sublicense, or distribute the Program</t>
  </si>
  <si>
    <t>except as expressly provided under this License.  Any attempt</t>
  </si>
  <si>
    <t>otherwise to copy, modify, sublicense or distribute the Program is</t>
  </si>
  <si>
    <t>void, and will automatically terminate your rights under this License.</t>
  </si>
  <si>
    <t>However, parties who have received copies, or rights, from you under</t>
  </si>
  <si>
    <t>this License will not have their licenses terminated so long as such</t>
  </si>
  <si>
    <t>parties remain in full compliance.</t>
  </si>
  <si>
    <t xml:space="preserve">  5. You are not required to accept this License, since you have not</t>
  </si>
  <si>
    <t>signed it.  However, nothing else grants you permission to modify or</t>
  </si>
  <si>
    <t>distribute the Program or its derivative works.  These actions are</t>
  </si>
  <si>
    <t>prohibited by law if you do not accept this License.  Therefore, by</t>
  </si>
  <si>
    <t>modifying or distributing the Program (or any work based on the</t>
  </si>
  <si>
    <t>Program), you indicate your acceptance of this License to do so, and</t>
  </si>
  <si>
    <t>all its terms and conditions for copying, distributing or modifying</t>
  </si>
  <si>
    <t>the Program or works based on it.</t>
  </si>
  <si>
    <t xml:space="preserve">  6. Each time you redistribute the Program (or any work based on the</t>
  </si>
  <si>
    <t>Program), the recipient automatically receives a license from the</t>
  </si>
  <si>
    <t>original licensor to copy, distribute or modify the Program subject to</t>
  </si>
  <si>
    <t>these terms and conditions.  You may not impose any further</t>
  </si>
  <si>
    <t>restrictions on the recipients' exercise of the rights granted herein.</t>
  </si>
  <si>
    <t>You are not responsible for enforcing compliance by third parties to</t>
  </si>
  <si>
    <t>this License.</t>
  </si>
  <si>
    <t xml:space="preserve">  7. If, as a consequence of a court judgment or allegation of patent</t>
  </si>
  <si>
    <t>infringement or for any other reason (not limited to patent issues),</t>
  </si>
  <si>
    <t>conditions are imposed on you (whether by court order, agreement or</t>
  </si>
  <si>
    <t>otherwise) that contradict the conditions of this License, they do not</t>
  </si>
  <si>
    <t>excuse you from the conditions of this License.  If you cannot</t>
  </si>
  <si>
    <t>distribute so as to satisfy simultaneously your obligations under this</t>
  </si>
  <si>
    <t>License and any other pertinent obligations, then as a consequence you</t>
  </si>
  <si>
    <t>may not distribute the Program at all.  For example, if a patent</t>
  </si>
  <si>
    <t>license would not permit royalty-free redistribution of the Program by</t>
  </si>
  <si>
    <t>all those who receive copies directly or indirectly through you, then</t>
  </si>
  <si>
    <t>the only way you could satisfy both it and this License would be to</t>
  </si>
  <si>
    <t>refrain entirely from distribution of the Program.</t>
  </si>
  <si>
    <t>If any portion of this section is held invalid or unenforceable under</t>
  </si>
  <si>
    <t>any particular circumstance, the balance of the section is intended to</t>
  </si>
  <si>
    <t>apply and the section as a whole is intended to apply in other</t>
  </si>
  <si>
    <t>circumstances.</t>
  </si>
  <si>
    <t>It is not the purpose of this section to induce you to infringe any</t>
  </si>
  <si>
    <t>patents or other property right claims or to contest validity of any</t>
  </si>
  <si>
    <t>such claims; this section has the sole purpose of protecting the</t>
  </si>
  <si>
    <t>integrity of the free software distribution system, which is</t>
  </si>
  <si>
    <t>implemented by public license practices.  Many people have made</t>
  </si>
  <si>
    <t>generous contributions to the wide range of software distributed</t>
  </si>
  <si>
    <t>through that system in reliance on consistent application of that</t>
  </si>
  <si>
    <t>system; it is up to the author/donor to decide if he or she is willing</t>
  </si>
  <si>
    <t>to distribute software through any other system and a licensee cannot</t>
  </si>
  <si>
    <t>impose that choice.</t>
  </si>
  <si>
    <t>This section is intended to make thoroughly clear what is believed to</t>
  </si>
  <si>
    <t>be a consequence of the rest of this License.</t>
  </si>
  <si>
    <t xml:space="preserve">  8. If the distribution and/or use of the Program is restricted in</t>
  </si>
  <si>
    <t>certain countries either by patents or by copyrighted interfaces, the</t>
  </si>
  <si>
    <t>original copyright holder who places the Program under this License</t>
  </si>
  <si>
    <t>may add an explicit geographical distribution limitation excluding</t>
  </si>
  <si>
    <t>those countries, so that distribution is permitted only in or among</t>
  </si>
  <si>
    <t>countries not thus excluded.  In such case, this License incorporates</t>
  </si>
  <si>
    <t>the limitation as if written in the body of this License.</t>
  </si>
  <si>
    <t xml:space="preserve">  9. The Free Software Foundation may publish revised and/or new versions</t>
  </si>
  <si>
    <t>of the General Public License from time to time.  Such new versions will</t>
  </si>
  <si>
    <t>be similar in spirit to the present version, but may differ in detail to</t>
  </si>
  <si>
    <t>address new problems or concerns.</t>
  </si>
  <si>
    <t>Each version is given a distinguishing version number.  If the Program</t>
  </si>
  <si>
    <t>specifies a version number of this License which applies to it and "any</t>
  </si>
  <si>
    <t>later version", you have the option of following the terms and conditions</t>
  </si>
  <si>
    <t>either of that version or of any later version published by the Free</t>
  </si>
  <si>
    <t>Software Foundation.  If the Program does not specify a version number of</t>
  </si>
  <si>
    <t>this License, you may choose any version ever published by the Free Software</t>
  </si>
  <si>
    <t>Foundation.</t>
  </si>
  <si>
    <t xml:space="preserve">  10. If you wish to incorporate parts of the Program into other free</t>
  </si>
  <si>
    <t>programs whose distribution conditions are different, write to the author</t>
  </si>
  <si>
    <t>to ask for permission.  For software which is copyrighted by the Free</t>
  </si>
  <si>
    <t>Software Foundation, write to the Free Software Foundation; we sometimes</t>
  </si>
  <si>
    <t>make exceptions for this.  Our decision will be guided by the two goals</t>
  </si>
  <si>
    <t>of preserving the free status of all derivatives of our free software and</t>
  </si>
  <si>
    <t>of promoting the sharing and reuse of software generally.</t>
  </si>
  <si>
    <t xml:space="preserve">                            NO WARRANTY</t>
  </si>
  <si>
    <t xml:space="preserve">  11. BECAUSE THE PROGRAM IS LICENSED FREE OF CHARGE, THERE IS NO WARRANTY</t>
  </si>
  <si>
    <t>FOR THE PROGRAM, TO THE EXTENT PERMITTED BY APPLICABLE LAW.  EXCEPT WHEN</t>
  </si>
  <si>
    <t>OTHERWISE STATED IN WRITING THE COPYRIGHT HOLDERS AND/OR OTHER PARTIES</t>
  </si>
  <si>
    <t>PROVIDE THE PROGRAM "AS IS" WITHOUT WARRANTY OF ANY KIND, EITHER EXPRESSED</t>
  </si>
  <si>
    <t>OR IMPLIED, INCLUDING, BUT NOT LIMITED TO, THE IMPLIED WARRANTIES OF</t>
  </si>
  <si>
    <t>MERCHANTABILITY AND FITNESS FOR A PARTICULAR PURPOSE.  THE ENTIRE RISK AS</t>
  </si>
  <si>
    <t>TO THE QUALITY AND PERFORMANCE OF THE PROGRAM IS WITH YOU.  SHOULD THE</t>
  </si>
  <si>
    <t>PROGRAM PROVE DEFECTIVE, YOU ASSUME THE COST OF ALL NECESSARY SERVICING,</t>
  </si>
  <si>
    <t>REPAIR OR CORRECTION.</t>
  </si>
  <si>
    <t xml:space="preserve">  12. IN NO EVENT UNLESS REQUIRED BY APPLICABLE LAW OR AGREED TO IN WRITING</t>
  </si>
  <si>
    <t>WILL ANY COPYRIGHT HOLDER, OR ANY OTHER PARTY WHO MAY MODIFY AND/OR</t>
  </si>
  <si>
    <t>REDISTRIBUTE THE PROGRAM AS PERMITTED ABOVE, BE LIABLE TO YOU FOR DAMAGES,</t>
  </si>
  <si>
    <t>INCLUDING ANY GENERAL, SPECIAL, INCIDENTAL OR CONSEQUENTIAL DAMAGES ARISING</t>
  </si>
  <si>
    <t>OUT OF THE USE OR INABILITY TO USE THE PROGRAM (INCLUDING BUT NOT LIMITED</t>
  </si>
  <si>
    <t>TO LOSS OF DATA OR DATA BEING RENDERED INACCURATE OR LOSSES SUSTAINED BY</t>
  </si>
  <si>
    <t>YOU OR THIRD PARTIES OR A FAILURE OF THE PROGRAM TO OPERATE WITH ANY OTHER</t>
  </si>
  <si>
    <t>PROGRAMS), EVEN IF SUCH HOLDER OR OTHER PARTY HAS BEEN ADVISED OF THE</t>
  </si>
  <si>
    <t>POSSIBILITY OF SUCH DAMAGES.</t>
  </si>
  <si>
    <t xml:space="preserve">                     END OF TERMS AND CONDITIONS</t>
  </si>
  <si>
    <t xml:space="preserve">            How to Apply These Terms to Your New Programs</t>
  </si>
  <si>
    <t xml:space="preserve">  If you develop a new program, and you want it to be of the greatest</t>
  </si>
  <si>
    <t>possible use to the public, the best way to achieve this is to make it</t>
  </si>
  <si>
    <t>free software which everyone can redistribute and change under these terms.</t>
  </si>
  <si>
    <t xml:space="preserve">  To do so, attach the following notices to the program.  It is safest</t>
  </si>
  <si>
    <t>to attach them to the start of each source file to most effectively</t>
  </si>
  <si>
    <t>convey the exclusion of warranty; and each file should have at least</t>
  </si>
  <si>
    <t>the "copyright" line and a pointer to where the full notice is found.</t>
  </si>
  <si>
    <t xml:space="preserve">    &lt;one line to give the program's name and a brief idea of what it does.&gt;</t>
  </si>
  <si>
    <t xml:space="preserve">    Copyright (C) &lt;year&gt;  &lt;name of author&gt;</t>
  </si>
  <si>
    <t xml:space="preserve">    This program is free software; you can redistribute it and/or modify</t>
  </si>
  <si>
    <t xml:space="preserve">    it under the terms of the GNU General Public License as published by</t>
  </si>
  <si>
    <t xml:space="preserve">    the Free Software Foundation; either version 2 of the License, or</t>
  </si>
  <si>
    <t xml:space="preserve">    (at your option) any later version.</t>
  </si>
  <si>
    <t xml:space="preserve">    This program is distributed in the hope that it will be useful,</t>
  </si>
  <si>
    <t xml:space="preserve">    but WITHOUT ANY WARRANTY; without even the implied warranty of</t>
  </si>
  <si>
    <t xml:space="preserve">    MERCHANTABILITY or FITNESS FOR A PARTICULAR PURPOSE.  See the</t>
  </si>
  <si>
    <t xml:space="preserve">    GNU General Public License for more details.</t>
  </si>
  <si>
    <t xml:space="preserve">    You should have received a copy of the GNU General Public License along</t>
  </si>
  <si>
    <t xml:space="preserve">    with this program; if not, see &lt;https://www.gnu.org/licenses/&gt;.</t>
  </si>
  <si>
    <t>Also add information on how to contact you by electronic and paper mail.</t>
  </si>
  <si>
    <t>If the program is interactive, make it output a short notice like this</t>
  </si>
  <si>
    <t>when it starts in an interactive mode:</t>
  </si>
  <si>
    <t xml:space="preserve">    Gnomovision version 69, Copyright (C) year name of author</t>
  </si>
  <si>
    <t xml:space="preserve">    Gnomovision comes with ABSOLUTELY NO WARRANTY; for details type `show w'.</t>
  </si>
  <si>
    <t xml:space="preserve">    This is free software, and you are welcome to redistribute it</t>
  </si>
  <si>
    <t xml:space="preserve">    under certain conditions; type `show c' for details.</t>
  </si>
  <si>
    <t>The hypothetical commands `show w' and `show c' should show the appropriate</t>
  </si>
  <si>
    <t>parts of the General Public License.  Of course, the commands you use may</t>
  </si>
  <si>
    <t>be called something other than `show w' and `show c'; they could even be</t>
  </si>
  <si>
    <t>mouse-clicks or menu items--whatever suits your program.</t>
  </si>
  <si>
    <t>You should also get your employer (if you work as a programmer) or your</t>
  </si>
  <si>
    <t>school, if any, to sign a "copyright disclaimer" for the program, if</t>
  </si>
  <si>
    <t>necessary.  Here is a sample; alter the names:</t>
  </si>
  <si>
    <t xml:space="preserve">  Yoyodyne, Inc., hereby disclaims all copyright interest in the program</t>
  </si>
  <si>
    <t xml:space="preserve">  `Gnomovision' (which makes passes at compilers) written by James Hacker.</t>
  </si>
  <si>
    <t xml:space="preserve">  &lt;signature of Moe Ghoul&gt;, 1 April 1989</t>
  </si>
  <si>
    <t xml:space="preserve">  Moe Ghoul, President of Vice</t>
  </si>
  <si>
    <t>This General Public License does not permit incorporating your program into</t>
  </si>
  <si>
    <t>proprietary programs.  If your program is a subroutine library, you may</t>
  </si>
  <si>
    <t>consider it more useful to permit linking proprietary applications with the</t>
  </si>
  <si>
    <t>library.  If this is what you want to do, use the GNU Lesser General</t>
  </si>
  <si>
    <t>Public License instead of this License.</t>
  </si>
  <si>
    <t>Greedy model: Miis pair with random compatible partners. Uses Poisson competition model with iterative pool depletion and competition-ratio correction for shared partner pools.</t>
  </si>
  <si>
    <t>Tomodachi Life and Mii are trademarks of Nintendo. This work is not affiliated with or endorsed by Nintendo.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</si>
</sst>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8" x14ac:knownFonts="1">
    <font>
      <sz val="11"/>
      <color theme="1"/>
      <name val="Aptos Narrow"/>
      <family val="2"/>
      <charset val="1"/>
    </font>
    <font>
      <sz val="11"/>
      <color theme="1"/>
      <name val="Aptos Narrow"/>
      <family val="2"/>
      <scheme val="minor"/>
    </font>
    <font>
      <sz val="10"/>
      <name val="Arial"/>
    </font>
    <font>
      <b/>
      <sz val="11"/>
      <color rgb="FFFFFFFF"/>
      <name val="Calibri"/>
      <charset val="1"/>
    </font>
    <font>
      <b/>
      <sz val="11"/>
      <color rgb="FFFFFFFF"/>
      <name val="Calibri"/>
      <family val="2"/>
      <charset val="1"/>
    </font>
    <font>
      <b/>
      <sz val="12"/>
      <color rgb="FFFFFFFF"/>
      <name val="Calibri"/>
      <charset val="1"/>
    </font>
    <font>
      <sz val="11"/>
      <color theme="1"/>
      <name val="Calibri"/>
      <charset val="1"/>
    </font>
    <font>
      <b/>
      <sz val="11"/>
      <color rgb="FF7B2D8E"/>
      <name val="Calibri"/>
      <charset val="1"/>
    </font>
    <font>
      <sz val="11"/>
      <color rgb="FF548235"/>
      <name val="Calibri"/>
      <charset val="1"/>
    </font>
    <font>
      <b/>
      <sz val="11"/>
      <color theme="1"/>
      <name val="Calibri"/>
      <charset val="1"/>
    </font>
    <font>
      <b/>
      <sz val="11"/>
      <color rgb="FF4472C4"/>
      <name val="Calibri"/>
      <charset val="1"/>
    </font>
    <font>
      <sz val="11"/>
      <color rgb="FFC00000"/>
      <name val="Calibri"/>
      <charset val="1"/>
    </font>
    <font>
      <b/>
      <sz val="11"/>
      <color rgb="FFED7D9B"/>
      <name val="Calibri"/>
      <charset val="1"/>
    </font>
    <font>
      <sz val="11"/>
      <color rgb="FF000000"/>
      <name val="Calibri"/>
      <family val="2"/>
      <charset val="1"/>
    </font>
    <font>
      <sz val="11"/>
      <color rgb="FF000000"/>
      <name val="Calibri"/>
      <charset val="1"/>
    </font>
    <font>
      <b/>
      <sz val="16"/>
      <color rgb="FFFFFFFF"/>
      <name val="Aptos Narrow"/>
      <family val="2"/>
      <charset val="1"/>
    </font>
    <font>
      <i/>
      <sz val="11"/>
      <color rgb="FF666666"/>
      <name val="Aptos Narrow"/>
      <family val="2"/>
      <charset val="1"/>
    </font>
    <font>
      <b/>
      <sz val="13"/>
      <color rgb="FFFFFFFF"/>
      <name val="Aptos Narrow"/>
      <family val="2"/>
      <charset val="1"/>
    </font>
    <font>
      <b/>
      <sz val="11"/>
      <color theme="1"/>
      <name val="Aptos Narrow"/>
      <family val="2"/>
      <charset val="1"/>
    </font>
    <font>
      <sz val="11"/>
      <color rgb="FFFF0000"/>
      <name val="Aptos Narrow"/>
      <family val="2"/>
      <charset val="1"/>
    </font>
    <font>
      <sz val="11"/>
      <name val="Aptos Narrow"/>
      <charset val="1"/>
    </font>
    <font>
      <b/>
      <sz val="11"/>
      <color rgb="FFFA7D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2"/>
      <color rgb="FFC00000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b/>
      <sz val="11"/>
      <color rgb="FFFFFFFF"/>
      <name val="Consolas"/>
      <family val="3"/>
    </font>
    <font>
      <b/>
      <sz val="11"/>
      <color rgb="FFFA7D00"/>
      <name val="Consolas"/>
      <family val="3"/>
    </font>
    <font>
      <sz val="11"/>
      <color rgb="FFC00000"/>
      <name val="Calibri"/>
      <family val="2"/>
    </font>
    <font>
      <b/>
      <sz val="11"/>
      <name val="Aptos Narrow"/>
      <family val="2"/>
      <scheme val="minor"/>
    </font>
    <font>
      <sz val="11"/>
      <color rgb="FF548235"/>
      <name val="Calibri"/>
      <family val="2"/>
    </font>
    <font>
      <b/>
      <sz val="11"/>
      <color rgb="FF4472C4"/>
      <name val="Calibri"/>
      <family val="2"/>
    </font>
    <font>
      <b/>
      <sz val="11"/>
      <color rgb="FFED7D9B"/>
      <name val="Calibri"/>
      <family val="2"/>
    </font>
    <font>
      <b/>
      <sz val="11"/>
      <color rgb="FF7B2D8E"/>
      <name val="Calibri"/>
      <family val="2"/>
    </font>
    <font>
      <sz val="10"/>
      <color theme="1"/>
      <name val="Courier New"/>
      <family val="3"/>
    </font>
    <font>
      <sz val="11"/>
      <color theme="1"/>
      <name val="Courier New"/>
      <family val="3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2F5496"/>
      </patternFill>
    </fill>
    <fill>
      <patternFill patternType="solid">
        <fgColor rgb="FF2F5496"/>
        <bgColor rgb="FF4472C4"/>
      </patternFill>
    </fill>
    <fill>
      <patternFill patternType="solid">
        <fgColor rgb="FFD9E2F3"/>
        <bgColor rgb="FFD6E4F0"/>
      </patternFill>
    </fill>
    <fill>
      <patternFill patternType="solid">
        <fgColor rgb="FFD6DCE4"/>
        <bgColor rgb="FFD9E2F3"/>
      </patternFill>
    </fill>
    <fill>
      <patternFill patternType="solid">
        <fgColor rgb="FFFFFFFF"/>
        <bgColor rgb="FFFFFFCC"/>
      </patternFill>
    </fill>
    <fill>
      <patternFill patternType="solid">
        <fgColor rgb="FFE9EDF4"/>
        <bgColor rgb="FFD9E2F3"/>
      </patternFill>
    </fill>
    <fill>
      <patternFill patternType="solid">
        <fgColor rgb="FFD6E4F0"/>
        <bgColor rgb="FFD9E2F3"/>
      </patternFill>
    </fill>
    <fill>
      <patternFill patternType="solid">
        <fgColor rgb="FFC00000"/>
        <bgColor rgb="FFFF0000"/>
      </patternFill>
    </fill>
    <fill>
      <patternFill patternType="solid">
        <fgColor rgb="FFF2DCDB"/>
        <bgColor rgb="FFD6DCE4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21" fillId="11" borderId="1" applyNumberFormat="0" applyAlignment="0" applyProtection="0"/>
    <xf numFmtId="9" fontId="2" fillId="0" borderId="0" applyBorder="0" applyAlignment="0" applyProtection="0"/>
  </cellStyleXfs>
  <cellXfs count="68">
    <xf numFmtId="0" fontId="0" fillId="0" borderId="0" xfId="0"/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5" fillId="3" borderId="0" xfId="0" applyFont="1" applyFill="1"/>
    <xf numFmtId="0" fontId="0" fillId="3" borderId="0" xfId="0" applyFill="1"/>
    <xf numFmtId="0" fontId="6" fillId="4" borderId="0" xfId="0" applyFont="1" applyFill="1"/>
    <xf numFmtId="0" fontId="8" fillId="4" borderId="0" xfId="0" applyFont="1" applyFill="1" applyAlignment="1">
      <alignment horizontal="center"/>
    </xf>
    <xf numFmtId="0" fontId="9" fillId="5" borderId="0" xfId="0" applyFont="1" applyFill="1"/>
    <xf numFmtId="0" fontId="6" fillId="5" borderId="0" xfId="0" applyFont="1" applyFill="1" applyAlignment="1">
      <alignment horizontal="center"/>
    </xf>
    <xf numFmtId="0" fontId="6" fillId="6" borderId="0" xfId="0" applyFont="1" applyFill="1"/>
    <xf numFmtId="0" fontId="11" fillId="6" borderId="0" xfId="0" applyFont="1" applyFill="1" applyAlignment="1">
      <alignment horizontal="center"/>
    </xf>
    <xf numFmtId="0" fontId="8" fillId="6" borderId="0" xfId="0" applyFont="1" applyFill="1" applyAlignment="1">
      <alignment horizontal="center"/>
    </xf>
    <xf numFmtId="0" fontId="10" fillId="7" borderId="0" xfId="0" applyFont="1" applyFill="1"/>
    <xf numFmtId="0" fontId="6" fillId="7" borderId="0" xfId="0" applyFont="1" applyFill="1" applyAlignment="1">
      <alignment horizontal="center"/>
    </xf>
    <xf numFmtId="0" fontId="9" fillId="7" borderId="0" xfId="0" applyFont="1" applyFill="1"/>
    <xf numFmtId="0" fontId="12" fillId="5" borderId="0" xfId="0" applyFont="1" applyFill="1"/>
    <xf numFmtId="0" fontId="7" fillId="7" borderId="0" xfId="0" applyFont="1" applyFill="1"/>
    <xf numFmtId="0" fontId="11" fillId="4" borderId="0" xfId="0" applyFont="1" applyFill="1" applyAlignment="1">
      <alignment horizontal="center"/>
    </xf>
    <xf numFmtId="0" fontId="13" fillId="4" borderId="0" xfId="0" applyFont="1" applyFill="1"/>
    <xf numFmtId="0" fontId="14" fillId="6" borderId="0" xfId="0" applyFont="1" applyFill="1"/>
    <xf numFmtId="0" fontId="6" fillId="6" borderId="0" xfId="0" applyFont="1" applyFill="1" applyAlignment="1">
      <alignment horizontal="center"/>
    </xf>
    <xf numFmtId="0" fontId="14" fillId="4" borderId="0" xfId="0" applyFont="1" applyFill="1"/>
    <xf numFmtId="0" fontId="6" fillId="4" borderId="0" xfId="0" applyFont="1" applyFill="1" applyAlignment="1">
      <alignment horizontal="center"/>
    </xf>
    <xf numFmtId="0" fontId="15" fillId="2" borderId="0" xfId="0" applyFont="1" applyFill="1"/>
    <xf numFmtId="0" fontId="16" fillId="0" borderId="0" xfId="0" applyFont="1"/>
    <xf numFmtId="0" fontId="17" fillId="3" borderId="0" xfId="0" applyFont="1" applyFill="1"/>
    <xf numFmtId="0" fontId="18" fillId="8" borderId="0" xfId="0" applyFont="1" applyFill="1"/>
    <xf numFmtId="0" fontId="18" fillId="8" borderId="0" xfId="0" applyFont="1" applyFill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19" fillId="0" borderId="0" xfId="0" applyFont="1"/>
    <xf numFmtId="0" fontId="19" fillId="0" borderId="0" xfId="0" applyFont="1" applyAlignment="1">
      <alignment horizontal="center"/>
    </xf>
    <xf numFmtId="164" fontId="19" fillId="0" borderId="0" xfId="0" applyNumberFormat="1" applyFont="1" applyAlignment="1">
      <alignment horizontal="center"/>
    </xf>
    <xf numFmtId="0" fontId="20" fillId="0" borderId="0" xfId="0" applyFont="1"/>
    <xf numFmtId="0" fontId="20" fillId="0" borderId="0" xfId="0" applyFont="1" applyAlignment="1">
      <alignment horizontal="center"/>
    </xf>
    <xf numFmtId="0" fontId="0" fillId="9" borderId="0" xfId="0" applyFill="1"/>
    <xf numFmtId="0" fontId="0" fillId="10" borderId="0" xfId="0" applyFill="1"/>
    <xf numFmtId="0" fontId="21" fillId="11" borderId="1" xfId="1"/>
    <xf numFmtId="0" fontId="0" fillId="0" borderId="0" xfId="0" applyAlignment="1">
      <alignment horizontal="left"/>
    </xf>
    <xf numFmtId="0" fontId="24" fillId="9" borderId="0" xfId="0" applyFont="1" applyFill="1"/>
    <xf numFmtId="0" fontId="1" fillId="9" borderId="0" xfId="0" applyFont="1" applyFill="1"/>
    <xf numFmtId="0" fontId="23" fillId="10" borderId="0" xfId="0" applyFont="1" applyFill="1"/>
    <xf numFmtId="0" fontId="23" fillId="10" borderId="0" xfId="0" applyFont="1" applyFill="1" applyAlignment="1">
      <alignment horizontal="center"/>
    </xf>
    <xf numFmtId="0" fontId="22" fillId="0" borderId="0" xfId="0" applyFont="1"/>
    <xf numFmtId="0" fontId="25" fillId="0" borderId="0" xfId="0" applyFont="1" applyAlignment="1">
      <alignment horizontal="center"/>
    </xf>
    <xf numFmtId="0" fontId="1" fillId="0" borderId="0" xfId="0" applyFont="1"/>
    <xf numFmtId="0" fontId="23" fillId="0" borderId="0" xfId="0" applyFont="1" applyAlignment="1">
      <alignment horizontal="center"/>
    </xf>
    <xf numFmtId="0" fontId="26" fillId="0" borderId="0" xfId="0" applyFont="1"/>
    <xf numFmtId="0" fontId="27" fillId="9" borderId="0" xfId="0" applyFont="1" applyFill="1" applyAlignment="1">
      <alignment horizontal="center"/>
    </xf>
    <xf numFmtId="1" fontId="23" fillId="0" borderId="0" xfId="0" applyNumberFormat="1" applyFont="1" applyAlignment="1">
      <alignment horizontal="center"/>
    </xf>
    <xf numFmtId="0" fontId="28" fillId="2" borderId="0" xfId="0" applyFont="1" applyFill="1"/>
    <xf numFmtId="0" fontId="28" fillId="2" borderId="0" xfId="0" applyFont="1" applyFill="1" applyAlignment="1">
      <alignment horizontal="center"/>
    </xf>
    <xf numFmtId="0" fontId="29" fillId="11" borderId="1" xfId="1" applyFont="1"/>
    <xf numFmtId="0" fontId="30" fillId="6" borderId="0" xfId="0" applyFont="1" applyFill="1" applyAlignment="1">
      <alignment horizontal="center"/>
    </xf>
    <xf numFmtId="9" fontId="31" fillId="0" borderId="0" xfId="2" applyFont="1" applyAlignment="1">
      <alignment horizontal="center"/>
    </xf>
    <xf numFmtId="0" fontId="32" fillId="6" borderId="0" xfId="0" applyFont="1" applyFill="1" applyAlignment="1">
      <alignment horizontal="center"/>
    </xf>
    <xf numFmtId="0" fontId="32" fillId="4" borderId="0" xfId="0" applyFont="1" applyFill="1" applyAlignment="1">
      <alignment horizontal="center"/>
    </xf>
    <xf numFmtId="0" fontId="30" fillId="4" borderId="0" xfId="0" applyFont="1" applyFill="1" applyAlignment="1">
      <alignment horizontal="center"/>
    </xf>
    <xf numFmtId="0" fontId="33" fillId="4" borderId="0" xfId="0" applyFont="1" applyFill="1" applyAlignment="1">
      <alignment horizontal="center"/>
    </xf>
    <xf numFmtId="0" fontId="34" fillId="6" borderId="0" xfId="0" applyFont="1" applyFill="1" applyAlignment="1">
      <alignment horizontal="center"/>
    </xf>
    <xf numFmtId="0" fontId="35" fillId="4" borderId="0" xfId="0" applyFont="1" applyFill="1" applyAlignment="1">
      <alignment horizontal="center"/>
    </xf>
    <xf numFmtId="0" fontId="35" fillId="6" borderId="0" xfId="0" applyFont="1" applyFill="1" applyAlignment="1">
      <alignment horizontal="center"/>
    </xf>
    <xf numFmtId="0" fontId="33" fillId="6" borderId="0" xfId="0" applyFont="1" applyFill="1" applyAlignment="1">
      <alignment horizontal="center"/>
    </xf>
    <xf numFmtId="0" fontId="34" fillId="4" borderId="0" xfId="0" applyFont="1" applyFill="1" applyAlignment="1">
      <alignment horizontal="center"/>
    </xf>
    <xf numFmtId="0" fontId="36" fillId="0" borderId="0" xfId="0" applyFont="1" applyAlignment="1">
      <alignment vertical="center"/>
    </xf>
    <xf numFmtId="0" fontId="37" fillId="0" borderId="0" xfId="0" applyFont="1" applyAlignment="1">
      <alignment vertical="center"/>
    </xf>
    <xf numFmtId="0" fontId="37" fillId="0" borderId="0" xfId="0" applyFont="1"/>
    <xf numFmtId="0" fontId="37" fillId="0" borderId="0" xfId="0" applyFont="1"/>
  </cellXfs>
  <cellStyles count="3">
    <cellStyle name="Calculation" xfId="1" builtinId="22"/>
    <cellStyle name="Normal" xfId="0" builtinId="0"/>
    <cellStyle name="Percent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548235"/>
      <rgbColor rgb="FF800080"/>
      <rgbColor rgb="FF008080"/>
      <rgbColor rgb="FFC0C0C0"/>
      <rgbColor rgb="FF808080"/>
      <rgbColor rgb="FF9999FF"/>
      <rgbColor rgb="FF7B2D8E"/>
      <rgbColor rgb="FFFFFFCC"/>
      <rgbColor rgb="FFE9EDF4"/>
      <rgbColor rgb="FF660066"/>
      <rgbColor rgb="FFED7D9B"/>
      <rgbColor rgb="FF0066CC"/>
      <rgbColor rgb="FFD6D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D9E2F3"/>
      <rgbColor rgb="FFFFFF99"/>
      <rgbColor rgb="FF99CCFF"/>
      <rgbColor rgb="FFFF99CC"/>
      <rgbColor rgb="FFCC99FF"/>
      <rgbColor rgb="FFF2DCDB"/>
      <rgbColor rgb="FF4472C4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0E50759-BD8E-4CFB-A8B8-0A53F40E2D9C}">
  <we:reference id="WA200009404" version="1.0.0.5" store="Omex" storeType="OMEX"/>
  <we:alternateReferences>
    <we:reference id="WA200009404" version="1.0.0.5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90"/>
  <sheetViews>
    <sheetView zoomScaleNormal="100" workbookViewId="0">
      <selection activeCell="G49" sqref="G49"/>
    </sheetView>
  </sheetViews>
  <sheetFormatPr defaultColWidth="8.54296875" defaultRowHeight="14.5" x14ac:dyDescent="0.35"/>
  <cols>
    <col min="1" max="1" width="15.36328125" customWidth="1"/>
    <col min="2" max="2" width="9.54296875" customWidth="1"/>
    <col min="3" max="5" width="5.6328125" customWidth="1"/>
    <col min="7" max="7" width="9.6328125" customWidth="1"/>
  </cols>
  <sheetData>
    <row r="1" spans="1:10" ht="1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G1" s="3" t="s">
        <v>5</v>
      </c>
      <c r="H1" s="4"/>
      <c r="I1" s="4"/>
      <c r="J1" s="4"/>
    </row>
    <row r="2" spans="1:10" ht="14.25" customHeight="1" x14ac:dyDescent="0.35">
      <c r="A2" s="5" t="s">
        <v>99</v>
      </c>
      <c r="B2" s="58" t="s">
        <v>10</v>
      </c>
      <c r="C2" s="57" t="s">
        <v>11</v>
      </c>
      <c r="D2" s="57" t="s">
        <v>11</v>
      </c>
      <c r="E2" s="57" t="s">
        <v>11</v>
      </c>
      <c r="G2" s="7" t="s">
        <v>8</v>
      </c>
      <c r="H2" s="8">
        <f>COUNTA(A2:A200)</f>
        <v>49</v>
      </c>
      <c r="I2" s="7" t="s">
        <v>9</v>
      </c>
      <c r="J2" s="8">
        <f>COUNTIF(C2:C49,"✓")</f>
        <v>24</v>
      </c>
    </row>
    <row r="3" spans="1:10" ht="14.25" customHeight="1" x14ac:dyDescent="0.35">
      <c r="A3" s="9" t="s">
        <v>100</v>
      </c>
      <c r="B3" s="59" t="s">
        <v>13</v>
      </c>
      <c r="C3" s="10" t="s">
        <v>11</v>
      </c>
      <c r="D3" s="53" t="s">
        <v>11</v>
      </c>
      <c r="E3" s="10" t="s">
        <v>11</v>
      </c>
      <c r="G3" s="12" t="s">
        <v>10</v>
      </c>
      <c r="H3" s="13">
        <f>COUNTIF(B:B,"Male")</f>
        <v>23</v>
      </c>
      <c r="I3" s="14" t="s">
        <v>12</v>
      </c>
      <c r="J3" s="13">
        <f>COUNTIF(D2:D49,"✓")</f>
        <v>23</v>
      </c>
    </row>
    <row r="4" spans="1:10" ht="14.25" customHeight="1" x14ac:dyDescent="0.35">
      <c r="A4" s="5" t="s">
        <v>101</v>
      </c>
      <c r="B4" s="60" t="s">
        <v>6</v>
      </c>
      <c r="C4" s="57" t="s">
        <v>11</v>
      </c>
      <c r="D4" s="57" t="s">
        <v>11</v>
      </c>
      <c r="E4" s="57" t="s">
        <v>11</v>
      </c>
      <c r="G4" s="15" t="s">
        <v>13</v>
      </c>
      <c r="H4" s="8">
        <f>COUNTIF(B:B,"Female")</f>
        <v>15</v>
      </c>
      <c r="I4" s="7" t="s">
        <v>14</v>
      </c>
      <c r="J4" s="8">
        <f>COUNTIF(E2:E49,"✓")</f>
        <v>19</v>
      </c>
    </row>
    <row r="5" spans="1:10" ht="14.25" customHeight="1" x14ac:dyDescent="0.35">
      <c r="A5" s="9" t="s">
        <v>102</v>
      </c>
      <c r="B5" s="61" t="s">
        <v>6</v>
      </c>
      <c r="C5" s="55" t="s">
        <v>7</v>
      </c>
      <c r="D5" s="11" t="s">
        <v>7</v>
      </c>
      <c r="E5" s="55" t="s">
        <v>7</v>
      </c>
      <c r="G5" s="16" t="s">
        <v>6</v>
      </c>
      <c r="H5" s="13">
        <f>COUNTIF(B:B,"Nonbinary")</f>
        <v>11</v>
      </c>
      <c r="I5" s="14"/>
      <c r="J5" s="13"/>
    </row>
    <row r="6" spans="1:10" ht="14.25" customHeight="1" x14ac:dyDescent="0.35">
      <c r="A6" s="5" t="s">
        <v>103</v>
      </c>
      <c r="B6" s="60" t="s">
        <v>6</v>
      </c>
      <c r="C6" s="57" t="s">
        <v>11</v>
      </c>
      <c r="D6" s="57" t="s">
        <v>11</v>
      </c>
      <c r="E6" s="6" t="s">
        <v>7</v>
      </c>
    </row>
    <row r="7" spans="1:10" ht="14.25" customHeight="1" x14ac:dyDescent="0.35">
      <c r="A7" s="9" t="s">
        <v>104</v>
      </c>
      <c r="B7" s="61" t="s">
        <v>6</v>
      </c>
      <c r="C7" s="53" t="s">
        <v>11</v>
      </c>
      <c r="D7" s="10" t="s">
        <v>11</v>
      </c>
      <c r="E7" s="55" t="s">
        <v>7</v>
      </c>
    </row>
    <row r="8" spans="1:10" ht="14.25" customHeight="1" x14ac:dyDescent="0.35">
      <c r="A8" s="5" t="s">
        <v>105</v>
      </c>
      <c r="B8" s="60" t="s">
        <v>6</v>
      </c>
      <c r="C8" s="56" t="s">
        <v>7</v>
      </c>
      <c r="D8" s="6" t="s">
        <v>7</v>
      </c>
      <c r="E8" s="17" t="s">
        <v>11</v>
      </c>
    </row>
    <row r="9" spans="1:10" ht="14.25" customHeight="1" x14ac:dyDescent="0.35">
      <c r="A9" s="9" t="s">
        <v>106</v>
      </c>
      <c r="B9" s="61" t="s">
        <v>6</v>
      </c>
      <c r="C9" s="53" t="s">
        <v>11</v>
      </c>
      <c r="D9" s="55" t="s">
        <v>7</v>
      </c>
      <c r="E9" s="10" t="s">
        <v>11</v>
      </c>
    </row>
    <row r="10" spans="1:10" ht="14.25" customHeight="1" x14ac:dyDescent="0.35">
      <c r="A10" s="5" t="s">
        <v>107</v>
      </c>
      <c r="B10" s="60" t="s">
        <v>6</v>
      </c>
      <c r="C10" s="56" t="s">
        <v>7</v>
      </c>
      <c r="D10" s="6" t="s">
        <v>11</v>
      </c>
      <c r="E10" s="17" t="s">
        <v>11</v>
      </c>
    </row>
    <row r="11" spans="1:10" ht="14.25" customHeight="1" x14ac:dyDescent="0.35">
      <c r="A11" s="9" t="s">
        <v>108</v>
      </c>
      <c r="B11" s="61" t="s">
        <v>6</v>
      </c>
      <c r="C11" s="10" t="s">
        <v>11</v>
      </c>
      <c r="D11" s="11" t="s">
        <v>7</v>
      </c>
      <c r="E11" s="55" t="s">
        <v>7</v>
      </c>
    </row>
    <row r="12" spans="1:10" ht="14.25" customHeight="1" x14ac:dyDescent="0.35">
      <c r="A12" s="5" t="s">
        <v>109</v>
      </c>
      <c r="B12" s="60" t="s">
        <v>6</v>
      </c>
      <c r="C12" s="6" t="s">
        <v>7</v>
      </c>
      <c r="D12" s="17" t="s">
        <v>11</v>
      </c>
      <c r="E12" s="56" t="s">
        <v>7</v>
      </c>
    </row>
    <row r="13" spans="1:10" ht="14.25" customHeight="1" x14ac:dyDescent="0.35">
      <c r="A13" s="9" t="s">
        <v>110</v>
      </c>
      <c r="B13" s="61" t="s">
        <v>6</v>
      </c>
      <c r="C13" s="11" t="s">
        <v>7</v>
      </c>
      <c r="D13" s="55" t="s">
        <v>7</v>
      </c>
      <c r="E13" s="55" t="s">
        <v>7</v>
      </c>
    </row>
    <row r="14" spans="1:10" ht="14.25" customHeight="1" x14ac:dyDescent="0.35">
      <c r="A14" s="5" t="s">
        <v>111</v>
      </c>
      <c r="B14" s="60" t="s">
        <v>6</v>
      </c>
      <c r="C14" s="57" t="s">
        <v>11</v>
      </c>
      <c r="D14" s="56" t="s">
        <v>7</v>
      </c>
      <c r="E14" s="56" t="s">
        <v>7</v>
      </c>
    </row>
    <row r="15" spans="1:10" ht="14.25" customHeight="1" x14ac:dyDescent="0.35">
      <c r="A15" s="9" t="s">
        <v>112</v>
      </c>
      <c r="B15" s="62" t="s">
        <v>10</v>
      </c>
      <c r="C15" s="11" t="s">
        <v>7</v>
      </c>
      <c r="D15" s="10" t="s">
        <v>11</v>
      </c>
      <c r="E15" s="10" t="s">
        <v>11</v>
      </c>
    </row>
    <row r="16" spans="1:10" ht="14.25" customHeight="1" x14ac:dyDescent="0.35">
      <c r="A16" s="5" t="s">
        <v>113</v>
      </c>
      <c r="B16" s="58" t="s">
        <v>10</v>
      </c>
      <c r="C16" s="6" t="s">
        <v>7</v>
      </c>
      <c r="D16" s="17" t="s">
        <v>11</v>
      </c>
      <c r="E16" s="17" t="s">
        <v>11</v>
      </c>
    </row>
    <row r="17" spans="1:5" ht="14.25" customHeight="1" x14ac:dyDescent="0.35">
      <c r="A17" s="9" t="s">
        <v>114</v>
      </c>
      <c r="B17" s="62" t="s">
        <v>10</v>
      </c>
      <c r="C17" s="11" t="s">
        <v>7</v>
      </c>
      <c r="D17" s="53" t="s">
        <v>11</v>
      </c>
      <c r="E17" s="53" t="s">
        <v>11</v>
      </c>
    </row>
    <row r="18" spans="1:5" ht="14.25" customHeight="1" x14ac:dyDescent="0.35">
      <c r="A18" s="5" t="s">
        <v>115</v>
      </c>
      <c r="B18" s="58" t="s">
        <v>10</v>
      </c>
      <c r="C18" s="56" t="s">
        <v>7</v>
      </c>
      <c r="D18" s="57" t="s">
        <v>11</v>
      </c>
      <c r="E18" s="17" t="s">
        <v>11</v>
      </c>
    </row>
    <row r="19" spans="1:5" ht="14.25" customHeight="1" x14ac:dyDescent="0.35">
      <c r="A19" s="9" t="s">
        <v>116</v>
      </c>
      <c r="B19" s="62" t="s">
        <v>10</v>
      </c>
      <c r="C19" s="11" t="s">
        <v>7</v>
      </c>
      <c r="D19" s="53" t="s">
        <v>11</v>
      </c>
      <c r="E19" s="10" t="s">
        <v>11</v>
      </c>
    </row>
    <row r="20" spans="1:5" ht="14.25" customHeight="1" x14ac:dyDescent="0.35">
      <c r="A20" s="5" t="s">
        <v>117</v>
      </c>
      <c r="B20" s="58" t="s">
        <v>10</v>
      </c>
      <c r="C20" s="56" t="s">
        <v>7</v>
      </c>
      <c r="D20" s="57" t="s">
        <v>11</v>
      </c>
      <c r="E20" s="17" t="s">
        <v>11</v>
      </c>
    </row>
    <row r="21" spans="1:5" ht="14.25" customHeight="1" x14ac:dyDescent="0.35">
      <c r="A21" s="9" t="s">
        <v>118</v>
      </c>
      <c r="B21" s="62" t="s">
        <v>10</v>
      </c>
      <c r="C21" s="55" t="s">
        <v>7</v>
      </c>
      <c r="D21" s="53" t="s">
        <v>11</v>
      </c>
      <c r="E21" s="10" t="s">
        <v>11</v>
      </c>
    </row>
    <row r="22" spans="1:5" ht="14.25" customHeight="1" x14ac:dyDescent="0.35">
      <c r="A22" s="5" t="s">
        <v>119</v>
      </c>
      <c r="B22" s="58" t="s">
        <v>10</v>
      </c>
      <c r="C22" s="6" t="s">
        <v>7</v>
      </c>
      <c r="D22" s="57" t="s">
        <v>11</v>
      </c>
      <c r="E22" s="57" t="s">
        <v>11</v>
      </c>
    </row>
    <row r="23" spans="1:5" ht="14.25" customHeight="1" x14ac:dyDescent="0.35">
      <c r="A23" s="9" t="s">
        <v>120</v>
      </c>
      <c r="B23" s="62" t="s">
        <v>10</v>
      </c>
      <c r="C23" s="10" t="s">
        <v>11</v>
      </c>
      <c r="D23" s="11" t="s">
        <v>7</v>
      </c>
      <c r="E23" s="10" t="s">
        <v>11</v>
      </c>
    </row>
    <row r="24" spans="1:5" ht="14.25" customHeight="1" x14ac:dyDescent="0.35">
      <c r="A24" s="5" t="s">
        <v>121</v>
      </c>
      <c r="B24" s="58" t="s">
        <v>10</v>
      </c>
      <c r="C24" s="57" t="s">
        <v>11</v>
      </c>
      <c r="D24" s="6" t="s">
        <v>7</v>
      </c>
      <c r="E24" s="57" t="s">
        <v>11</v>
      </c>
    </row>
    <row r="25" spans="1:5" ht="14.25" customHeight="1" x14ac:dyDescent="0.35">
      <c r="A25" s="9" t="s">
        <v>122</v>
      </c>
      <c r="B25" s="62" t="s">
        <v>10</v>
      </c>
      <c r="C25" s="53" t="s">
        <v>11</v>
      </c>
      <c r="D25" s="11" t="s">
        <v>7</v>
      </c>
      <c r="E25" s="53" t="s">
        <v>11</v>
      </c>
    </row>
    <row r="26" spans="1:5" ht="14.25" customHeight="1" x14ac:dyDescent="0.35">
      <c r="A26" s="5" t="s">
        <v>123</v>
      </c>
      <c r="B26" s="58" t="s">
        <v>10</v>
      </c>
      <c r="C26" s="17" t="s">
        <v>11</v>
      </c>
      <c r="D26" s="6" t="s">
        <v>7</v>
      </c>
      <c r="E26" s="17" t="s">
        <v>11</v>
      </c>
    </row>
    <row r="27" spans="1:5" ht="14.25" customHeight="1" x14ac:dyDescent="0.35">
      <c r="A27" s="9" t="s">
        <v>124</v>
      </c>
      <c r="B27" s="62" t="s">
        <v>10</v>
      </c>
      <c r="C27" s="10" t="s">
        <v>11</v>
      </c>
      <c r="D27" s="11" t="s">
        <v>7</v>
      </c>
      <c r="E27" s="10" t="s">
        <v>11</v>
      </c>
    </row>
    <row r="28" spans="1:5" ht="14.25" customHeight="1" x14ac:dyDescent="0.35">
      <c r="A28" s="5" t="s">
        <v>125</v>
      </c>
      <c r="B28" s="58" t="s">
        <v>10</v>
      </c>
      <c r="C28" s="17" t="s">
        <v>11</v>
      </c>
      <c r="D28" s="6" t="s">
        <v>7</v>
      </c>
      <c r="E28" s="57" t="s">
        <v>11</v>
      </c>
    </row>
    <row r="29" spans="1:5" ht="14.25" customHeight="1" x14ac:dyDescent="0.35">
      <c r="A29" s="9" t="s">
        <v>126</v>
      </c>
      <c r="B29" s="62" t="s">
        <v>10</v>
      </c>
      <c r="C29" s="55" t="s">
        <v>7</v>
      </c>
      <c r="D29" s="11" t="s">
        <v>7</v>
      </c>
      <c r="E29" s="55" t="s">
        <v>7</v>
      </c>
    </row>
    <row r="30" spans="1:5" ht="14.25" customHeight="1" x14ac:dyDescent="0.35">
      <c r="A30" s="5" t="s">
        <v>127</v>
      </c>
      <c r="B30" s="58" t="s">
        <v>10</v>
      </c>
      <c r="C30" s="6" t="s">
        <v>7</v>
      </c>
      <c r="D30" s="17" t="s">
        <v>11</v>
      </c>
      <c r="E30" s="56" t="s">
        <v>7</v>
      </c>
    </row>
    <row r="31" spans="1:5" ht="14.25" customHeight="1" x14ac:dyDescent="0.35">
      <c r="A31" s="9" t="s">
        <v>128</v>
      </c>
      <c r="B31" s="62" t="s">
        <v>10</v>
      </c>
      <c r="C31" s="11" t="s">
        <v>7</v>
      </c>
      <c r="D31" s="55" t="s">
        <v>7</v>
      </c>
      <c r="E31" s="10" t="s">
        <v>11</v>
      </c>
    </row>
    <row r="32" spans="1:5" ht="14.25" customHeight="1" x14ac:dyDescent="0.35">
      <c r="A32" s="5" t="s">
        <v>129</v>
      </c>
      <c r="B32" s="58" t="s">
        <v>10</v>
      </c>
      <c r="C32" s="57" t="s">
        <v>11</v>
      </c>
      <c r="D32" s="6" t="s">
        <v>7</v>
      </c>
      <c r="E32" s="6" t="s">
        <v>7</v>
      </c>
    </row>
    <row r="33" spans="1:5" ht="14.25" customHeight="1" x14ac:dyDescent="0.35">
      <c r="A33" s="9" t="s">
        <v>130</v>
      </c>
      <c r="B33" s="59" t="s">
        <v>13</v>
      </c>
      <c r="C33" s="53" t="s">
        <v>11</v>
      </c>
      <c r="D33" s="11" t="s">
        <v>7</v>
      </c>
      <c r="E33" s="53" t="s">
        <v>11</v>
      </c>
    </row>
    <row r="34" spans="1:5" ht="14.25" customHeight="1" x14ac:dyDescent="0.35">
      <c r="A34" s="5" t="s">
        <v>131</v>
      </c>
      <c r="B34" s="63" t="s">
        <v>13</v>
      </c>
      <c r="C34" s="57" t="s">
        <v>11</v>
      </c>
      <c r="D34" s="6" t="s">
        <v>7</v>
      </c>
      <c r="E34" s="57" t="s">
        <v>11</v>
      </c>
    </row>
    <row r="35" spans="1:5" ht="14.25" customHeight="1" x14ac:dyDescent="0.35">
      <c r="A35" s="9" t="s">
        <v>132</v>
      </c>
      <c r="B35" s="59" t="s">
        <v>13</v>
      </c>
      <c r="C35" s="53" t="s">
        <v>11</v>
      </c>
      <c r="D35" s="11" t="s">
        <v>7</v>
      </c>
      <c r="E35" s="53" t="s">
        <v>11</v>
      </c>
    </row>
    <row r="36" spans="1:5" ht="14.25" customHeight="1" x14ac:dyDescent="0.35">
      <c r="A36" s="5" t="s">
        <v>133</v>
      </c>
      <c r="B36" s="63" t="s">
        <v>13</v>
      </c>
      <c r="C36" s="56" t="s">
        <v>7</v>
      </c>
      <c r="D36" s="57" t="s">
        <v>11</v>
      </c>
      <c r="E36" s="17" t="s">
        <v>11</v>
      </c>
    </row>
    <row r="37" spans="1:5" ht="14.25" customHeight="1" x14ac:dyDescent="0.35">
      <c r="A37" s="9" t="s">
        <v>134</v>
      </c>
      <c r="B37" s="59" t="s">
        <v>13</v>
      </c>
      <c r="C37" s="55" t="s">
        <v>7</v>
      </c>
      <c r="D37" s="53" t="s">
        <v>11</v>
      </c>
      <c r="E37" s="10" t="s">
        <v>11</v>
      </c>
    </row>
    <row r="38" spans="1:5" ht="14.25" customHeight="1" x14ac:dyDescent="0.35">
      <c r="A38" s="5" t="s">
        <v>135</v>
      </c>
      <c r="B38" s="63" t="s">
        <v>13</v>
      </c>
      <c r="C38" s="6" t="s">
        <v>7</v>
      </c>
      <c r="D38" s="57" t="s">
        <v>11</v>
      </c>
      <c r="E38" s="57" t="s">
        <v>11</v>
      </c>
    </row>
    <row r="39" spans="1:5" ht="14.25" customHeight="1" x14ac:dyDescent="0.35">
      <c r="A39" s="9" t="s">
        <v>136</v>
      </c>
      <c r="B39" s="59" t="s">
        <v>13</v>
      </c>
      <c r="C39" s="11" t="s">
        <v>7</v>
      </c>
      <c r="D39" s="53" t="s">
        <v>11</v>
      </c>
      <c r="E39" s="53" t="s">
        <v>11</v>
      </c>
    </row>
    <row r="40" spans="1:5" ht="14.25" customHeight="1" x14ac:dyDescent="0.35">
      <c r="A40" s="5" t="s">
        <v>137</v>
      </c>
      <c r="B40" s="63" t="s">
        <v>13</v>
      </c>
      <c r="C40" s="6" t="s">
        <v>7</v>
      </c>
      <c r="D40" s="6" t="s">
        <v>7</v>
      </c>
      <c r="E40" s="6" t="s">
        <v>7</v>
      </c>
    </row>
    <row r="41" spans="1:5" ht="14.25" customHeight="1" x14ac:dyDescent="0.35">
      <c r="A41" s="9" t="s">
        <v>138</v>
      </c>
      <c r="B41" s="59" t="s">
        <v>13</v>
      </c>
      <c r="C41" s="11" t="s">
        <v>7</v>
      </c>
      <c r="D41" s="11" t="s">
        <v>7</v>
      </c>
      <c r="E41" s="53" t="s">
        <v>11</v>
      </c>
    </row>
    <row r="42" spans="1:5" ht="14.25" customHeight="1" x14ac:dyDescent="0.35">
      <c r="A42" s="5" t="s">
        <v>139</v>
      </c>
      <c r="B42" s="63" t="s">
        <v>13</v>
      </c>
      <c r="C42" s="57" t="s">
        <v>11</v>
      </c>
      <c r="D42" s="6" t="s">
        <v>7</v>
      </c>
      <c r="E42" s="6" t="s">
        <v>7</v>
      </c>
    </row>
    <row r="43" spans="1:5" ht="14.25" customHeight="1" x14ac:dyDescent="0.35">
      <c r="A43" s="9" t="s">
        <v>140</v>
      </c>
      <c r="B43" s="59" t="s">
        <v>13</v>
      </c>
      <c r="C43" s="55" t="s">
        <v>7</v>
      </c>
      <c r="D43" s="53" t="s">
        <v>11</v>
      </c>
      <c r="E43" s="55" t="s">
        <v>7</v>
      </c>
    </row>
    <row r="44" spans="1:5" ht="14.25" customHeight="1" x14ac:dyDescent="0.35">
      <c r="A44" s="5" t="s">
        <v>141</v>
      </c>
      <c r="B44" s="63" t="s">
        <v>13</v>
      </c>
      <c r="C44" s="6" t="s">
        <v>7</v>
      </c>
      <c r="D44" s="6" t="s">
        <v>7</v>
      </c>
      <c r="E44" s="6" t="s">
        <v>7</v>
      </c>
    </row>
    <row r="45" spans="1:5" ht="14.25" customHeight="1" x14ac:dyDescent="0.35">
      <c r="A45" s="9" t="s">
        <v>142</v>
      </c>
      <c r="B45" s="59" t="s">
        <v>13</v>
      </c>
      <c r="C45" s="53" t="s">
        <v>11</v>
      </c>
      <c r="D45" s="53" t="s">
        <v>11</v>
      </c>
      <c r="E45" s="11" t="s">
        <v>7</v>
      </c>
    </row>
    <row r="46" spans="1:5" ht="14.25" customHeight="1" x14ac:dyDescent="0.35">
      <c r="A46" s="5" t="s">
        <v>143</v>
      </c>
      <c r="B46" s="63" t="s">
        <v>13</v>
      </c>
      <c r="C46" s="57" t="s">
        <v>11</v>
      </c>
      <c r="D46" s="57" t="s">
        <v>11</v>
      </c>
      <c r="E46" s="6" t="s">
        <v>7</v>
      </c>
    </row>
    <row r="47" spans="1:5" ht="14.25" customHeight="1" x14ac:dyDescent="0.35">
      <c r="A47" s="9" t="s">
        <v>144</v>
      </c>
      <c r="B47" s="62" t="s">
        <v>10</v>
      </c>
      <c r="C47" s="53" t="s">
        <v>11</v>
      </c>
      <c r="D47" s="53" t="s">
        <v>11</v>
      </c>
      <c r="E47" s="11" t="s">
        <v>7</v>
      </c>
    </row>
    <row r="48" spans="1:5" ht="14.25" customHeight="1" x14ac:dyDescent="0.35">
      <c r="A48" s="5" t="s">
        <v>145</v>
      </c>
      <c r="B48" s="58" t="s">
        <v>10</v>
      </c>
      <c r="C48" s="57" t="s">
        <v>11</v>
      </c>
      <c r="D48" s="57" t="s">
        <v>11</v>
      </c>
      <c r="E48" s="6" t="s">
        <v>7</v>
      </c>
    </row>
    <row r="49" spans="1:5" ht="14.25" customHeight="1" x14ac:dyDescent="0.35">
      <c r="A49" s="9" t="s">
        <v>146</v>
      </c>
      <c r="B49" s="62" t="s">
        <v>10</v>
      </c>
      <c r="C49" s="53" t="s">
        <v>11</v>
      </c>
      <c r="D49" s="11" t="s">
        <v>7</v>
      </c>
      <c r="E49" s="11" t="s">
        <v>7</v>
      </c>
    </row>
    <row r="50" spans="1:5" ht="14.25" customHeight="1" x14ac:dyDescent="0.35">
      <c r="A50" s="18" t="s">
        <v>147</v>
      </c>
      <c r="B50" s="58" t="s">
        <v>10</v>
      </c>
      <c r="C50" s="6" t="s">
        <v>7</v>
      </c>
      <c r="D50" s="56" t="s">
        <v>7</v>
      </c>
      <c r="E50" s="57" t="s">
        <v>11</v>
      </c>
    </row>
    <row r="51" spans="1:5" ht="14.25" customHeight="1" x14ac:dyDescent="0.35">
      <c r="A51" s="19"/>
      <c r="B51" s="20"/>
      <c r="C51" s="20"/>
      <c r="D51" s="20"/>
      <c r="E51" s="20"/>
    </row>
    <row r="52" spans="1:5" ht="14.25" customHeight="1" x14ac:dyDescent="0.35">
      <c r="A52" s="21"/>
      <c r="B52" s="22"/>
      <c r="C52" s="22"/>
      <c r="D52" s="22"/>
      <c r="E52" s="22"/>
    </row>
    <row r="53" spans="1:5" ht="14.25" customHeight="1" x14ac:dyDescent="0.35">
      <c r="A53" s="19"/>
      <c r="B53" s="20"/>
      <c r="C53" s="20"/>
      <c r="D53" s="20"/>
      <c r="E53" s="20"/>
    </row>
    <row r="54" spans="1:5" ht="14.25" customHeight="1" x14ac:dyDescent="0.35">
      <c r="A54" s="21"/>
      <c r="B54" s="22"/>
      <c r="C54" s="22"/>
      <c r="D54" s="22"/>
      <c r="E54" s="22"/>
    </row>
    <row r="55" spans="1:5" ht="14.25" customHeight="1" x14ac:dyDescent="0.35">
      <c r="A55" s="19"/>
      <c r="B55" s="20"/>
      <c r="C55" s="20"/>
      <c r="D55" s="20"/>
      <c r="E55" s="20"/>
    </row>
    <row r="56" spans="1:5" ht="14.25" customHeight="1" x14ac:dyDescent="0.35">
      <c r="A56" s="21"/>
      <c r="B56" s="22"/>
      <c r="C56" s="22"/>
      <c r="D56" s="22"/>
      <c r="E56" s="22"/>
    </row>
    <row r="57" spans="1:5" ht="14.25" customHeight="1" x14ac:dyDescent="0.35">
      <c r="A57" s="19"/>
      <c r="B57" s="20"/>
      <c r="C57" s="20"/>
      <c r="D57" s="20"/>
      <c r="E57" s="20"/>
    </row>
    <row r="58" spans="1:5" ht="14.25" customHeight="1" x14ac:dyDescent="0.35">
      <c r="A58" s="21"/>
      <c r="B58" s="22"/>
      <c r="C58" s="22"/>
      <c r="D58" s="22"/>
      <c r="E58" s="22"/>
    </row>
    <row r="59" spans="1:5" ht="14.25" customHeight="1" x14ac:dyDescent="0.35">
      <c r="A59" s="19"/>
      <c r="B59" s="20"/>
      <c r="C59" s="20"/>
      <c r="D59" s="20"/>
      <c r="E59" s="20"/>
    </row>
    <row r="60" spans="1:5" ht="14.25" customHeight="1" x14ac:dyDescent="0.35">
      <c r="A60" s="21"/>
      <c r="B60" s="22"/>
      <c r="C60" s="22"/>
      <c r="D60" s="22"/>
      <c r="E60" s="22"/>
    </row>
    <row r="61" spans="1:5" ht="14.25" customHeight="1" x14ac:dyDescent="0.35">
      <c r="A61" s="19"/>
      <c r="B61" s="20"/>
      <c r="C61" s="20"/>
      <c r="D61" s="20"/>
      <c r="E61" s="20"/>
    </row>
    <row r="62" spans="1:5" ht="14.25" customHeight="1" x14ac:dyDescent="0.35">
      <c r="A62" s="21"/>
      <c r="B62" s="22"/>
      <c r="C62" s="22"/>
      <c r="D62" s="22"/>
      <c r="E62" s="22"/>
    </row>
    <row r="63" spans="1:5" ht="14.25" customHeight="1" x14ac:dyDescent="0.35">
      <c r="A63" s="19"/>
      <c r="B63" s="20"/>
      <c r="C63" s="20"/>
      <c r="D63" s="20"/>
      <c r="E63" s="20"/>
    </row>
    <row r="64" spans="1:5" ht="14.25" customHeight="1" x14ac:dyDescent="0.35">
      <c r="A64" s="21"/>
      <c r="B64" s="22"/>
      <c r="C64" s="22"/>
      <c r="D64" s="22"/>
      <c r="E64" s="22"/>
    </row>
    <row r="65" spans="1:5" ht="14.25" customHeight="1" x14ac:dyDescent="0.35">
      <c r="A65" s="19"/>
      <c r="B65" s="20"/>
      <c r="C65" s="20"/>
      <c r="D65" s="20"/>
      <c r="E65" s="20"/>
    </row>
    <row r="66" spans="1:5" ht="14.25" customHeight="1" x14ac:dyDescent="0.35">
      <c r="A66" s="21"/>
      <c r="B66" s="22"/>
      <c r="C66" s="22"/>
      <c r="D66" s="22"/>
      <c r="E66" s="22"/>
    </row>
    <row r="67" spans="1:5" ht="14.25" customHeight="1" x14ac:dyDescent="0.35">
      <c r="A67" s="19"/>
      <c r="B67" s="20"/>
      <c r="C67" s="20"/>
      <c r="D67" s="20"/>
      <c r="E67" s="20"/>
    </row>
    <row r="68" spans="1:5" ht="14.25" customHeight="1" x14ac:dyDescent="0.35">
      <c r="A68" s="21"/>
      <c r="B68" s="22"/>
      <c r="C68" s="22"/>
      <c r="D68" s="22"/>
      <c r="E68" s="22"/>
    </row>
    <row r="69" spans="1:5" ht="14.25" customHeight="1" x14ac:dyDescent="0.35">
      <c r="A69" s="19"/>
      <c r="B69" s="20"/>
      <c r="C69" s="20"/>
      <c r="D69" s="20"/>
      <c r="E69" s="20"/>
    </row>
    <row r="70" spans="1:5" ht="14.25" customHeight="1" x14ac:dyDescent="0.35">
      <c r="A70" s="21"/>
      <c r="B70" s="22"/>
      <c r="C70" s="22"/>
      <c r="D70" s="22"/>
      <c r="E70" s="22"/>
    </row>
    <row r="71" spans="1:5" ht="14.25" customHeight="1" x14ac:dyDescent="0.35">
      <c r="A71" s="19"/>
      <c r="B71" s="20"/>
      <c r="C71" s="20"/>
      <c r="D71" s="20"/>
      <c r="E71" s="20"/>
    </row>
    <row r="72" spans="1:5" ht="14.25" customHeight="1" x14ac:dyDescent="0.35">
      <c r="A72" s="21"/>
      <c r="B72" s="22"/>
      <c r="C72" s="22"/>
      <c r="D72" s="22"/>
      <c r="E72" s="22"/>
    </row>
    <row r="73" spans="1:5" ht="14.25" customHeight="1" x14ac:dyDescent="0.35">
      <c r="A73" s="19"/>
      <c r="B73" s="20"/>
      <c r="C73" s="20"/>
      <c r="D73" s="20"/>
      <c r="E73" s="20"/>
    </row>
    <row r="74" spans="1:5" ht="14.25" customHeight="1" x14ac:dyDescent="0.35">
      <c r="A74" s="21"/>
      <c r="B74" s="22"/>
      <c r="C74" s="22"/>
      <c r="D74" s="22"/>
      <c r="E74" s="22"/>
    </row>
    <row r="75" spans="1:5" ht="14.25" customHeight="1" x14ac:dyDescent="0.35">
      <c r="A75" s="19"/>
      <c r="B75" s="20"/>
      <c r="C75" s="20"/>
      <c r="D75" s="20"/>
      <c r="E75" s="20"/>
    </row>
    <row r="76" spans="1:5" ht="14.25" customHeight="1" x14ac:dyDescent="0.35">
      <c r="A76" s="21"/>
      <c r="B76" s="22"/>
      <c r="C76" s="22"/>
      <c r="D76" s="22"/>
      <c r="E76" s="22"/>
    </row>
    <row r="77" spans="1:5" ht="14.25" customHeight="1" x14ac:dyDescent="0.35">
      <c r="A77" s="19"/>
      <c r="B77" s="20"/>
      <c r="C77" s="20"/>
      <c r="D77" s="20"/>
      <c r="E77" s="20"/>
    </row>
    <row r="78" spans="1:5" ht="14.25" customHeight="1" x14ac:dyDescent="0.35">
      <c r="A78" s="21"/>
      <c r="B78" s="22"/>
      <c r="C78" s="22"/>
      <c r="D78" s="22"/>
      <c r="E78" s="22"/>
    </row>
    <row r="79" spans="1:5" ht="14.25" customHeight="1" x14ac:dyDescent="0.35">
      <c r="A79" s="19"/>
      <c r="B79" s="20"/>
      <c r="C79" s="20"/>
      <c r="D79" s="20"/>
      <c r="E79" s="20"/>
    </row>
    <row r="80" spans="1:5" ht="14.25" customHeight="1" x14ac:dyDescent="0.35">
      <c r="A80" s="21"/>
      <c r="B80" s="22"/>
      <c r="C80" s="22"/>
      <c r="D80" s="22"/>
      <c r="E80" s="22"/>
    </row>
    <row r="81" spans="1:5" ht="14.25" customHeight="1" x14ac:dyDescent="0.35">
      <c r="A81" s="19"/>
      <c r="B81" s="20"/>
      <c r="C81" s="20"/>
      <c r="D81" s="20"/>
      <c r="E81" s="20"/>
    </row>
    <row r="82" spans="1:5" ht="14.25" customHeight="1" x14ac:dyDescent="0.35">
      <c r="A82" s="21"/>
      <c r="B82" s="22"/>
      <c r="C82" s="22"/>
      <c r="D82" s="22"/>
      <c r="E82" s="22"/>
    </row>
    <row r="83" spans="1:5" ht="14.25" customHeight="1" x14ac:dyDescent="0.35">
      <c r="A83" s="19"/>
      <c r="B83" s="20"/>
      <c r="C83" s="20"/>
      <c r="D83" s="20"/>
      <c r="E83" s="20"/>
    </row>
    <row r="84" spans="1:5" ht="14.25" customHeight="1" x14ac:dyDescent="0.35">
      <c r="A84" s="21"/>
      <c r="B84" s="22"/>
      <c r="C84" s="22"/>
      <c r="D84" s="22"/>
      <c r="E84" s="22"/>
    </row>
    <row r="85" spans="1:5" ht="14.25" customHeight="1" x14ac:dyDescent="0.35">
      <c r="A85" s="19"/>
      <c r="B85" s="20"/>
      <c r="C85" s="20"/>
      <c r="D85" s="20"/>
      <c r="E85" s="20"/>
    </row>
    <row r="86" spans="1:5" ht="14.25" customHeight="1" x14ac:dyDescent="0.35">
      <c r="A86" s="21"/>
      <c r="B86" s="22"/>
      <c r="C86" s="22"/>
      <c r="D86" s="22"/>
      <c r="E86" s="22"/>
    </row>
    <row r="87" spans="1:5" ht="14.25" customHeight="1" x14ac:dyDescent="0.35">
      <c r="A87" s="19"/>
      <c r="B87" s="20"/>
      <c r="C87" s="20"/>
      <c r="D87" s="20"/>
      <c r="E87" s="20"/>
    </row>
    <row r="88" spans="1:5" ht="14.25" customHeight="1" x14ac:dyDescent="0.35">
      <c r="A88" s="21"/>
      <c r="B88" s="22"/>
      <c r="C88" s="22"/>
      <c r="D88" s="22"/>
      <c r="E88" s="22"/>
    </row>
    <row r="89" spans="1:5" ht="14.25" customHeight="1" x14ac:dyDescent="0.35">
      <c r="A89" s="19"/>
      <c r="B89" s="20"/>
      <c r="C89" s="20"/>
      <c r="D89" s="20"/>
      <c r="E89" s="20"/>
    </row>
    <row r="90" spans="1:5" ht="14.25" customHeight="1" x14ac:dyDescent="0.35">
      <c r="A90" s="21"/>
      <c r="B90" s="22"/>
      <c r="C90" s="22"/>
      <c r="D90" s="22"/>
      <c r="E90" s="22"/>
    </row>
    <row r="91" spans="1:5" ht="14.25" customHeight="1" x14ac:dyDescent="0.35">
      <c r="A91" s="19"/>
      <c r="B91" s="20"/>
      <c r="C91" s="20"/>
      <c r="D91" s="20"/>
      <c r="E91" s="20"/>
    </row>
    <row r="92" spans="1:5" ht="14.25" customHeight="1" x14ac:dyDescent="0.35">
      <c r="A92" s="21"/>
      <c r="B92" s="22"/>
      <c r="C92" s="22"/>
      <c r="D92" s="22"/>
      <c r="E92" s="22"/>
    </row>
    <row r="93" spans="1:5" ht="14.25" customHeight="1" x14ac:dyDescent="0.35">
      <c r="A93" s="19"/>
      <c r="B93" s="20"/>
      <c r="C93" s="20"/>
      <c r="D93" s="20"/>
      <c r="E93" s="20"/>
    </row>
    <row r="94" spans="1:5" ht="14.25" customHeight="1" x14ac:dyDescent="0.35">
      <c r="A94" s="21"/>
      <c r="B94" s="22"/>
      <c r="C94" s="22"/>
      <c r="D94" s="22"/>
      <c r="E94" s="22"/>
    </row>
    <row r="95" spans="1:5" ht="14.25" customHeight="1" x14ac:dyDescent="0.35">
      <c r="A95" s="19"/>
      <c r="B95" s="20"/>
      <c r="C95" s="20"/>
      <c r="D95" s="20"/>
      <c r="E95" s="20"/>
    </row>
    <row r="96" spans="1:5" ht="14.25" customHeight="1" x14ac:dyDescent="0.35">
      <c r="A96" s="21"/>
      <c r="B96" s="22"/>
      <c r="C96" s="22"/>
      <c r="D96" s="22"/>
      <c r="E96" s="22"/>
    </row>
    <row r="97" spans="1:5" ht="14.25" customHeight="1" x14ac:dyDescent="0.35">
      <c r="A97" s="19"/>
      <c r="B97" s="20"/>
      <c r="C97" s="20"/>
      <c r="D97" s="20"/>
      <c r="E97" s="20"/>
    </row>
    <row r="98" spans="1:5" ht="14.25" customHeight="1" x14ac:dyDescent="0.35">
      <c r="A98" s="21"/>
      <c r="B98" s="22"/>
      <c r="C98" s="22"/>
      <c r="D98" s="22"/>
      <c r="E98" s="22"/>
    </row>
    <row r="99" spans="1:5" ht="14.25" customHeight="1" x14ac:dyDescent="0.35">
      <c r="A99" s="19"/>
      <c r="B99" s="20"/>
      <c r="C99" s="20"/>
      <c r="D99" s="20"/>
      <c r="E99" s="20"/>
    </row>
    <row r="100" spans="1:5" ht="14.25" customHeight="1" x14ac:dyDescent="0.35">
      <c r="A100" s="21"/>
      <c r="B100" s="22"/>
      <c r="C100" s="22"/>
      <c r="D100" s="22"/>
      <c r="E100" s="22"/>
    </row>
    <row r="101" spans="1:5" ht="14.25" customHeight="1" x14ac:dyDescent="0.35">
      <c r="A101" s="19"/>
      <c r="B101" s="20"/>
      <c r="C101" s="20"/>
      <c r="D101" s="20"/>
      <c r="E101" s="20"/>
    </row>
    <row r="102" spans="1:5" ht="14.25" customHeight="1" x14ac:dyDescent="0.35">
      <c r="A102" s="21"/>
      <c r="B102" s="22"/>
      <c r="C102" s="22"/>
      <c r="D102" s="22"/>
      <c r="E102" s="22"/>
    </row>
    <row r="103" spans="1:5" ht="14.25" customHeight="1" x14ac:dyDescent="0.35">
      <c r="A103" s="19"/>
      <c r="B103" s="20"/>
      <c r="C103" s="20"/>
      <c r="D103" s="20"/>
      <c r="E103" s="20"/>
    </row>
    <row r="104" spans="1:5" ht="14.25" customHeight="1" x14ac:dyDescent="0.35">
      <c r="A104" s="21"/>
      <c r="B104" s="22"/>
      <c r="C104" s="22"/>
      <c r="D104" s="22"/>
      <c r="E104" s="22"/>
    </row>
    <row r="105" spans="1:5" ht="14.25" customHeight="1" x14ac:dyDescent="0.35">
      <c r="A105" s="19"/>
      <c r="B105" s="20"/>
      <c r="C105" s="20"/>
      <c r="D105" s="20"/>
      <c r="E105" s="20"/>
    </row>
    <row r="106" spans="1:5" ht="14.25" customHeight="1" x14ac:dyDescent="0.35">
      <c r="A106" s="21"/>
      <c r="B106" s="22"/>
      <c r="C106" s="22"/>
      <c r="D106" s="22"/>
      <c r="E106" s="22"/>
    </row>
    <row r="107" spans="1:5" ht="14.25" customHeight="1" x14ac:dyDescent="0.35">
      <c r="A107" s="19"/>
      <c r="B107" s="20"/>
      <c r="C107" s="20"/>
      <c r="D107" s="20"/>
      <c r="E107" s="20"/>
    </row>
    <row r="108" spans="1:5" ht="14.25" customHeight="1" x14ac:dyDescent="0.35">
      <c r="A108" s="21"/>
      <c r="B108" s="22"/>
      <c r="C108" s="22"/>
      <c r="D108" s="22"/>
      <c r="E108" s="22"/>
    </row>
    <row r="109" spans="1:5" ht="14.25" customHeight="1" x14ac:dyDescent="0.35">
      <c r="A109" s="19"/>
      <c r="B109" s="20"/>
      <c r="C109" s="20"/>
      <c r="D109" s="20"/>
      <c r="E109" s="20"/>
    </row>
    <row r="110" spans="1:5" ht="14.25" customHeight="1" x14ac:dyDescent="0.35">
      <c r="A110" s="21"/>
      <c r="B110" s="22"/>
      <c r="C110" s="22"/>
      <c r="D110" s="22"/>
      <c r="E110" s="22"/>
    </row>
    <row r="111" spans="1:5" ht="14.25" customHeight="1" x14ac:dyDescent="0.35">
      <c r="A111" s="19"/>
      <c r="B111" s="20"/>
      <c r="C111" s="20"/>
      <c r="D111" s="20"/>
      <c r="E111" s="20"/>
    </row>
    <row r="112" spans="1:5" ht="14.25" customHeight="1" x14ac:dyDescent="0.35">
      <c r="A112" s="21"/>
      <c r="B112" s="22"/>
      <c r="C112" s="22"/>
      <c r="D112" s="22"/>
      <c r="E112" s="22"/>
    </row>
    <row r="113" spans="1:5" ht="14.25" customHeight="1" x14ac:dyDescent="0.35">
      <c r="A113" s="19"/>
      <c r="B113" s="20"/>
      <c r="C113" s="20"/>
      <c r="D113" s="20"/>
      <c r="E113" s="20"/>
    </row>
    <row r="114" spans="1:5" ht="14.25" customHeight="1" x14ac:dyDescent="0.35">
      <c r="A114" s="21"/>
      <c r="B114" s="22"/>
      <c r="C114" s="22"/>
      <c r="D114" s="22"/>
      <c r="E114" s="22"/>
    </row>
    <row r="115" spans="1:5" ht="14.25" customHeight="1" x14ac:dyDescent="0.35">
      <c r="A115" s="19"/>
      <c r="B115" s="20"/>
      <c r="C115" s="20"/>
      <c r="D115" s="20"/>
      <c r="E115" s="20"/>
    </row>
    <row r="116" spans="1:5" ht="14.25" customHeight="1" x14ac:dyDescent="0.35">
      <c r="A116" s="21"/>
      <c r="B116" s="22"/>
      <c r="C116" s="22"/>
      <c r="D116" s="22"/>
      <c r="E116" s="22"/>
    </row>
    <row r="117" spans="1:5" ht="14.25" customHeight="1" x14ac:dyDescent="0.35">
      <c r="A117" s="19"/>
      <c r="B117" s="20"/>
      <c r="C117" s="20"/>
      <c r="D117" s="20"/>
      <c r="E117" s="20"/>
    </row>
    <row r="118" spans="1:5" ht="14.25" customHeight="1" x14ac:dyDescent="0.35">
      <c r="A118" s="21"/>
      <c r="B118" s="22"/>
      <c r="C118" s="22"/>
      <c r="D118" s="22"/>
      <c r="E118" s="22"/>
    </row>
    <row r="119" spans="1:5" ht="14.25" customHeight="1" x14ac:dyDescent="0.35">
      <c r="A119" s="19"/>
      <c r="B119" s="20"/>
      <c r="C119" s="20"/>
      <c r="D119" s="20"/>
      <c r="E119" s="20"/>
    </row>
    <row r="120" spans="1:5" ht="14.25" customHeight="1" x14ac:dyDescent="0.35">
      <c r="A120" s="21"/>
      <c r="B120" s="22"/>
      <c r="C120" s="22"/>
      <c r="D120" s="22"/>
      <c r="E120" s="22"/>
    </row>
    <row r="121" spans="1:5" ht="14.25" customHeight="1" x14ac:dyDescent="0.35">
      <c r="A121" s="19"/>
      <c r="B121" s="20"/>
      <c r="C121" s="20"/>
      <c r="D121" s="20"/>
      <c r="E121" s="20"/>
    </row>
    <row r="122" spans="1:5" ht="14.25" customHeight="1" x14ac:dyDescent="0.35">
      <c r="A122" s="21"/>
      <c r="B122" s="22"/>
      <c r="C122" s="22"/>
      <c r="D122" s="22"/>
      <c r="E122" s="22"/>
    </row>
    <row r="123" spans="1:5" ht="14.25" customHeight="1" x14ac:dyDescent="0.35">
      <c r="A123" s="19"/>
      <c r="B123" s="20"/>
      <c r="C123" s="20"/>
      <c r="D123" s="20"/>
      <c r="E123" s="20"/>
    </row>
    <row r="124" spans="1:5" ht="14.25" customHeight="1" x14ac:dyDescent="0.35">
      <c r="A124" s="21"/>
      <c r="B124" s="22"/>
      <c r="C124" s="22"/>
      <c r="D124" s="22"/>
      <c r="E124" s="22"/>
    </row>
    <row r="125" spans="1:5" ht="14.25" customHeight="1" x14ac:dyDescent="0.35">
      <c r="A125" s="19"/>
      <c r="B125" s="20"/>
      <c r="C125" s="20"/>
      <c r="D125" s="20"/>
      <c r="E125" s="20"/>
    </row>
    <row r="126" spans="1:5" ht="14.25" customHeight="1" x14ac:dyDescent="0.35">
      <c r="A126" s="21"/>
      <c r="B126" s="22"/>
      <c r="C126" s="22"/>
      <c r="D126" s="22"/>
      <c r="E126" s="22"/>
    </row>
    <row r="127" spans="1:5" ht="14.25" customHeight="1" x14ac:dyDescent="0.35">
      <c r="A127" s="19"/>
      <c r="B127" s="20"/>
      <c r="C127" s="20"/>
      <c r="D127" s="20"/>
      <c r="E127" s="20"/>
    </row>
    <row r="128" spans="1:5" ht="14.25" customHeight="1" x14ac:dyDescent="0.35">
      <c r="A128" s="21"/>
      <c r="B128" s="22"/>
      <c r="C128" s="22"/>
      <c r="D128" s="22"/>
      <c r="E128" s="22"/>
    </row>
    <row r="129" spans="1:5" ht="14.25" customHeight="1" x14ac:dyDescent="0.35">
      <c r="A129" s="19"/>
      <c r="B129" s="20"/>
      <c r="C129" s="20"/>
      <c r="D129" s="20"/>
      <c r="E129" s="20"/>
    </row>
    <row r="130" spans="1:5" ht="14.25" customHeight="1" x14ac:dyDescent="0.35">
      <c r="A130" s="21"/>
      <c r="B130" s="22"/>
      <c r="C130" s="22"/>
      <c r="D130" s="22"/>
      <c r="E130" s="22"/>
    </row>
    <row r="131" spans="1:5" ht="14.25" customHeight="1" x14ac:dyDescent="0.35">
      <c r="A131" s="19"/>
      <c r="B131" s="20"/>
      <c r="C131" s="20"/>
      <c r="D131" s="20"/>
      <c r="E131" s="20"/>
    </row>
    <row r="132" spans="1:5" ht="14.25" customHeight="1" x14ac:dyDescent="0.35">
      <c r="A132" s="21"/>
      <c r="B132" s="22"/>
      <c r="C132" s="22"/>
      <c r="D132" s="22"/>
      <c r="E132" s="22"/>
    </row>
    <row r="133" spans="1:5" ht="14.25" customHeight="1" x14ac:dyDescent="0.35">
      <c r="A133" s="19"/>
      <c r="B133" s="20"/>
      <c r="C133" s="20"/>
      <c r="D133" s="20"/>
      <c r="E133" s="20"/>
    </row>
    <row r="134" spans="1:5" ht="14.25" customHeight="1" x14ac:dyDescent="0.35">
      <c r="A134" s="21"/>
      <c r="B134" s="22"/>
      <c r="C134" s="22"/>
      <c r="D134" s="22"/>
      <c r="E134" s="22"/>
    </row>
    <row r="135" spans="1:5" ht="14.25" customHeight="1" x14ac:dyDescent="0.35">
      <c r="A135" s="19"/>
      <c r="B135" s="20"/>
      <c r="C135" s="20"/>
      <c r="D135" s="20"/>
      <c r="E135" s="20"/>
    </row>
    <row r="136" spans="1:5" ht="14.25" customHeight="1" x14ac:dyDescent="0.35">
      <c r="A136" s="21"/>
      <c r="B136" s="22"/>
      <c r="C136" s="22"/>
      <c r="D136" s="22"/>
      <c r="E136" s="22"/>
    </row>
    <row r="137" spans="1:5" ht="14.25" customHeight="1" x14ac:dyDescent="0.35">
      <c r="A137" s="19"/>
      <c r="B137" s="20"/>
      <c r="C137" s="20"/>
      <c r="D137" s="20"/>
      <c r="E137" s="20"/>
    </row>
    <row r="138" spans="1:5" ht="14.25" customHeight="1" x14ac:dyDescent="0.35">
      <c r="A138" s="21"/>
      <c r="B138" s="22"/>
      <c r="C138" s="22"/>
      <c r="D138" s="22"/>
      <c r="E138" s="22"/>
    </row>
    <row r="139" spans="1:5" ht="14.25" customHeight="1" x14ac:dyDescent="0.35">
      <c r="A139" s="19"/>
      <c r="B139" s="20"/>
      <c r="C139" s="20"/>
      <c r="D139" s="20"/>
      <c r="E139" s="20"/>
    </row>
    <row r="140" spans="1:5" ht="14.25" customHeight="1" x14ac:dyDescent="0.35">
      <c r="A140" s="21"/>
      <c r="B140" s="22"/>
      <c r="C140" s="22"/>
      <c r="D140" s="22"/>
      <c r="E140" s="22"/>
    </row>
    <row r="141" spans="1:5" ht="14.25" customHeight="1" x14ac:dyDescent="0.35">
      <c r="A141" s="19"/>
      <c r="B141" s="20"/>
      <c r="C141" s="20"/>
      <c r="D141" s="20"/>
      <c r="E141" s="20"/>
    </row>
    <row r="142" spans="1:5" ht="14.25" customHeight="1" x14ac:dyDescent="0.35">
      <c r="A142" s="21"/>
      <c r="B142" s="22"/>
      <c r="C142" s="22"/>
      <c r="D142" s="22"/>
      <c r="E142" s="22"/>
    </row>
    <row r="143" spans="1:5" ht="14.25" customHeight="1" x14ac:dyDescent="0.35">
      <c r="A143" s="19"/>
      <c r="B143" s="20"/>
      <c r="C143" s="20"/>
      <c r="D143" s="20"/>
      <c r="E143" s="20"/>
    </row>
    <row r="144" spans="1:5" ht="14.25" customHeight="1" x14ac:dyDescent="0.35">
      <c r="A144" s="21"/>
      <c r="B144" s="22"/>
      <c r="C144" s="22"/>
      <c r="D144" s="22"/>
      <c r="E144" s="22"/>
    </row>
    <row r="145" spans="1:5" ht="14.25" customHeight="1" x14ac:dyDescent="0.35">
      <c r="A145" s="19"/>
      <c r="B145" s="20"/>
      <c r="C145" s="20"/>
      <c r="D145" s="20"/>
      <c r="E145" s="20"/>
    </row>
    <row r="146" spans="1:5" ht="14.25" customHeight="1" x14ac:dyDescent="0.35">
      <c r="A146" s="21"/>
      <c r="B146" s="22"/>
      <c r="C146" s="22"/>
      <c r="D146" s="22"/>
      <c r="E146" s="22"/>
    </row>
    <row r="147" spans="1:5" ht="14.25" customHeight="1" x14ac:dyDescent="0.35">
      <c r="A147" s="19"/>
      <c r="B147" s="20"/>
      <c r="C147" s="20"/>
      <c r="D147" s="20"/>
      <c r="E147" s="20"/>
    </row>
    <row r="148" spans="1:5" ht="14.25" customHeight="1" x14ac:dyDescent="0.35">
      <c r="A148" s="21"/>
      <c r="B148" s="22"/>
      <c r="C148" s="22"/>
      <c r="D148" s="22"/>
      <c r="E148" s="22"/>
    </row>
    <row r="149" spans="1:5" ht="14.25" customHeight="1" x14ac:dyDescent="0.35">
      <c r="A149" s="19"/>
      <c r="B149" s="20"/>
      <c r="C149" s="20"/>
      <c r="D149" s="20"/>
      <c r="E149" s="20"/>
    </row>
    <row r="150" spans="1:5" ht="14.25" customHeight="1" x14ac:dyDescent="0.35">
      <c r="A150" s="21"/>
      <c r="B150" s="22"/>
      <c r="C150" s="22"/>
      <c r="D150" s="22"/>
      <c r="E150" s="22"/>
    </row>
    <row r="151" spans="1:5" ht="14.25" customHeight="1" x14ac:dyDescent="0.35">
      <c r="A151" s="19"/>
      <c r="B151" s="20"/>
      <c r="C151" s="20"/>
      <c r="D151" s="20"/>
      <c r="E151" s="20"/>
    </row>
    <row r="152" spans="1:5" ht="14.25" customHeight="1" x14ac:dyDescent="0.35">
      <c r="A152" s="21"/>
      <c r="B152" s="22"/>
      <c r="C152" s="22"/>
      <c r="D152" s="22"/>
      <c r="E152" s="22"/>
    </row>
    <row r="153" spans="1:5" ht="14.25" customHeight="1" x14ac:dyDescent="0.35">
      <c r="A153" s="19"/>
      <c r="B153" s="20"/>
      <c r="C153" s="20"/>
      <c r="D153" s="20"/>
      <c r="E153" s="20"/>
    </row>
    <row r="154" spans="1:5" ht="14.25" customHeight="1" x14ac:dyDescent="0.35">
      <c r="A154" s="21"/>
      <c r="B154" s="22"/>
      <c r="C154" s="22"/>
      <c r="D154" s="22"/>
      <c r="E154" s="22"/>
    </row>
    <row r="155" spans="1:5" ht="14.25" customHeight="1" x14ac:dyDescent="0.35">
      <c r="A155" s="19"/>
      <c r="B155" s="20"/>
      <c r="C155" s="20"/>
      <c r="D155" s="20"/>
      <c r="E155" s="20"/>
    </row>
    <row r="156" spans="1:5" ht="14.25" customHeight="1" x14ac:dyDescent="0.35">
      <c r="A156" s="21"/>
      <c r="B156" s="22"/>
      <c r="C156" s="22"/>
      <c r="D156" s="22"/>
      <c r="E156" s="22"/>
    </row>
    <row r="157" spans="1:5" ht="14.25" customHeight="1" x14ac:dyDescent="0.35">
      <c r="A157" s="19"/>
      <c r="B157" s="20"/>
      <c r="C157" s="20"/>
      <c r="D157" s="20"/>
      <c r="E157" s="20"/>
    </row>
    <row r="158" spans="1:5" ht="14.25" customHeight="1" x14ac:dyDescent="0.35">
      <c r="A158" s="21"/>
      <c r="B158" s="22"/>
      <c r="C158" s="22"/>
      <c r="D158" s="22"/>
      <c r="E158" s="22"/>
    </row>
    <row r="159" spans="1:5" ht="14.25" customHeight="1" x14ac:dyDescent="0.35">
      <c r="A159" s="19"/>
      <c r="B159" s="20"/>
      <c r="C159" s="20"/>
      <c r="D159" s="20"/>
      <c r="E159" s="20"/>
    </row>
    <row r="160" spans="1:5" ht="14.25" customHeight="1" x14ac:dyDescent="0.35">
      <c r="A160" s="21"/>
      <c r="B160" s="22"/>
      <c r="C160" s="22"/>
      <c r="D160" s="22"/>
      <c r="E160" s="22"/>
    </row>
    <row r="161" spans="1:5" ht="14.25" customHeight="1" x14ac:dyDescent="0.35">
      <c r="A161" s="19"/>
      <c r="B161" s="20"/>
      <c r="C161" s="20"/>
      <c r="D161" s="20"/>
      <c r="E161" s="20"/>
    </row>
    <row r="162" spans="1:5" ht="14.25" customHeight="1" x14ac:dyDescent="0.35">
      <c r="A162" s="21"/>
      <c r="B162" s="22"/>
      <c r="C162" s="22"/>
      <c r="D162" s="22"/>
      <c r="E162" s="22"/>
    </row>
    <row r="163" spans="1:5" ht="14.25" customHeight="1" x14ac:dyDescent="0.35">
      <c r="A163" s="19"/>
      <c r="B163" s="20"/>
      <c r="C163" s="20"/>
      <c r="D163" s="20"/>
      <c r="E163" s="20"/>
    </row>
    <row r="164" spans="1:5" ht="14.25" customHeight="1" x14ac:dyDescent="0.35">
      <c r="A164" s="21"/>
      <c r="B164" s="22"/>
      <c r="C164" s="22"/>
      <c r="D164" s="22"/>
      <c r="E164" s="22"/>
    </row>
    <row r="165" spans="1:5" ht="14.25" customHeight="1" x14ac:dyDescent="0.35">
      <c r="A165" s="19"/>
      <c r="B165" s="20"/>
      <c r="C165" s="20"/>
      <c r="D165" s="20"/>
      <c r="E165" s="20"/>
    </row>
    <row r="166" spans="1:5" ht="14.25" customHeight="1" x14ac:dyDescent="0.35">
      <c r="A166" s="21"/>
      <c r="B166" s="22"/>
      <c r="C166" s="22"/>
      <c r="D166" s="22"/>
      <c r="E166" s="22"/>
    </row>
    <row r="167" spans="1:5" ht="14.25" customHeight="1" x14ac:dyDescent="0.35">
      <c r="A167" s="19"/>
      <c r="B167" s="20"/>
      <c r="C167" s="20"/>
      <c r="D167" s="20"/>
      <c r="E167" s="20"/>
    </row>
    <row r="168" spans="1:5" ht="14.25" customHeight="1" x14ac:dyDescent="0.35">
      <c r="A168" s="21"/>
      <c r="B168" s="22"/>
      <c r="C168" s="22"/>
      <c r="D168" s="22"/>
      <c r="E168" s="22"/>
    </row>
    <row r="169" spans="1:5" ht="14.25" customHeight="1" x14ac:dyDescent="0.35">
      <c r="A169" s="19"/>
      <c r="B169" s="20"/>
      <c r="C169" s="20"/>
      <c r="D169" s="20"/>
      <c r="E169" s="20"/>
    </row>
    <row r="170" spans="1:5" ht="14.25" customHeight="1" x14ac:dyDescent="0.35">
      <c r="A170" s="21"/>
      <c r="B170" s="22"/>
      <c r="C170" s="22"/>
      <c r="D170" s="22"/>
      <c r="E170" s="22"/>
    </row>
    <row r="171" spans="1:5" ht="14.25" customHeight="1" x14ac:dyDescent="0.35">
      <c r="A171" s="19"/>
      <c r="B171" s="20"/>
      <c r="C171" s="20"/>
      <c r="D171" s="20"/>
      <c r="E171" s="20"/>
    </row>
    <row r="172" spans="1:5" ht="14.25" customHeight="1" x14ac:dyDescent="0.35">
      <c r="A172" s="21"/>
      <c r="B172" s="22"/>
      <c r="C172" s="22"/>
      <c r="D172" s="22"/>
      <c r="E172" s="22"/>
    </row>
    <row r="173" spans="1:5" ht="14.25" customHeight="1" x14ac:dyDescent="0.35">
      <c r="A173" s="19"/>
      <c r="B173" s="20"/>
      <c r="C173" s="20"/>
      <c r="D173" s="20"/>
      <c r="E173" s="20"/>
    </row>
    <row r="174" spans="1:5" ht="14.25" customHeight="1" x14ac:dyDescent="0.35">
      <c r="A174" s="21"/>
      <c r="B174" s="22"/>
      <c r="C174" s="22"/>
      <c r="D174" s="22"/>
      <c r="E174" s="22"/>
    </row>
    <row r="175" spans="1:5" ht="14.25" customHeight="1" x14ac:dyDescent="0.35">
      <c r="A175" s="19"/>
      <c r="B175" s="20"/>
      <c r="C175" s="20"/>
      <c r="D175" s="20"/>
      <c r="E175" s="20"/>
    </row>
    <row r="176" spans="1:5" ht="14.25" customHeight="1" x14ac:dyDescent="0.35">
      <c r="A176" s="21"/>
      <c r="B176" s="22"/>
      <c r="C176" s="22"/>
      <c r="D176" s="22"/>
      <c r="E176" s="22"/>
    </row>
    <row r="177" spans="1:5" ht="14.25" customHeight="1" x14ac:dyDescent="0.35">
      <c r="A177" s="19"/>
      <c r="B177" s="20"/>
      <c r="C177" s="20"/>
      <c r="D177" s="20"/>
      <c r="E177" s="20"/>
    </row>
    <row r="178" spans="1:5" ht="14.25" customHeight="1" x14ac:dyDescent="0.35">
      <c r="A178" s="21"/>
      <c r="B178" s="22"/>
      <c r="C178" s="22"/>
      <c r="D178" s="22"/>
      <c r="E178" s="22"/>
    </row>
    <row r="179" spans="1:5" ht="14.25" customHeight="1" x14ac:dyDescent="0.35">
      <c r="A179" s="19"/>
      <c r="B179" s="20"/>
      <c r="C179" s="20"/>
      <c r="D179" s="20"/>
      <c r="E179" s="20"/>
    </row>
    <row r="180" spans="1:5" ht="14.25" customHeight="1" x14ac:dyDescent="0.35">
      <c r="A180" s="21"/>
      <c r="B180" s="22"/>
      <c r="C180" s="22"/>
      <c r="D180" s="22"/>
      <c r="E180" s="22"/>
    </row>
    <row r="181" spans="1:5" ht="14.25" customHeight="1" x14ac:dyDescent="0.35">
      <c r="A181" s="19"/>
      <c r="B181" s="20"/>
      <c r="C181" s="20"/>
      <c r="D181" s="20"/>
      <c r="E181" s="20"/>
    </row>
    <row r="182" spans="1:5" ht="14.25" customHeight="1" x14ac:dyDescent="0.35">
      <c r="A182" s="21"/>
      <c r="B182" s="22"/>
      <c r="C182" s="22"/>
      <c r="D182" s="22"/>
      <c r="E182" s="22"/>
    </row>
    <row r="183" spans="1:5" ht="14.25" customHeight="1" x14ac:dyDescent="0.35">
      <c r="A183" s="19"/>
      <c r="B183" s="20"/>
      <c r="C183" s="20"/>
      <c r="D183" s="20"/>
      <c r="E183" s="20"/>
    </row>
    <row r="184" spans="1:5" ht="14.25" customHeight="1" x14ac:dyDescent="0.35">
      <c r="A184" s="21"/>
      <c r="B184" s="22"/>
      <c r="C184" s="22"/>
      <c r="D184" s="22"/>
      <c r="E184" s="22"/>
    </row>
    <row r="185" spans="1:5" ht="14.25" customHeight="1" x14ac:dyDescent="0.35">
      <c r="A185" s="19"/>
      <c r="B185" s="20"/>
      <c r="C185" s="20"/>
      <c r="D185" s="20"/>
      <c r="E185" s="20"/>
    </row>
    <row r="186" spans="1:5" ht="14.25" customHeight="1" x14ac:dyDescent="0.35">
      <c r="A186" s="21"/>
      <c r="B186" s="22"/>
      <c r="C186" s="22"/>
      <c r="D186" s="22"/>
      <c r="E186" s="22"/>
    </row>
    <row r="187" spans="1:5" ht="14.25" customHeight="1" x14ac:dyDescent="0.35">
      <c r="A187" s="19"/>
      <c r="B187" s="20"/>
      <c r="C187" s="20"/>
      <c r="D187" s="20"/>
      <c r="E187" s="20"/>
    </row>
    <row r="188" spans="1:5" ht="14.25" customHeight="1" x14ac:dyDescent="0.35">
      <c r="A188" s="21"/>
      <c r="B188" s="22"/>
      <c r="C188" s="22"/>
      <c r="D188" s="22"/>
      <c r="E188" s="22"/>
    </row>
    <row r="189" spans="1:5" ht="14.25" customHeight="1" x14ac:dyDescent="0.35">
      <c r="A189" s="19"/>
      <c r="B189" s="20"/>
      <c r="C189" s="20"/>
      <c r="D189" s="20"/>
      <c r="E189" s="20"/>
    </row>
    <row r="190" spans="1:5" ht="14.25" customHeight="1" x14ac:dyDescent="0.35">
      <c r="A190" s="21"/>
      <c r="B190" s="22"/>
      <c r="C190" s="22"/>
      <c r="D190" s="22"/>
      <c r="E190" s="22"/>
    </row>
    <row r="191" spans="1:5" ht="14.25" customHeight="1" x14ac:dyDescent="0.35">
      <c r="A191" s="19"/>
      <c r="B191" s="20"/>
      <c r="C191" s="20"/>
      <c r="D191" s="20"/>
      <c r="E191" s="20"/>
    </row>
    <row r="192" spans="1:5" ht="14.25" customHeight="1" x14ac:dyDescent="0.35">
      <c r="A192" s="21"/>
      <c r="B192" s="22"/>
      <c r="C192" s="22"/>
      <c r="D192" s="22"/>
      <c r="E192" s="22"/>
    </row>
    <row r="193" spans="1:5" ht="14.25" customHeight="1" x14ac:dyDescent="0.35">
      <c r="A193" s="19"/>
      <c r="B193" s="20"/>
      <c r="C193" s="20"/>
      <c r="D193" s="20"/>
      <c r="E193" s="20"/>
    </row>
    <row r="194" spans="1:5" ht="14.25" customHeight="1" x14ac:dyDescent="0.35">
      <c r="A194" s="21"/>
      <c r="B194" s="22"/>
      <c r="C194" s="22"/>
      <c r="D194" s="22"/>
      <c r="E194" s="22"/>
    </row>
    <row r="195" spans="1:5" ht="14.25" customHeight="1" x14ac:dyDescent="0.35">
      <c r="A195" s="19"/>
      <c r="B195" s="20"/>
      <c r="C195" s="20"/>
      <c r="D195" s="20"/>
      <c r="E195" s="20"/>
    </row>
    <row r="196" spans="1:5" ht="14.25" customHeight="1" x14ac:dyDescent="0.35">
      <c r="A196" s="21"/>
      <c r="B196" s="22"/>
      <c r="C196" s="22"/>
      <c r="D196" s="22"/>
      <c r="E196" s="22"/>
    </row>
    <row r="197" spans="1:5" ht="14.25" customHeight="1" x14ac:dyDescent="0.35">
      <c r="A197" s="19"/>
      <c r="B197" s="20"/>
      <c r="C197" s="20"/>
      <c r="D197" s="20"/>
      <c r="E197" s="20"/>
    </row>
    <row r="198" spans="1:5" ht="14.25" customHeight="1" x14ac:dyDescent="0.35">
      <c r="A198" s="21"/>
      <c r="B198" s="22"/>
      <c r="C198" s="22"/>
      <c r="D198" s="22"/>
      <c r="E198" s="22"/>
    </row>
    <row r="199" spans="1:5" ht="14.25" customHeight="1" x14ac:dyDescent="0.35">
      <c r="A199" s="19"/>
      <c r="B199" s="20"/>
      <c r="C199" s="20"/>
      <c r="D199" s="20"/>
      <c r="E199" s="20"/>
    </row>
    <row r="200" spans="1:5" ht="14.25" customHeight="1" x14ac:dyDescent="0.35">
      <c r="A200" s="21"/>
      <c r="B200" s="22"/>
      <c r="C200" s="22"/>
      <c r="D200" s="22"/>
      <c r="E200" s="22"/>
    </row>
    <row r="201" spans="1:5" ht="14.25" customHeight="1" x14ac:dyDescent="0.35">
      <c r="A201" s="19"/>
      <c r="B201" s="20"/>
      <c r="C201" s="20"/>
      <c r="D201" s="20"/>
      <c r="E201" s="20"/>
    </row>
    <row r="202" spans="1:5" ht="14.25" customHeight="1" x14ac:dyDescent="0.35">
      <c r="A202" s="21"/>
      <c r="B202" s="22"/>
      <c r="C202" s="22"/>
      <c r="D202" s="22"/>
      <c r="E202" s="22"/>
    </row>
    <row r="203" spans="1:5" ht="14.25" customHeight="1" x14ac:dyDescent="0.35">
      <c r="A203" s="19"/>
      <c r="B203" s="20"/>
      <c r="C203" s="20"/>
      <c r="D203" s="20"/>
      <c r="E203" s="20"/>
    </row>
    <row r="204" spans="1:5" ht="14.25" customHeight="1" x14ac:dyDescent="0.35">
      <c r="A204" s="21"/>
      <c r="B204" s="22"/>
      <c r="C204" s="22"/>
      <c r="D204" s="22"/>
      <c r="E204" s="22"/>
    </row>
    <row r="205" spans="1:5" ht="14.25" customHeight="1" x14ac:dyDescent="0.35">
      <c r="A205" s="19"/>
      <c r="B205" s="20"/>
      <c r="C205" s="20"/>
      <c r="D205" s="20"/>
      <c r="E205" s="20"/>
    </row>
    <row r="206" spans="1:5" ht="14.25" customHeight="1" x14ac:dyDescent="0.35">
      <c r="A206" s="21"/>
      <c r="B206" s="22"/>
      <c r="C206" s="22"/>
      <c r="D206" s="22"/>
      <c r="E206" s="22"/>
    </row>
    <row r="207" spans="1:5" ht="14.25" customHeight="1" x14ac:dyDescent="0.35">
      <c r="A207" s="19"/>
      <c r="B207" s="20"/>
      <c r="C207" s="20"/>
      <c r="D207" s="20"/>
      <c r="E207" s="20"/>
    </row>
    <row r="208" spans="1:5" ht="14.25" customHeight="1" x14ac:dyDescent="0.35">
      <c r="A208" s="21"/>
      <c r="B208" s="22"/>
      <c r="C208" s="22"/>
      <c r="D208" s="22"/>
      <c r="E208" s="22"/>
    </row>
    <row r="209" spans="1:5" ht="14.25" customHeight="1" x14ac:dyDescent="0.35">
      <c r="A209" s="19"/>
      <c r="B209" s="20"/>
      <c r="C209" s="20"/>
      <c r="D209" s="20"/>
      <c r="E209" s="20"/>
    </row>
    <row r="210" spans="1:5" ht="14.25" customHeight="1" x14ac:dyDescent="0.35">
      <c r="A210" s="21"/>
      <c r="B210" s="22"/>
      <c r="C210" s="22"/>
      <c r="D210" s="22"/>
      <c r="E210" s="22"/>
    </row>
    <row r="211" spans="1:5" ht="14.25" customHeight="1" x14ac:dyDescent="0.35">
      <c r="A211" s="19"/>
      <c r="B211" s="20"/>
      <c r="C211" s="20"/>
      <c r="D211" s="20"/>
      <c r="E211" s="20"/>
    </row>
    <row r="212" spans="1:5" ht="14.25" customHeight="1" x14ac:dyDescent="0.35">
      <c r="A212" s="21"/>
      <c r="B212" s="22"/>
      <c r="C212" s="22"/>
      <c r="D212" s="22"/>
      <c r="E212" s="22"/>
    </row>
    <row r="213" spans="1:5" ht="14.25" customHeight="1" x14ac:dyDescent="0.35">
      <c r="A213" s="19"/>
      <c r="B213" s="20"/>
      <c r="C213" s="20"/>
      <c r="D213" s="20"/>
      <c r="E213" s="20"/>
    </row>
    <row r="214" spans="1:5" ht="14.25" customHeight="1" x14ac:dyDescent="0.35">
      <c r="A214" s="21"/>
      <c r="B214" s="22"/>
      <c r="C214" s="22"/>
      <c r="D214" s="22"/>
      <c r="E214" s="22"/>
    </row>
    <row r="215" spans="1:5" ht="14.25" customHeight="1" x14ac:dyDescent="0.35">
      <c r="A215" s="19"/>
      <c r="B215" s="20"/>
      <c r="C215" s="20"/>
      <c r="D215" s="20"/>
      <c r="E215" s="20"/>
    </row>
    <row r="216" spans="1:5" ht="14.25" customHeight="1" x14ac:dyDescent="0.35">
      <c r="A216" s="21"/>
      <c r="B216" s="22"/>
      <c r="C216" s="22"/>
      <c r="D216" s="22"/>
      <c r="E216" s="22"/>
    </row>
    <row r="217" spans="1:5" ht="14.25" customHeight="1" x14ac:dyDescent="0.35">
      <c r="A217" s="19"/>
      <c r="B217" s="20"/>
      <c r="C217" s="20"/>
      <c r="D217" s="20"/>
      <c r="E217" s="20"/>
    </row>
    <row r="218" spans="1:5" ht="14.25" customHeight="1" x14ac:dyDescent="0.35">
      <c r="A218" s="21"/>
      <c r="B218" s="22"/>
      <c r="C218" s="22"/>
      <c r="D218" s="22"/>
      <c r="E218" s="22"/>
    </row>
    <row r="219" spans="1:5" ht="14.25" customHeight="1" x14ac:dyDescent="0.35">
      <c r="A219" s="19"/>
      <c r="B219" s="20"/>
      <c r="C219" s="20"/>
      <c r="D219" s="20"/>
      <c r="E219" s="20"/>
    </row>
    <row r="220" spans="1:5" ht="14.25" customHeight="1" x14ac:dyDescent="0.35">
      <c r="A220" s="21"/>
      <c r="B220" s="22"/>
      <c r="C220" s="22"/>
      <c r="D220" s="22"/>
      <c r="E220" s="22"/>
    </row>
    <row r="221" spans="1:5" ht="14.25" customHeight="1" x14ac:dyDescent="0.35">
      <c r="A221" s="19"/>
      <c r="B221" s="20"/>
      <c r="C221" s="20"/>
      <c r="D221" s="20"/>
      <c r="E221" s="20"/>
    </row>
    <row r="222" spans="1:5" ht="14.25" customHeight="1" x14ac:dyDescent="0.35">
      <c r="A222" s="21"/>
      <c r="B222" s="22"/>
      <c r="C222" s="22"/>
      <c r="D222" s="22"/>
      <c r="E222" s="22"/>
    </row>
    <row r="223" spans="1:5" ht="14.25" customHeight="1" x14ac:dyDescent="0.35">
      <c r="A223" s="19"/>
      <c r="B223" s="20"/>
      <c r="C223" s="20"/>
      <c r="D223" s="20"/>
      <c r="E223" s="20"/>
    </row>
    <row r="224" spans="1:5" ht="14.25" customHeight="1" x14ac:dyDescent="0.35">
      <c r="A224" s="21"/>
      <c r="B224" s="22"/>
      <c r="C224" s="22"/>
      <c r="D224" s="22"/>
      <c r="E224" s="22"/>
    </row>
    <row r="225" spans="1:5" ht="14.25" customHeight="1" x14ac:dyDescent="0.35">
      <c r="A225" s="19"/>
      <c r="B225" s="20"/>
      <c r="C225" s="20"/>
      <c r="D225" s="20"/>
      <c r="E225" s="20"/>
    </row>
    <row r="226" spans="1:5" ht="14.25" customHeight="1" x14ac:dyDescent="0.35">
      <c r="A226" s="21"/>
      <c r="B226" s="22"/>
      <c r="C226" s="22"/>
      <c r="D226" s="22"/>
      <c r="E226" s="22"/>
    </row>
    <row r="227" spans="1:5" ht="14.25" customHeight="1" x14ac:dyDescent="0.35">
      <c r="A227" s="19"/>
      <c r="B227" s="20"/>
      <c r="C227" s="20"/>
      <c r="D227" s="20"/>
      <c r="E227" s="20"/>
    </row>
    <row r="228" spans="1:5" ht="14.25" customHeight="1" x14ac:dyDescent="0.35">
      <c r="A228" s="21"/>
      <c r="B228" s="22"/>
      <c r="C228" s="22"/>
      <c r="D228" s="22"/>
      <c r="E228" s="22"/>
    </row>
    <row r="229" spans="1:5" ht="14.25" customHeight="1" x14ac:dyDescent="0.35">
      <c r="A229" s="19"/>
      <c r="B229" s="20"/>
      <c r="C229" s="20"/>
      <c r="D229" s="20"/>
      <c r="E229" s="20"/>
    </row>
    <row r="230" spans="1:5" ht="14.25" customHeight="1" x14ac:dyDescent="0.35">
      <c r="A230" s="21"/>
      <c r="B230" s="22"/>
      <c r="C230" s="22"/>
      <c r="D230" s="22"/>
      <c r="E230" s="22"/>
    </row>
    <row r="231" spans="1:5" ht="14.25" customHeight="1" x14ac:dyDescent="0.35">
      <c r="A231" s="19"/>
      <c r="B231" s="20"/>
      <c r="C231" s="20"/>
      <c r="D231" s="20"/>
      <c r="E231" s="20"/>
    </row>
    <row r="232" spans="1:5" ht="14.25" customHeight="1" x14ac:dyDescent="0.35">
      <c r="A232" s="21"/>
      <c r="B232" s="22"/>
      <c r="C232" s="22"/>
      <c r="D232" s="22"/>
      <c r="E232" s="22"/>
    </row>
    <row r="233" spans="1:5" ht="14.25" customHeight="1" x14ac:dyDescent="0.35">
      <c r="A233" s="19"/>
      <c r="B233" s="20"/>
      <c r="C233" s="20"/>
      <c r="D233" s="20"/>
      <c r="E233" s="20"/>
    </row>
    <row r="234" spans="1:5" ht="14.25" customHeight="1" x14ac:dyDescent="0.35">
      <c r="A234" s="21"/>
      <c r="B234" s="22"/>
      <c r="C234" s="22"/>
      <c r="D234" s="22"/>
      <c r="E234" s="22"/>
    </row>
    <row r="235" spans="1:5" ht="14.25" customHeight="1" x14ac:dyDescent="0.35">
      <c r="A235" s="19"/>
      <c r="B235" s="20"/>
      <c r="C235" s="20"/>
      <c r="D235" s="20"/>
      <c r="E235" s="20"/>
    </row>
    <row r="236" spans="1:5" ht="14.25" customHeight="1" x14ac:dyDescent="0.35">
      <c r="A236" s="21"/>
      <c r="B236" s="22"/>
      <c r="C236" s="22"/>
      <c r="D236" s="22"/>
      <c r="E236" s="22"/>
    </row>
    <row r="237" spans="1:5" ht="14.25" customHeight="1" x14ac:dyDescent="0.35">
      <c r="A237" s="19"/>
      <c r="B237" s="20"/>
      <c r="C237" s="20"/>
      <c r="D237" s="20"/>
      <c r="E237" s="20"/>
    </row>
    <row r="238" spans="1:5" ht="14.25" customHeight="1" x14ac:dyDescent="0.35">
      <c r="A238" s="21"/>
      <c r="B238" s="22"/>
      <c r="C238" s="22"/>
      <c r="D238" s="22"/>
      <c r="E238" s="22"/>
    </row>
    <row r="239" spans="1:5" ht="14.25" customHeight="1" x14ac:dyDescent="0.35">
      <c r="A239" s="19"/>
      <c r="B239" s="20"/>
      <c r="C239" s="20"/>
      <c r="D239" s="20"/>
      <c r="E239" s="20"/>
    </row>
    <row r="240" spans="1:5" ht="14.25" customHeight="1" x14ac:dyDescent="0.35">
      <c r="A240" s="21"/>
      <c r="B240" s="22"/>
      <c r="C240" s="22"/>
      <c r="D240" s="22"/>
      <c r="E240" s="22"/>
    </row>
    <row r="241" spans="1:5" ht="14.25" customHeight="1" x14ac:dyDescent="0.35">
      <c r="A241" s="19"/>
      <c r="B241" s="20"/>
      <c r="C241" s="20"/>
      <c r="D241" s="20"/>
      <c r="E241" s="20"/>
    </row>
    <row r="242" spans="1:5" ht="14.25" customHeight="1" x14ac:dyDescent="0.35">
      <c r="A242" s="21"/>
      <c r="B242" s="22"/>
      <c r="C242" s="22"/>
      <c r="D242" s="22"/>
      <c r="E242" s="22"/>
    </row>
    <row r="243" spans="1:5" ht="14.25" customHeight="1" x14ac:dyDescent="0.35">
      <c r="A243" s="19"/>
      <c r="B243" s="20"/>
      <c r="C243" s="20"/>
      <c r="D243" s="20"/>
      <c r="E243" s="20"/>
    </row>
    <row r="244" spans="1:5" ht="14.25" customHeight="1" x14ac:dyDescent="0.35">
      <c r="A244" s="21"/>
      <c r="B244" s="22"/>
      <c r="C244" s="22"/>
      <c r="D244" s="22"/>
      <c r="E244" s="22"/>
    </row>
    <row r="245" spans="1:5" ht="14.25" customHeight="1" x14ac:dyDescent="0.35">
      <c r="A245" s="19"/>
      <c r="B245" s="20"/>
      <c r="C245" s="20"/>
      <c r="D245" s="20"/>
      <c r="E245" s="20"/>
    </row>
    <row r="246" spans="1:5" ht="14.25" customHeight="1" x14ac:dyDescent="0.35">
      <c r="A246" s="21"/>
      <c r="B246" s="22"/>
      <c r="C246" s="22"/>
      <c r="D246" s="22"/>
      <c r="E246" s="22"/>
    </row>
    <row r="247" spans="1:5" ht="14.25" customHeight="1" x14ac:dyDescent="0.35">
      <c r="A247" s="19"/>
      <c r="B247" s="20"/>
      <c r="C247" s="20"/>
      <c r="D247" s="20"/>
      <c r="E247" s="20"/>
    </row>
    <row r="248" spans="1:5" ht="14.25" customHeight="1" x14ac:dyDescent="0.35">
      <c r="A248" s="21"/>
      <c r="B248" s="22"/>
      <c r="C248" s="22"/>
      <c r="D248" s="22"/>
      <c r="E248" s="22"/>
    </row>
    <row r="249" spans="1:5" ht="14.25" customHeight="1" x14ac:dyDescent="0.35">
      <c r="A249" s="19"/>
      <c r="B249" s="20"/>
      <c r="C249" s="20"/>
      <c r="D249" s="20"/>
      <c r="E249" s="20"/>
    </row>
    <row r="250" spans="1:5" ht="14.25" customHeight="1" x14ac:dyDescent="0.35">
      <c r="A250" s="21"/>
      <c r="B250" s="22"/>
      <c r="C250" s="22"/>
      <c r="D250" s="22"/>
      <c r="E250" s="22"/>
    </row>
    <row r="251" spans="1:5" ht="14.25" customHeight="1" x14ac:dyDescent="0.35">
      <c r="A251" s="19"/>
      <c r="B251" s="20"/>
      <c r="C251" s="20"/>
      <c r="D251" s="20"/>
      <c r="E251" s="20"/>
    </row>
    <row r="252" spans="1:5" ht="14.25" customHeight="1" x14ac:dyDescent="0.35">
      <c r="A252" s="21"/>
      <c r="B252" s="22"/>
      <c r="C252" s="22"/>
      <c r="D252" s="22"/>
      <c r="E252" s="22"/>
    </row>
    <row r="253" spans="1:5" ht="14.25" customHeight="1" x14ac:dyDescent="0.35">
      <c r="A253" s="19"/>
      <c r="B253" s="20"/>
      <c r="C253" s="20"/>
      <c r="D253" s="20"/>
      <c r="E253" s="20"/>
    </row>
    <row r="254" spans="1:5" ht="14.25" customHeight="1" x14ac:dyDescent="0.35">
      <c r="A254" s="21"/>
      <c r="B254" s="22"/>
      <c r="C254" s="22"/>
      <c r="D254" s="22"/>
      <c r="E254" s="22"/>
    </row>
    <row r="255" spans="1:5" ht="14.25" customHeight="1" x14ac:dyDescent="0.35">
      <c r="A255" s="19"/>
      <c r="B255" s="20"/>
      <c r="C255" s="20"/>
      <c r="D255" s="20"/>
      <c r="E255" s="20"/>
    </row>
    <row r="256" spans="1:5" ht="14.25" customHeight="1" x14ac:dyDescent="0.35">
      <c r="A256" s="21"/>
      <c r="B256" s="22"/>
      <c r="C256" s="22"/>
      <c r="D256" s="22"/>
      <c r="E256" s="22"/>
    </row>
    <row r="257" spans="1:5" ht="14.25" customHeight="1" x14ac:dyDescent="0.35">
      <c r="A257" s="19"/>
      <c r="B257" s="20"/>
      <c r="C257" s="20"/>
      <c r="D257" s="20"/>
      <c r="E257" s="20"/>
    </row>
    <row r="258" spans="1:5" ht="14.25" customHeight="1" x14ac:dyDescent="0.35">
      <c r="A258" s="21"/>
      <c r="B258" s="22"/>
      <c r="C258" s="22"/>
      <c r="D258" s="22"/>
      <c r="E258" s="22"/>
    </row>
    <row r="259" spans="1:5" ht="14.25" customHeight="1" x14ac:dyDescent="0.35">
      <c r="A259" s="19"/>
      <c r="B259" s="20"/>
      <c r="C259" s="20"/>
      <c r="D259" s="20"/>
      <c r="E259" s="20"/>
    </row>
    <row r="260" spans="1:5" ht="14.25" customHeight="1" x14ac:dyDescent="0.35">
      <c r="A260" s="21"/>
      <c r="B260" s="22"/>
      <c r="C260" s="22"/>
      <c r="D260" s="22"/>
      <c r="E260" s="22"/>
    </row>
    <row r="261" spans="1:5" ht="14.25" customHeight="1" x14ac:dyDescent="0.35">
      <c r="A261" s="19"/>
      <c r="B261" s="20"/>
      <c r="C261" s="20"/>
      <c r="D261" s="20"/>
      <c r="E261" s="20"/>
    </row>
    <row r="262" spans="1:5" ht="14.25" customHeight="1" x14ac:dyDescent="0.35">
      <c r="A262" s="21"/>
      <c r="B262" s="22"/>
      <c r="C262" s="22"/>
      <c r="D262" s="22"/>
      <c r="E262" s="22"/>
    </row>
    <row r="263" spans="1:5" ht="14.25" customHeight="1" x14ac:dyDescent="0.35">
      <c r="A263" s="19"/>
      <c r="B263" s="20"/>
      <c r="C263" s="20"/>
      <c r="D263" s="20"/>
      <c r="E263" s="20"/>
    </row>
    <row r="264" spans="1:5" ht="14.25" customHeight="1" x14ac:dyDescent="0.35">
      <c r="A264" s="21"/>
      <c r="B264" s="22"/>
      <c r="C264" s="22"/>
      <c r="D264" s="22"/>
      <c r="E264" s="22"/>
    </row>
    <row r="265" spans="1:5" ht="14.25" customHeight="1" x14ac:dyDescent="0.35">
      <c r="A265" s="19"/>
      <c r="B265" s="20"/>
      <c r="C265" s="20"/>
      <c r="D265" s="20"/>
      <c r="E265" s="20"/>
    </row>
    <row r="266" spans="1:5" ht="14.25" customHeight="1" x14ac:dyDescent="0.35">
      <c r="A266" s="21"/>
      <c r="B266" s="22"/>
      <c r="C266" s="22"/>
      <c r="D266" s="22"/>
      <c r="E266" s="22"/>
    </row>
    <row r="267" spans="1:5" ht="14.25" customHeight="1" x14ac:dyDescent="0.35">
      <c r="A267" s="19"/>
      <c r="B267" s="20"/>
      <c r="C267" s="20"/>
      <c r="D267" s="20"/>
      <c r="E267" s="20"/>
    </row>
    <row r="268" spans="1:5" ht="14.25" customHeight="1" x14ac:dyDescent="0.35">
      <c r="A268" s="21"/>
      <c r="B268" s="22"/>
      <c r="C268" s="22"/>
      <c r="D268" s="22"/>
      <c r="E268" s="22"/>
    </row>
    <row r="269" spans="1:5" ht="14.25" customHeight="1" x14ac:dyDescent="0.35">
      <c r="A269" s="19"/>
      <c r="B269" s="20"/>
      <c r="C269" s="20"/>
      <c r="D269" s="20"/>
      <c r="E269" s="20"/>
    </row>
    <row r="270" spans="1:5" ht="14.25" customHeight="1" x14ac:dyDescent="0.35">
      <c r="A270" s="21"/>
      <c r="B270" s="22"/>
      <c r="C270" s="22"/>
      <c r="D270" s="22"/>
      <c r="E270" s="22"/>
    </row>
    <row r="271" spans="1:5" ht="14.25" customHeight="1" x14ac:dyDescent="0.35">
      <c r="A271" s="19"/>
      <c r="B271" s="20"/>
      <c r="C271" s="20"/>
      <c r="D271" s="20"/>
      <c r="E271" s="20"/>
    </row>
    <row r="272" spans="1:5" ht="14.25" customHeight="1" x14ac:dyDescent="0.35">
      <c r="A272" s="21"/>
      <c r="B272" s="22"/>
      <c r="C272" s="22"/>
      <c r="D272" s="22"/>
      <c r="E272" s="22"/>
    </row>
    <row r="273" spans="1:5" ht="14.25" customHeight="1" x14ac:dyDescent="0.35">
      <c r="A273" s="19"/>
      <c r="B273" s="20"/>
      <c r="C273" s="20"/>
      <c r="D273" s="20"/>
      <c r="E273" s="20"/>
    </row>
    <row r="274" spans="1:5" ht="14.25" customHeight="1" x14ac:dyDescent="0.35">
      <c r="A274" s="21"/>
      <c r="B274" s="22"/>
      <c r="C274" s="22"/>
      <c r="D274" s="22"/>
      <c r="E274" s="22"/>
    </row>
    <row r="275" spans="1:5" ht="14.25" customHeight="1" x14ac:dyDescent="0.35">
      <c r="A275" s="19"/>
      <c r="B275" s="20"/>
      <c r="C275" s="20"/>
      <c r="D275" s="20"/>
      <c r="E275" s="20"/>
    </row>
    <row r="276" spans="1:5" ht="14.25" customHeight="1" x14ac:dyDescent="0.35">
      <c r="A276" s="21"/>
      <c r="B276" s="22"/>
      <c r="C276" s="22"/>
      <c r="D276" s="22"/>
      <c r="E276" s="22"/>
    </row>
    <row r="277" spans="1:5" ht="14.25" customHeight="1" x14ac:dyDescent="0.35">
      <c r="A277" s="19"/>
      <c r="B277" s="20"/>
      <c r="C277" s="20"/>
      <c r="D277" s="20"/>
      <c r="E277" s="20"/>
    </row>
    <row r="278" spans="1:5" ht="14.25" customHeight="1" x14ac:dyDescent="0.35">
      <c r="A278" s="21"/>
      <c r="B278" s="22"/>
      <c r="C278" s="22"/>
      <c r="D278" s="22"/>
      <c r="E278" s="22"/>
    </row>
    <row r="279" spans="1:5" ht="14.25" customHeight="1" x14ac:dyDescent="0.35">
      <c r="A279" s="19"/>
      <c r="B279" s="20"/>
      <c r="C279" s="20"/>
      <c r="D279" s="20"/>
      <c r="E279" s="20"/>
    </row>
    <row r="280" spans="1:5" ht="14.25" customHeight="1" x14ac:dyDescent="0.35">
      <c r="A280" s="21"/>
      <c r="B280" s="22"/>
      <c r="C280" s="22"/>
      <c r="D280" s="22"/>
      <c r="E280" s="22"/>
    </row>
    <row r="281" spans="1:5" ht="14.25" customHeight="1" x14ac:dyDescent="0.35">
      <c r="A281" s="19"/>
      <c r="B281" s="20"/>
      <c r="C281" s="20"/>
      <c r="D281" s="20"/>
      <c r="E281" s="20"/>
    </row>
    <row r="282" spans="1:5" ht="14.25" customHeight="1" x14ac:dyDescent="0.35">
      <c r="A282" s="21"/>
      <c r="B282" s="22"/>
      <c r="C282" s="22"/>
      <c r="D282" s="22"/>
      <c r="E282" s="22"/>
    </row>
    <row r="283" spans="1:5" ht="14.25" customHeight="1" x14ac:dyDescent="0.35">
      <c r="A283" s="19"/>
      <c r="B283" s="20"/>
      <c r="C283" s="20"/>
      <c r="D283" s="20"/>
      <c r="E283" s="20"/>
    </row>
    <row r="284" spans="1:5" ht="14.25" customHeight="1" x14ac:dyDescent="0.35">
      <c r="A284" s="21"/>
      <c r="B284" s="22"/>
      <c r="C284" s="22"/>
      <c r="D284" s="22"/>
      <c r="E284" s="22"/>
    </row>
    <row r="285" spans="1:5" ht="14.25" customHeight="1" x14ac:dyDescent="0.35">
      <c r="A285" s="19"/>
      <c r="B285" s="20"/>
      <c r="C285" s="20"/>
      <c r="D285" s="20"/>
      <c r="E285" s="20"/>
    </row>
    <row r="286" spans="1:5" ht="14.25" customHeight="1" x14ac:dyDescent="0.35">
      <c r="A286" s="21"/>
      <c r="B286" s="22"/>
      <c r="C286" s="22"/>
      <c r="D286" s="22"/>
      <c r="E286" s="22"/>
    </row>
    <row r="287" spans="1:5" ht="14.25" customHeight="1" x14ac:dyDescent="0.35">
      <c r="A287" s="19"/>
      <c r="B287" s="20"/>
      <c r="C287" s="20"/>
      <c r="D287" s="20"/>
      <c r="E287" s="20"/>
    </row>
    <row r="288" spans="1:5" ht="14.25" customHeight="1" x14ac:dyDescent="0.35">
      <c r="A288" s="21"/>
      <c r="B288" s="22"/>
      <c r="C288" s="22"/>
      <c r="D288" s="22"/>
      <c r="E288" s="22"/>
    </row>
    <row r="289" spans="1:5" ht="14.25" customHeight="1" x14ac:dyDescent="0.35">
      <c r="A289" s="19"/>
      <c r="B289" s="20"/>
      <c r="C289" s="20"/>
      <c r="D289" s="20"/>
      <c r="E289" s="20"/>
    </row>
    <row r="290" spans="1:5" ht="14.25" customHeight="1" x14ac:dyDescent="0.35">
      <c r="A290" s="21"/>
      <c r="B290" s="22"/>
      <c r="C290" s="22"/>
      <c r="D290" s="22"/>
      <c r="E290" s="22"/>
    </row>
    <row r="291" spans="1:5" ht="14.25" customHeight="1" x14ac:dyDescent="0.35">
      <c r="A291" s="19"/>
      <c r="B291" s="20"/>
      <c r="C291" s="20"/>
      <c r="D291" s="20"/>
      <c r="E291" s="20"/>
    </row>
    <row r="292" spans="1:5" ht="14.25" customHeight="1" x14ac:dyDescent="0.35">
      <c r="A292" s="21"/>
      <c r="B292" s="22"/>
      <c r="C292" s="22"/>
      <c r="D292" s="22"/>
      <c r="E292" s="22"/>
    </row>
    <row r="293" spans="1:5" ht="14.25" customHeight="1" x14ac:dyDescent="0.35">
      <c r="A293" s="19"/>
      <c r="B293" s="20"/>
      <c r="C293" s="20"/>
      <c r="D293" s="20"/>
      <c r="E293" s="20"/>
    </row>
    <row r="294" spans="1:5" ht="14.25" customHeight="1" x14ac:dyDescent="0.35">
      <c r="A294" s="21"/>
      <c r="B294" s="22"/>
      <c r="C294" s="22"/>
      <c r="D294" s="22"/>
      <c r="E294" s="22"/>
    </row>
    <row r="295" spans="1:5" ht="14.25" customHeight="1" x14ac:dyDescent="0.35">
      <c r="A295" s="19"/>
      <c r="B295" s="20"/>
      <c r="C295" s="20"/>
      <c r="D295" s="20"/>
      <c r="E295" s="20"/>
    </row>
    <row r="296" spans="1:5" ht="14.25" customHeight="1" x14ac:dyDescent="0.35">
      <c r="A296" s="21"/>
      <c r="B296" s="22"/>
      <c r="C296" s="22"/>
      <c r="D296" s="22"/>
      <c r="E296" s="22"/>
    </row>
    <row r="297" spans="1:5" ht="14.25" customHeight="1" x14ac:dyDescent="0.35">
      <c r="A297" s="19"/>
      <c r="B297" s="20"/>
      <c r="C297" s="20"/>
      <c r="D297" s="20"/>
      <c r="E297" s="20"/>
    </row>
    <row r="298" spans="1:5" ht="14.25" customHeight="1" x14ac:dyDescent="0.35">
      <c r="A298" s="21"/>
      <c r="B298" s="22"/>
      <c r="C298" s="22"/>
      <c r="D298" s="22"/>
      <c r="E298" s="22"/>
    </row>
    <row r="299" spans="1:5" ht="14.25" customHeight="1" x14ac:dyDescent="0.35">
      <c r="A299" s="19"/>
      <c r="B299" s="20"/>
      <c r="C299" s="20"/>
      <c r="D299" s="20"/>
      <c r="E299" s="20"/>
    </row>
    <row r="300" spans="1:5" ht="14.25" customHeight="1" x14ac:dyDescent="0.35">
      <c r="A300" s="21"/>
      <c r="B300" s="22"/>
      <c r="C300" s="22"/>
      <c r="D300" s="22"/>
      <c r="E300" s="22"/>
    </row>
    <row r="301" spans="1:5" ht="14.25" customHeight="1" x14ac:dyDescent="0.35">
      <c r="A301" s="19"/>
      <c r="B301" s="20"/>
      <c r="C301" s="20"/>
      <c r="D301" s="20"/>
      <c r="E301" s="20"/>
    </row>
    <row r="302" spans="1:5" ht="14.25" customHeight="1" x14ac:dyDescent="0.35">
      <c r="A302" s="21"/>
      <c r="B302" s="22"/>
      <c r="C302" s="22"/>
      <c r="D302" s="22"/>
      <c r="E302" s="22"/>
    </row>
    <row r="303" spans="1:5" ht="14.25" customHeight="1" x14ac:dyDescent="0.35">
      <c r="A303" s="19"/>
      <c r="B303" s="20"/>
      <c r="C303" s="20"/>
      <c r="D303" s="20"/>
      <c r="E303" s="20"/>
    </row>
    <row r="304" spans="1:5" ht="14.25" customHeight="1" x14ac:dyDescent="0.35">
      <c r="A304" s="21"/>
      <c r="B304" s="22"/>
      <c r="C304" s="22"/>
      <c r="D304" s="22"/>
      <c r="E304" s="22"/>
    </row>
    <row r="305" spans="1:5" ht="14.25" customHeight="1" x14ac:dyDescent="0.35">
      <c r="A305" s="19"/>
      <c r="B305" s="20"/>
      <c r="C305" s="20"/>
      <c r="D305" s="20"/>
      <c r="E305" s="20"/>
    </row>
    <row r="306" spans="1:5" ht="14.25" customHeight="1" x14ac:dyDescent="0.35">
      <c r="A306" s="21"/>
      <c r="B306" s="22"/>
      <c r="C306" s="22"/>
      <c r="D306" s="22"/>
      <c r="E306" s="22"/>
    </row>
    <row r="307" spans="1:5" ht="14.25" customHeight="1" x14ac:dyDescent="0.35">
      <c r="A307" s="19"/>
      <c r="B307" s="20"/>
      <c r="C307" s="20"/>
      <c r="D307" s="20"/>
      <c r="E307" s="20"/>
    </row>
    <row r="308" spans="1:5" ht="14.25" customHeight="1" x14ac:dyDescent="0.35">
      <c r="A308" s="21"/>
      <c r="B308" s="22"/>
      <c r="C308" s="22"/>
      <c r="D308" s="22"/>
      <c r="E308" s="22"/>
    </row>
    <row r="309" spans="1:5" ht="14.25" customHeight="1" x14ac:dyDescent="0.35">
      <c r="A309" s="19"/>
      <c r="B309" s="20"/>
      <c r="C309" s="20"/>
      <c r="D309" s="20"/>
      <c r="E309" s="20"/>
    </row>
    <row r="310" spans="1:5" ht="14.25" customHeight="1" x14ac:dyDescent="0.35">
      <c r="A310" s="21"/>
      <c r="B310" s="22"/>
      <c r="C310" s="22"/>
      <c r="D310" s="22"/>
      <c r="E310" s="22"/>
    </row>
    <row r="311" spans="1:5" ht="14.25" customHeight="1" x14ac:dyDescent="0.35">
      <c r="A311" s="19"/>
      <c r="B311" s="20"/>
      <c r="C311" s="20"/>
      <c r="D311" s="20"/>
      <c r="E311" s="20"/>
    </row>
    <row r="312" spans="1:5" ht="14.25" customHeight="1" x14ac:dyDescent="0.35">
      <c r="A312" s="21"/>
      <c r="B312" s="22"/>
      <c r="C312" s="22"/>
      <c r="D312" s="22"/>
      <c r="E312" s="22"/>
    </row>
    <row r="313" spans="1:5" ht="14.25" customHeight="1" x14ac:dyDescent="0.35">
      <c r="A313" s="19"/>
      <c r="B313" s="20"/>
      <c r="C313" s="20"/>
      <c r="D313" s="20"/>
      <c r="E313" s="20"/>
    </row>
    <row r="314" spans="1:5" ht="14.25" customHeight="1" x14ac:dyDescent="0.35">
      <c r="A314" s="21"/>
      <c r="B314" s="22"/>
      <c r="C314" s="22"/>
      <c r="D314" s="22"/>
      <c r="E314" s="22"/>
    </row>
    <row r="315" spans="1:5" ht="14.25" customHeight="1" x14ac:dyDescent="0.35">
      <c r="A315" s="19"/>
      <c r="B315" s="20"/>
      <c r="C315" s="20"/>
      <c r="D315" s="20"/>
      <c r="E315" s="20"/>
    </row>
    <row r="316" spans="1:5" ht="14.25" customHeight="1" x14ac:dyDescent="0.35">
      <c r="A316" s="21"/>
      <c r="B316" s="22"/>
      <c r="C316" s="22"/>
      <c r="D316" s="22"/>
      <c r="E316" s="22"/>
    </row>
    <row r="317" spans="1:5" ht="14.25" customHeight="1" x14ac:dyDescent="0.35">
      <c r="A317" s="19"/>
      <c r="B317" s="20"/>
      <c r="C317" s="20"/>
      <c r="D317" s="20"/>
      <c r="E317" s="20"/>
    </row>
    <row r="318" spans="1:5" ht="14.25" customHeight="1" x14ac:dyDescent="0.35">
      <c r="A318" s="21"/>
      <c r="B318" s="22"/>
      <c r="C318" s="22"/>
      <c r="D318" s="22"/>
      <c r="E318" s="22"/>
    </row>
    <row r="319" spans="1:5" ht="14.25" customHeight="1" x14ac:dyDescent="0.35">
      <c r="A319" s="19"/>
      <c r="B319" s="20"/>
      <c r="C319" s="20"/>
      <c r="D319" s="20"/>
      <c r="E319" s="20"/>
    </row>
    <row r="320" spans="1:5" ht="14.25" customHeight="1" x14ac:dyDescent="0.35">
      <c r="A320" s="21"/>
      <c r="B320" s="22"/>
      <c r="C320" s="22"/>
      <c r="D320" s="22"/>
      <c r="E320" s="22"/>
    </row>
    <row r="321" spans="1:5" ht="14.25" customHeight="1" x14ac:dyDescent="0.35">
      <c r="A321" s="19"/>
      <c r="B321" s="20"/>
      <c r="C321" s="20"/>
      <c r="D321" s="20"/>
      <c r="E321" s="20"/>
    </row>
    <row r="322" spans="1:5" ht="14.25" customHeight="1" x14ac:dyDescent="0.35">
      <c r="A322" s="21"/>
      <c r="B322" s="22"/>
      <c r="C322" s="22"/>
      <c r="D322" s="22"/>
      <c r="E322" s="22"/>
    </row>
    <row r="323" spans="1:5" ht="14.25" customHeight="1" x14ac:dyDescent="0.35">
      <c r="A323" s="19"/>
      <c r="B323" s="20"/>
      <c r="C323" s="20"/>
      <c r="D323" s="20"/>
      <c r="E323" s="20"/>
    </row>
    <row r="324" spans="1:5" ht="14.25" customHeight="1" x14ac:dyDescent="0.35">
      <c r="A324" s="21"/>
      <c r="B324" s="22"/>
      <c r="C324" s="22"/>
      <c r="D324" s="22"/>
      <c r="E324" s="22"/>
    </row>
    <row r="325" spans="1:5" ht="14.25" customHeight="1" x14ac:dyDescent="0.35">
      <c r="A325" s="19"/>
      <c r="B325" s="20"/>
      <c r="C325" s="20"/>
      <c r="D325" s="20"/>
      <c r="E325" s="20"/>
    </row>
    <row r="326" spans="1:5" ht="14.25" customHeight="1" x14ac:dyDescent="0.35">
      <c r="A326" s="21"/>
      <c r="B326" s="22"/>
      <c r="C326" s="22"/>
      <c r="D326" s="22"/>
      <c r="E326" s="22"/>
    </row>
    <row r="327" spans="1:5" ht="14.25" customHeight="1" x14ac:dyDescent="0.35">
      <c r="A327" s="19"/>
      <c r="B327" s="20"/>
      <c r="C327" s="20"/>
      <c r="D327" s="20"/>
      <c r="E327" s="20"/>
    </row>
    <row r="328" spans="1:5" ht="14.25" customHeight="1" x14ac:dyDescent="0.35">
      <c r="A328" s="21"/>
      <c r="B328" s="22"/>
      <c r="C328" s="22"/>
      <c r="D328" s="22"/>
      <c r="E328" s="22"/>
    </row>
    <row r="329" spans="1:5" ht="14.25" customHeight="1" x14ac:dyDescent="0.35">
      <c r="A329" s="19"/>
      <c r="B329" s="20"/>
      <c r="C329" s="20"/>
      <c r="D329" s="20"/>
      <c r="E329" s="20"/>
    </row>
    <row r="330" spans="1:5" ht="14.25" customHeight="1" x14ac:dyDescent="0.35">
      <c r="A330" s="21"/>
      <c r="B330" s="22"/>
      <c r="C330" s="22"/>
      <c r="D330" s="22"/>
      <c r="E330" s="22"/>
    </row>
    <row r="331" spans="1:5" ht="14.25" customHeight="1" x14ac:dyDescent="0.35">
      <c r="A331" s="19"/>
      <c r="B331" s="20"/>
      <c r="C331" s="20"/>
      <c r="D331" s="20"/>
      <c r="E331" s="20"/>
    </row>
    <row r="332" spans="1:5" ht="14.25" customHeight="1" x14ac:dyDescent="0.35">
      <c r="A332" s="21"/>
      <c r="B332" s="22"/>
      <c r="C332" s="22"/>
      <c r="D332" s="22"/>
      <c r="E332" s="22"/>
    </row>
    <row r="333" spans="1:5" ht="14.25" customHeight="1" x14ac:dyDescent="0.35">
      <c r="A333" s="19"/>
      <c r="B333" s="20"/>
      <c r="C333" s="20"/>
      <c r="D333" s="20"/>
      <c r="E333" s="20"/>
    </row>
    <row r="334" spans="1:5" ht="14.25" customHeight="1" x14ac:dyDescent="0.35">
      <c r="A334" s="21"/>
      <c r="B334" s="22"/>
      <c r="C334" s="22"/>
      <c r="D334" s="22"/>
      <c r="E334" s="22"/>
    </row>
    <row r="335" spans="1:5" ht="14.25" customHeight="1" x14ac:dyDescent="0.35">
      <c r="A335" s="19"/>
      <c r="B335" s="20"/>
      <c r="C335" s="20"/>
      <c r="D335" s="20"/>
      <c r="E335" s="20"/>
    </row>
    <row r="336" spans="1:5" ht="14.25" customHeight="1" x14ac:dyDescent="0.35">
      <c r="A336" s="21"/>
      <c r="B336" s="22"/>
      <c r="C336" s="22"/>
      <c r="D336" s="22"/>
      <c r="E336" s="22"/>
    </row>
    <row r="337" spans="1:5" ht="14.25" customHeight="1" x14ac:dyDescent="0.35">
      <c r="A337" s="19"/>
      <c r="B337" s="20"/>
      <c r="C337" s="20"/>
      <c r="D337" s="20"/>
      <c r="E337" s="20"/>
    </row>
    <row r="338" spans="1:5" ht="14.25" customHeight="1" x14ac:dyDescent="0.35">
      <c r="A338" s="21"/>
      <c r="B338" s="22"/>
      <c r="C338" s="22"/>
      <c r="D338" s="22"/>
      <c r="E338" s="22"/>
    </row>
    <row r="339" spans="1:5" ht="14.25" customHeight="1" x14ac:dyDescent="0.35">
      <c r="A339" s="19"/>
      <c r="B339" s="20"/>
      <c r="C339" s="20"/>
      <c r="D339" s="20"/>
      <c r="E339" s="20"/>
    </row>
    <row r="340" spans="1:5" ht="14.25" customHeight="1" x14ac:dyDescent="0.35">
      <c r="A340" s="21"/>
      <c r="B340" s="22"/>
      <c r="C340" s="22"/>
      <c r="D340" s="22"/>
      <c r="E340" s="22"/>
    </row>
    <row r="341" spans="1:5" ht="14.25" customHeight="1" x14ac:dyDescent="0.35">
      <c r="A341" s="19"/>
      <c r="B341" s="20"/>
      <c r="C341" s="20"/>
      <c r="D341" s="20"/>
      <c r="E341" s="20"/>
    </row>
    <row r="342" spans="1:5" ht="14.25" customHeight="1" x14ac:dyDescent="0.35">
      <c r="A342" s="21"/>
      <c r="B342" s="22"/>
      <c r="C342" s="22"/>
      <c r="D342" s="22"/>
      <c r="E342" s="22"/>
    </row>
    <row r="343" spans="1:5" ht="14.25" customHeight="1" x14ac:dyDescent="0.35">
      <c r="A343" s="19"/>
      <c r="B343" s="20"/>
      <c r="C343" s="20"/>
      <c r="D343" s="20"/>
      <c r="E343" s="20"/>
    </row>
    <row r="344" spans="1:5" ht="14.25" customHeight="1" x14ac:dyDescent="0.35">
      <c r="A344" s="21"/>
      <c r="B344" s="22"/>
      <c r="C344" s="22"/>
      <c r="D344" s="22"/>
      <c r="E344" s="22"/>
    </row>
    <row r="345" spans="1:5" ht="14.25" customHeight="1" x14ac:dyDescent="0.35">
      <c r="A345" s="19"/>
      <c r="B345" s="20"/>
      <c r="C345" s="20"/>
      <c r="D345" s="20"/>
      <c r="E345" s="20"/>
    </row>
    <row r="346" spans="1:5" ht="14.25" customHeight="1" x14ac:dyDescent="0.35">
      <c r="A346" s="21"/>
      <c r="B346" s="22"/>
      <c r="C346" s="22"/>
      <c r="D346" s="22"/>
      <c r="E346" s="22"/>
    </row>
    <row r="347" spans="1:5" ht="14.25" customHeight="1" x14ac:dyDescent="0.35">
      <c r="A347" s="19"/>
      <c r="B347" s="20"/>
      <c r="C347" s="20"/>
      <c r="D347" s="20"/>
      <c r="E347" s="20"/>
    </row>
    <row r="348" spans="1:5" ht="14.25" customHeight="1" x14ac:dyDescent="0.35">
      <c r="A348" s="21"/>
      <c r="B348" s="22"/>
      <c r="C348" s="22"/>
      <c r="D348" s="22"/>
      <c r="E348" s="22"/>
    </row>
    <row r="349" spans="1:5" ht="14.25" customHeight="1" x14ac:dyDescent="0.35">
      <c r="A349" s="19"/>
      <c r="B349" s="20"/>
      <c r="C349" s="20"/>
      <c r="D349" s="20"/>
      <c r="E349" s="20"/>
    </row>
    <row r="350" spans="1:5" ht="14.25" customHeight="1" x14ac:dyDescent="0.35">
      <c r="A350" s="21"/>
      <c r="B350" s="22"/>
      <c r="C350" s="22"/>
      <c r="D350" s="22"/>
      <c r="E350" s="22"/>
    </row>
    <row r="351" spans="1:5" ht="14.25" customHeight="1" x14ac:dyDescent="0.35">
      <c r="A351" s="19"/>
      <c r="B351" s="20"/>
      <c r="C351" s="20"/>
      <c r="D351" s="20"/>
      <c r="E351" s="20"/>
    </row>
    <row r="352" spans="1:5" ht="14.25" customHeight="1" x14ac:dyDescent="0.35">
      <c r="A352" s="21"/>
      <c r="B352" s="22"/>
      <c r="C352" s="22"/>
      <c r="D352" s="22"/>
      <c r="E352" s="22"/>
    </row>
    <row r="353" spans="1:5" ht="14.25" customHeight="1" x14ac:dyDescent="0.35">
      <c r="A353" s="19"/>
      <c r="B353" s="20"/>
      <c r="C353" s="20"/>
      <c r="D353" s="20"/>
      <c r="E353" s="20"/>
    </row>
    <row r="354" spans="1:5" ht="14.25" customHeight="1" x14ac:dyDescent="0.35">
      <c r="A354" s="21"/>
      <c r="B354" s="22"/>
      <c r="C354" s="22"/>
      <c r="D354" s="22"/>
      <c r="E354" s="22"/>
    </row>
    <row r="355" spans="1:5" ht="14.25" customHeight="1" x14ac:dyDescent="0.35">
      <c r="A355" s="19"/>
      <c r="B355" s="20"/>
      <c r="C355" s="20"/>
      <c r="D355" s="20"/>
      <c r="E355" s="20"/>
    </row>
    <row r="356" spans="1:5" ht="14.25" customHeight="1" x14ac:dyDescent="0.35">
      <c r="A356" s="21"/>
      <c r="B356" s="22"/>
      <c r="C356" s="22"/>
      <c r="D356" s="22"/>
      <c r="E356" s="22"/>
    </row>
    <row r="357" spans="1:5" ht="14.25" customHeight="1" x14ac:dyDescent="0.35">
      <c r="A357" s="19"/>
      <c r="B357" s="20"/>
      <c r="C357" s="20"/>
      <c r="D357" s="20"/>
      <c r="E357" s="20"/>
    </row>
    <row r="358" spans="1:5" ht="14.25" customHeight="1" x14ac:dyDescent="0.35">
      <c r="A358" s="21"/>
      <c r="B358" s="22"/>
      <c r="C358" s="22"/>
      <c r="D358" s="22"/>
      <c r="E358" s="22"/>
    </row>
    <row r="359" spans="1:5" ht="14.25" customHeight="1" x14ac:dyDescent="0.35">
      <c r="A359" s="19"/>
      <c r="B359" s="20"/>
      <c r="C359" s="20"/>
      <c r="D359" s="20"/>
      <c r="E359" s="20"/>
    </row>
    <row r="360" spans="1:5" ht="14.25" customHeight="1" x14ac:dyDescent="0.35">
      <c r="A360" s="21"/>
      <c r="B360" s="22"/>
      <c r="C360" s="22"/>
      <c r="D360" s="22"/>
      <c r="E360" s="22"/>
    </row>
    <row r="361" spans="1:5" ht="14.25" customHeight="1" x14ac:dyDescent="0.35">
      <c r="A361" s="19"/>
      <c r="B361" s="20"/>
      <c r="C361" s="20"/>
      <c r="D361" s="20"/>
      <c r="E361" s="20"/>
    </row>
    <row r="362" spans="1:5" ht="14.25" customHeight="1" x14ac:dyDescent="0.35">
      <c r="A362" s="21"/>
      <c r="B362" s="22"/>
      <c r="C362" s="22"/>
      <c r="D362" s="22"/>
      <c r="E362" s="22"/>
    </row>
    <row r="363" spans="1:5" ht="14.25" customHeight="1" x14ac:dyDescent="0.35">
      <c r="A363" s="19"/>
      <c r="B363" s="20"/>
      <c r="C363" s="20"/>
      <c r="D363" s="20"/>
      <c r="E363" s="20"/>
    </row>
    <row r="364" spans="1:5" ht="14.25" customHeight="1" x14ac:dyDescent="0.35">
      <c r="A364" s="21"/>
      <c r="B364" s="22"/>
      <c r="C364" s="22"/>
      <c r="D364" s="22"/>
      <c r="E364" s="22"/>
    </row>
    <row r="365" spans="1:5" ht="14.25" customHeight="1" x14ac:dyDescent="0.35">
      <c r="A365" s="19"/>
      <c r="B365" s="20"/>
      <c r="C365" s="20"/>
      <c r="D365" s="20"/>
      <c r="E365" s="20"/>
    </row>
    <row r="366" spans="1:5" ht="14.25" customHeight="1" x14ac:dyDescent="0.35">
      <c r="A366" s="21"/>
      <c r="B366" s="22"/>
      <c r="C366" s="22"/>
      <c r="D366" s="22"/>
      <c r="E366" s="22"/>
    </row>
    <row r="367" spans="1:5" ht="14.25" customHeight="1" x14ac:dyDescent="0.35">
      <c r="A367" s="19"/>
      <c r="B367" s="20"/>
      <c r="C367" s="20"/>
      <c r="D367" s="20"/>
      <c r="E367" s="20"/>
    </row>
    <row r="368" spans="1:5" ht="14.25" customHeight="1" x14ac:dyDescent="0.35">
      <c r="A368" s="21"/>
      <c r="B368" s="22"/>
      <c r="C368" s="22"/>
      <c r="D368" s="22"/>
      <c r="E368" s="22"/>
    </row>
    <row r="369" spans="1:5" ht="14.25" customHeight="1" x14ac:dyDescent="0.35">
      <c r="A369" s="19"/>
      <c r="B369" s="20"/>
      <c r="C369" s="20"/>
      <c r="D369" s="20"/>
      <c r="E369" s="20"/>
    </row>
    <row r="370" spans="1:5" ht="14.25" customHeight="1" x14ac:dyDescent="0.35">
      <c r="A370" s="21"/>
      <c r="B370" s="22"/>
      <c r="C370" s="22"/>
      <c r="D370" s="22"/>
      <c r="E370" s="22"/>
    </row>
    <row r="371" spans="1:5" ht="14.25" customHeight="1" x14ac:dyDescent="0.35">
      <c r="A371" s="19"/>
      <c r="B371" s="20"/>
      <c r="C371" s="20"/>
      <c r="D371" s="20"/>
      <c r="E371" s="20"/>
    </row>
    <row r="372" spans="1:5" ht="14.25" customHeight="1" x14ac:dyDescent="0.35">
      <c r="A372" s="21"/>
      <c r="B372" s="22"/>
      <c r="C372" s="22"/>
      <c r="D372" s="22"/>
      <c r="E372" s="22"/>
    </row>
    <row r="373" spans="1:5" ht="14.25" customHeight="1" x14ac:dyDescent="0.35">
      <c r="A373" s="19"/>
      <c r="B373" s="20"/>
      <c r="C373" s="20"/>
      <c r="D373" s="20"/>
      <c r="E373" s="20"/>
    </row>
    <row r="374" spans="1:5" ht="14.25" customHeight="1" x14ac:dyDescent="0.35">
      <c r="A374" s="21"/>
      <c r="B374" s="22"/>
      <c r="C374" s="22"/>
      <c r="D374" s="22"/>
      <c r="E374" s="22"/>
    </row>
    <row r="375" spans="1:5" ht="14.25" customHeight="1" x14ac:dyDescent="0.35">
      <c r="A375" s="19"/>
      <c r="B375" s="20"/>
      <c r="C375" s="20"/>
      <c r="D375" s="20"/>
      <c r="E375" s="20"/>
    </row>
    <row r="376" spans="1:5" ht="14.25" customHeight="1" x14ac:dyDescent="0.35">
      <c r="A376" s="21"/>
      <c r="B376" s="22"/>
      <c r="C376" s="22"/>
      <c r="D376" s="22"/>
      <c r="E376" s="22"/>
    </row>
    <row r="377" spans="1:5" ht="14.25" customHeight="1" x14ac:dyDescent="0.35">
      <c r="A377" s="19"/>
      <c r="B377" s="20"/>
      <c r="C377" s="20"/>
      <c r="D377" s="20"/>
      <c r="E377" s="20"/>
    </row>
    <row r="378" spans="1:5" ht="14.25" customHeight="1" x14ac:dyDescent="0.35">
      <c r="A378" s="21"/>
      <c r="B378" s="22"/>
      <c r="C378" s="22"/>
      <c r="D378" s="22"/>
      <c r="E378" s="22"/>
    </row>
    <row r="379" spans="1:5" ht="14.25" customHeight="1" x14ac:dyDescent="0.35">
      <c r="A379" s="19"/>
      <c r="B379" s="20"/>
      <c r="C379" s="20"/>
      <c r="D379" s="20"/>
      <c r="E379" s="20"/>
    </row>
    <row r="380" spans="1:5" ht="14.25" customHeight="1" x14ac:dyDescent="0.35">
      <c r="A380" s="21"/>
      <c r="B380" s="22"/>
      <c r="C380" s="22"/>
      <c r="D380" s="22"/>
      <c r="E380" s="22"/>
    </row>
    <row r="381" spans="1:5" ht="14.25" customHeight="1" x14ac:dyDescent="0.35">
      <c r="A381" s="19"/>
      <c r="B381" s="20"/>
      <c r="C381" s="20"/>
      <c r="D381" s="20"/>
      <c r="E381" s="20"/>
    </row>
    <row r="382" spans="1:5" ht="14.25" customHeight="1" x14ac:dyDescent="0.35">
      <c r="A382" s="21"/>
      <c r="B382" s="22"/>
      <c r="C382" s="22"/>
      <c r="D382" s="22"/>
      <c r="E382" s="22"/>
    </row>
    <row r="383" spans="1:5" ht="14.25" customHeight="1" x14ac:dyDescent="0.35">
      <c r="A383" s="19"/>
      <c r="B383" s="20"/>
      <c r="C383" s="20"/>
      <c r="D383" s="20"/>
      <c r="E383" s="20"/>
    </row>
    <row r="384" spans="1:5" ht="14.25" customHeight="1" x14ac:dyDescent="0.35">
      <c r="A384" s="21"/>
      <c r="B384" s="22"/>
      <c r="C384" s="22"/>
      <c r="D384" s="22"/>
      <c r="E384" s="22"/>
    </row>
    <row r="385" spans="1:5" ht="14.25" customHeight="1" x14ac:dyDescent="0.35">
      <c r="A385" s="19"/>
      <c r="B385" s="20"/>
      <c r="C385" s="20"/>
      <c r="D385" s="20"/>
      <c r="E385" s="20"/>
    </row>
    <row r="386" spans="1:5" ht="14.25" customHeight="1" x14ac:dyDescent="0.35">
      <c r="A386" s="21"/>
      <c r="B386" s="22"/>
      <c r="C386" s="22"/>
      <c r="D386" s="22"/>
      <c r="E386" s="22"/>
    </row>
    <row r="387" spans="1:5" ht="14.25" customHeight="1" x14ac:dyDescent="0.35">
      <c r="A387" s="19"/>
      <c r="B387" s="20"/>
      <c r="C387" s="20"/>
      <c r="D387" s="20"/>
      <c r="E387" s="20"/>
    </row>
    <row r="388" spans="1:5" ht="14.25" customHeight="1" x14ac:dyDescent="0.35">
      <c r="A388" s="21"/>
      <c r="B388" s="22"/>
      <c r="C388" s="22"/>
      <c r="D388" s="22"/>
      <c r="E388" s="22"/>
    </row>
    <row r="389" spans="1:5" ht="14.25" customHeight="1" x14ac:dyDescent="0.35">
      <c r="A389" s="19"/>
      <c r="B389" s="20"/>
      <c r="C389" s="20"/>
      <c r="D389" s="20"/>
      <c r="E389" s="20"/>
    </row>
    <row r="390" spans="1:5" ht="14.25" customHeight="1" x14ac:dyDescent="0.35">
      <c r="A390" s="21"/>
      <c r="B390" s="22"/>
      <c r="C390" s="22"/>
      <c r="D390" s="22"/>
      <c r="E390" s="22"/>
    </row>
    <row r="391" spans="1:5" ht="14.25" customHeight="1" x14ac:dyDescent="0.35">
      <c r="A391" s="19"/>
      <c r="B391" s="20"/>
      <c r="C391" s="20"/>
      <c r="D391" s="20"/>
      <c r="E391" s="20"/>
    </row>
    <row r="392" spans="1:5" ht="14.25" customHeight="1" x14ac:dyDescent="0.35">
      <c r="A392" s="21"/>
      <c r="B392" s="22"/>
      <c r="C392" s="22"/>
      <c r="D392" s="22"/>
      <c r="E392" s="22"/>
    </row>
    <row r="393" spans="1:5" ht="14.25" customHeight="1" x14ac:dyDescent="0.35">
      <c r="A393" s="19"/>
      <c r="B393" s="20"/>
      <c r="C393" s="20"/>
      <c r="D393" s="20"/>
      <c r="E393" s="20"/>
    </row>
    <row r="394" spans="1:5" ht="14.25" customHeight="1" x14ac:dyDescent="0.35">
      <c r="A394" s="21"/>
      <c r="B394" s="22"/>
      <c r="C394" s="22"/>
      <c r="D394" s="22"/>
      <c r="E394" s="22"/>
    </row>
    <row r="395" spans="1:5" ht="14.25" customHeight="1" x14ac:dyDescent="0.35">
      <c r="A395" s="19"/>
      <c r="B395" s="20"/>
      <c r="C395" s="20"/>
      <c r="D395" s="20"/>
      <c r="E395" s="20"/>
    </row>
    <row r="396" spans="1:5" ht="14.25" customHeight="1" x14ac:dyDescent="0.35">
      <c r="A396" s="21"/>
      <c r="B396" s="22"/>
      <c r="C396" s="22"/>
      <c r="D396" s="22"/>
      <c r="E396" s="22"/>
    </row>
    <row r="397" spans="1:5" ht="14.25" customHeight="1" x14ac:dyDescent="0.35">
      <c r="A397" s="19"/>
      <c r="B397" s="20"/>
      <c r="C397" s="20"/>
      <c r="D397" s="20"/>
      <c r="E397" s="20"/>
    </row>
    <row r="398" spans="1:5" ht="14.25" customHeight="1" x14ac:dyDescent="0.35">
      <c r="A398" s="21"/>
      <c r="B398" s="22"/>
      <c r="C398" s="22"/>
      <c r="D398" s="22"/>
      <c r="E398" s="22"/>
    </row>
    <row r="399" spans="1:5" ht="14.25" customHeight="1" x14ac:dyDescent="0.35">
      <c r="A399" s="19"/>
      <c r="B399" s="20"/>
      <c r="C399" s="20"/>
      <c r="D399" s="20"/>
      <c r="E399" s="20"/>
    </row>
    <row r="400" spans="1:5" ht="14.25" customHeight="1" x14ac:dyDescent="0.35">
      <c r="A400" s="21"/>
      <c r="B400" s="22"/>
      <c r="C400" s="22"/>
      <c r="D400" s="22"/>
      <c r="E400" s="22"/>
    </row>
    <row r="401" spans="1:5" ht="14.25" customHeight="1" x14ac:dyDescent="0.35">
      <c r="A401" s="19"/>
      <c r="B401" s="20"/>
      <c r="C401" s="20"/>
      <c r="D401" s="20"/>
      <c r="E401" s="20"/>
    </row>
    <row r="402" spans="1:5" ht="14.25" customHeight="1" x14ac:dyDescent="0.35">
      <c r="A402" s="21"/>
      <c r="B402" s="22"/>
      <c r="C402" s="22"/>
      <c r="D402" s="22"/>
      <c r="E402" s="22"/>
    </row>
    <row r="403" spans="1:5" ht="14.25" customHeight="1" x14ac:dyDescent="0.35">
      <c r="A403" s="19"/>
      <c r="B403" s="20"/>
      <c r="C403" s="20"/>
      <c r="D403" s="20"/>
      <c r="E403" s="20"/>
    </row>
    <row r="404" spans="1:5" ht="14.25" customHeight="1" x14ac:dyDescent="0.35">
      <c r="A404" s="21"/>
      <c r="B404" s="22"/>
      <c r="C404" s="22"/>
      <c r="D404" s="22"/>
      <c r="E404" s="22"/>
    </row>
    <row r="405" spans="1:5" ht="14.25" customHeight="1" x14ac:dyDescent="0.35">
      <c r="A405" s="19"/>
      <c r="B405" s="20"/>
      <c r="C405" s="20"/>
      <c r="D405" s="20"/>
      <c r="E405" s="20"/>
    </row>
    <row r="406" spans="1:5" ht="14.25" customHeight="1" x14ac:dyDescent="0.35">
      <c r="A406" s="21"/>
      <c r="B406" s="22"/>
      <c r="C406" s="22"/>
      <c r="D406" s="22"/>
      <c r="E406" s="22"/>
    </row>
    <row r="407" spans="1:5" ht="14.25" customHeight="1" x14ac:dyDescent="0.35">
      <c r="A407" s="19"/>
      <c r="B407" s="20"/>
      <c r="C407" s="20"/>
      <c r="D407" s="20"/>
      <c r="E407" s="20"/>
    </row>
    <row r="408" spans="1:5" ht="14.25" customHeight="1" x14ac:dyDescent="0.35">
      <c r="A408" s="21"/>
      <c r="B408" s="22"/>
      <c r="C408" s="22"/>
      <c r="D408" s="22"/>
      <c r="E408" s="22"/>
    </row>
    <row r="409" spans="1:5" ht="14.25" customHeight="1" x14ac:dyDescent="0.35">
      <c r="A409" s="19"/>
      <c r="B409" s="20"/>
      <c r="C409" s="20"/>
      <c r="D409" s="20"/>
      <c r="E409" s="20"/>
    </row>
    <row r="410" spans="1:5" ht="14.25" customHeight="1" x14ac:dyDescent="0.35">
      <c r="A410" s="21"/>
      <c r="B410" s="22"/>
      <c r="C410" s="22"/>
      <c r="D410" s="22"/>
      <c r="E410" s="22"/>
    </row>
    <row r="411" spans="1:5" ht="14.25" customHeight="1" x14ac:dyDescent="0.35">
      <c r="A411" s="19"/>
      <c r="B411" s="20"/>
      <c r="C411" s="20"/>
      <c r="D411" s="20"/>
      <c r="E411" s="20"/>
    </row>
    <row r="412" spans="1:5" ht="14.25" customHeight="1" x14ac:dyDescent="0.35">
      <c r="A412" s="21"/>
      <c r="B412" s="22"/>
      <c r="C412" s="22"/>
      <c r="D412" s="22"/>
      <c r="E412" s="22"/>
    </row>
    <row r="413" spans="1:5" ht="14.25" customHeight="1" x14ac:dyDescent="0.35">
      <c r="A413" s="19"/>
      <c r="B413" s="20"/>
      <c r="C413" s="20"/>
      <c r="D413" s="20"/>
      <c r="E413" s="20"/>
    </row>
    <row r="414" spans="1:5" ht="14.25" customHeight="1" x14ac:dyDescent="0.35">
      <c r="A414" s="21"/>
      <c r="B414" s="22"/>
      <c r="C414" s="22"/>
      <c r="D414" s="22"/>
      <c r="E414" s="22"/>
    </row>
    <row r="415" spans="1:5" ht="14.25" customHeight="1" x14ac:dyDescent="0.35">
      <c r="A415" s="19"/>
      <c r="B415" s="20"/>
      <c r="C415" s="20"/>
      <c r="D415" s="20"/>
      <c r="E415" s="20"/>
    </row>
    <row r="416" spans="1:5" ht="14.25" customHeight="1" x14ac:dyDescent="0.35">
      <c r="A416" s="21"/>
      <c r="B416" s="22"/>
      <c r="C416" s="22"/>
      <c r="D416" s="22"/>
      <c r="E416" s="22"/>
    </row>
    <row r="417" spans="1:5" ht="14.25" customHeight="1" x14ac:dyDescent="0.35">
      <c r="A417" s="19"/>
      <c r="B417" s="20"/>
      <c r="C417" s="20"/>
      <c r="D417" s="20"/>
      <c r="E417" s="20"/>
    </row>
    <row r="418" spans="1:5" ht="14.25" customHeight="1" x14ac:dyDescent="0.35">
      <c r="A418" s="21"/>
      <c r="B418" s="22"/>
      <c r="C418" s="22"/>
      <c r="D418" s="22"/>
      <c r="E418" s="22"/>
    </row>
    <row r="419" spans="1:5" ht="14.25" customHeight="1" x14ac:dyDescent="0.35">
      <c r="A419" s="19"/>
      <c r="B419" s="20"/>
      <c r="C419" s="20"/>
      <c r="D419" s="20"/>
      <c r="E419" s="20"/>
    </row>
    <row r="420" spans="1:5" ht="14.25" customHeight="1" x14ac:dyDescent="0.35">
      <c r="A420" s="21"/>
      <c r="B420" s="22"/>
      <c r="C420" s="22"/>
      <c r="D420" s="22"/>
      <c r="E420" s="22"/>
    </row>
    <row r="421" spans="1:5" ht="14.25" customHeight="1" x14ac:dyDescent="0.35">
      <c r="A421" s="19"/>
      <c r="B421" s="20"/>
      <c r="C421" s="20"/>
      <c r="D421" s="20"/>
      <c r="E421" s="20"/>
    </row>
    <row r="422" spans="1:5" ht="14.25" customHeight="1" x14ac:dyDescent="0.35">
      <c r="A422" s="21"/>
      <c r="B422" s="22"/>
      <c r="C422" s="22"/>
      <c r="D422" s="22"/>
      <c r="E422" s="22"/>
    </row>
    <row r="423" spans="1:5" ht="14.25" customHeight="1" x14ac:dyDescent="0.35">
      <c r="A423" s="19"/>
      <c r="B423" s="20"/>
      <c r="C423" s="20"/>
      <c r="D423" s="20"/>
      <c r="E423" s="20"/>
    </row>
    <row r="424" spans="1:5" ht="14.25" customHeight="1" x14ac:dyDescent="0.35">
      <c r="A424" s="21"/>
      <c r="B424" s="22"/>
      <c r="C424" s="22"/>
      <c r="D424" s="22"/>
      <c r="E424" s="22"/>
    </row>
    <row r="425" spans="1:5" ht="14.25" customHeight="1" x14ac:dyDescent="0.35">
      <c r="A425" s="19"/>
      <c r="B425" s="20"/>
      <c r="C425" s="20"/>
      <c r="D425" s="20"/>
      <c r="E425" s="20"/>
    </row>
    <row r="426" spans="1:5" ht="14.25" customHeight="1" x14ac:dyDescent="0.35">
      <c r="A426" s="21"/>
      <c r="B426" s="22"/>
      <c r="C426" s="22"/>
      <c r="D426" s="22"/>
      <c r="E426" s="22"/>
    </row>
    <row r="427" spans="1:5" ht="14.25" customHeight="1" x14ac:dyDescent="0.35">
      <c r="A427" s="19"/>
      <c r="B427" s="20"/>
      <c r="C427" s="20"/>
      <c r="D427" s="20"/>
      <c r="E427" s="20"/>
    </row>
    <row r="428" spans="1:5" ht="14.25" customHeight="1" x14ac:dyDescent="0.35">
      <c r="A428" s="21"/>
      <c r="B428" s="22"/>
      <c r="C428" s="22"/>
      <c r="D428" s="22"/>
      <c r="E428" s="22"/>
    </row>
    <row r="429" spans="1:5" ht="14.25" customHeight="1" x14ac:dyDescent="0.35">
      <c r="A429" s="19"/>
      <c r="B429" s="20"/>
      <c r="C429" s="20"/>
      <c r="D429" s="20"/>
      <c r="E429" s="20"/>
    </row>
    <row r="430" spans="1:5" ht="14.25" customHeight="1" x14ac:dyDescent="0.35">
      <c r="A430" s="21"/>
      <c r="B430" s="22"/>
      <c r="C430" s="22"/>
      <c r="D430" s="22"/>
      <c r="E430" s="22"/>
    </row>
    <row r="431" spans="1:5" ht="14.25" customHeight="1" x14ac:dyDescent="0.35">
      <c r="A431" s="19"/>
      <c r="B431" s="20"/>
      <c r="C431" s="20"/>
      <c r="D431" s="20"/>
      <c r="E431" s="20"/>
    </row>
    <row r="432" spans="1:5" ht="14.25" customHeight="1" x14ac:dyDescent="0.35">
      <c r="A432" s="21"/>
      <c r="B432" s="22"/>
      <c r="C432" s="22"/>
      <c r="D432" s="22"/>
      <c r="E432" s="22"/>
    </row>
    <row r="433" spans="1:5" ht="14.25" customHeight="1" x14ac:dyDescent="0.35">
      <c r="A433" s="19"/>
      <c r="B433" s="20"/>
      <c r="C433" s="20"/>
      <c r="D433" s="20"/>
      <c r="E433" s="20"/>
    </row>
    <row r="434" spans="1:5" ht="14.25" customHeight="1" x14ac:dyDescent="0.35">
      <c r="A434" s="21"/>
      <c r="B434" s="22"/>
      <c r="C434" s="22"/>
      <c r="D434" s="22"/>
      <c r="E434" s="22"/>
    </row>
    <row r="435" spans="1:5" ht="14.25" customHeight="1" x14ac:dyDescent="0.35">
      <c r="A435" s="19"/>
      <c r="B435" s="20"/>
      <c r="C435" s="20"/>
      <c r="D435" s="20"/>
      <c r="E435" s="20"/>
    </row>
    <row r="436" spans="1:5" ht="14.25" customHeight="1" x14ac:dyDescent="0.35">
      <c r="A436" s="21"/>
      <c r="B436" s="22"/>
      <c r="C436" s="22"/>
      <c r="D436" s="22"/>
      <c r="E436" s="22"/>
    </row>
    <row r="437" spans="1:5" ht="14.25" customHeight="1" x14ac:dyDescent="0.35">
      <c r="A437" s="19"/>
      <c r="B437" s="20"/>
      <c r="C437" s="20"/>
      <c r="D437" s="20"/>
      <c r="E437" s="20"/>
    </row>
    <row r="438" spans="1:5" ht="14.25" customHeight="1" x14ac:dyDescent="0.35">
      <c r="A438" s="21"/>
      <c r="B438" s="22"/>
      <c r="C438" s="22"/>
      <c r="D438" s="22"/>
      <c r="E438" s="22"/>
    </row>
    <row r="439" spans="1:5" ht="14.25" customHeight="1" x14ac:dyDescent="0.35">
      <c r="A439" s="19"/>
      <c r="B439" s="20"/>
      <c r="C439" s="20"/>
      <c r="D439" s="20"/>
      <c r="E439" s="20"/>
    </row>
    <row r="440" spans="1:5" ht="14.25" customHeight="1" x14ac:dyDescent="0.35">
      <c r="A440" s="21"/>
      <c r="B440" s="22"/>
      <c r="C440" s="22"/>
      <c r="D440" s="22"/>
      <c r="E440" s="22"/>
    </row>
    <row r="441" spans="1:5" ht="14.25" customHeight="1" x14ac:dyDescent="0.35">
      <c r="A441" s="19"/>
      <c r="B441" s="20"/>
      <c r="C441" s="20"/>
      <c r="D441" s="20"/>
      <c r="E441" s="20"/>
    </row>
    <row r="442" spans="1:5" ht="14.25" customHeight="1" x14ac:dyDescent="0.35">
      <c r="A442" s="21"/>
      <c r="B442" s="22"/>
      <c r="C442" s="22"/>
      <c r="D442" s="22"/>
      <c r="E442" s="22"/>
    </row>
    <row r="443" spans="1:5" ht="14.25" customHeight="1" x14ac:dyDescent="0.35">
      <c r="A443" s="19"/>
      <c r="B443" s="20"/>
      <c r="C443" s="20"/>
      <c r="D443" s="20"/>
      <c r="E443" s="20"/>
    </row>
    <row r="444" spans="1:5" ht="14.25" customHeight="1" x14ac:dyDescent="0.35">
      <c r="A444" s="21"/>
      <c r="B444" s="22"/>
      <c r="C444" s="22"/>
      <c r="D444" s="22"/>
      <c r="E444" s="22"/>
    </row>
    <row r="445" spans="1:5" ht="14.25" customHeight="1" x14ac:dyDescent="0.35">
      <c r="A445" s="19"/>
      <c r="B445" s="20"/>
      <c r="C445" s="20"/>
      <c r="D445" s="20"/>
      <c r="E445" s="20"/>
    </row>
    <row r="446" spans="1:5" ht="14.25" customHeight="1" x14ac:dyDescent="0.35">
      <c r="A446" s="21"/>
      <c r="B446" s="22"/>
      <c r="C446" s="22"/>
      <c r="D446" s="22"/>
      <c r="E446" s="22"/>
    </row>
    <row r="447" spans="1:5" ht="14.25" customHeight="1" x14ac:dyDescent="0.35">
      <c r="A447" s="19"/>
      <c r="B447" s="20"/>
      <c r="C447" s="20"/>
      <c r="D447" s="20"/>
      <c r="E447" s="20"/>
    </row>
    <row r="448" spans="1:5" ht="14.25" customHeight="1" x14ac:dyDescent="0.35">
      <c r="A448" s="21"/>
      <c r="B448" s="22"/>
      <c r="C448" s="22"/>
      <c r="D448" s="22"/>
      <c r="E448" s="22"/>
    </row>
    <row r="449" spans="1:5" ht="14.25" customHeight="1" x14ac:dyDescent="0.35">
      <c r="A449" s="19"/>
      <c r="B449" s="20"/>
      <c r="C449" s="20"/>
      <c r="D449" s="20"/>
      <c r="E449" s="20"/>
    </row>
    <row r="450" spans="1:5" ht="14.25" customHeight="1" x14ac:dyDescent="0.35">
      <c r="A450" s="21"/>
      <c r="B450" s="22"/>
      <c r="C450" s="22"/>
      <c r="D450" s="22"/>
      <c r="E450" s="22"/>
    </row>
    <row r="451" spans="1:5" ht="14.25" customHeight="1" x14ac:dyDescent="0.35">
      <c r="A451" s="19"/>
      <c r="B451" s="20"/>
      <c r="C451" s="20"/>
      <c r="D451" s="20"/>
      <c r="E451" s="20"/>
    </row>
    <row r="452" spans="1:5" ht="14.25" customHeight="1" x14ac:dyDescent="0.35">
      <c r="A452" s="21"/>
      <c r="B452" s="22"/>
      <c r="C452" s="22"/>
      <c r="D452" s="22"/>
      <c r="E452" s="22"/>
    </row>
    <row r="453" spans="1:5" ht="14.25" customHeight="1" x14ac:dyDescent="0.35">
      <c r="A453" s="19"/>
      <c r="B453" s="20"/>
      <c r="C453" s="20"/>
      <c r="D453" s="20"/>
      <c r="E453" s="20"/>
    </row>
    <row r="454" spans="1:5" ht="14.25" customHeight="1" x14ac:dyDescent="0.35">
      <c r="A454" s="21"/>
      <c r="B454" s="22"/>
      <c r="C454" s="22"/>
      <c r="D454" s="22"/>
      <c r="E454" s="22"/>
    </row>
    <row r="455" spans="1:5" ht="14.25" customHeight="1" x14ac:dyDescent="0.35">
      <c r="A455" s="19"/>
      <c r="B455" s="20"/>
      <c r="C455" s="20"/>
      <c r="D455" s="20"/>
      <c r="E455" s="20"/>
    </row>
    <row r="456" spans="1:5" ht="14.25" customHeight="1" x14ac:dyDescent="0.35">
      <c r="A456" s="21"/>
      <c r="B456" s="22"/>
      <c r="C456" s="22"/>
      <c r="D456" s="22"/>
      <c r="E456" s="22"/>
    </row>
    <row r="457" spans="1:5" ht="14.25" customHeight="1" x14ac:dyDescent="0.35">
      <c r="A457" s="19"/>
      <c r="B457" s="20"/>
      <c r="C457" s="20"/>
      <c r="D457" s="20"/>
      <c r="E457" s="20"/>
    </row>
    <row r="458" spans="1:5" ht="14.25" customHeight="1" x14ac:dyDescent="0.35">
      <c r="A458" s="21"/>
      <c r="B458" s="22"/>
      <c r="C458" s="22"/>
      <c r="D458" s="22"/>
      <c r="E458" s="22"/>
    </row>
    <row r="459" spans="1:5" ht="14.25" customHeight="1" x14ac:dyDescent="0.35">
      <c r="A459" s="19"/>
      <c r="B459" s="20"/>
      <c r="C459" s="20"/>
      <c r="D459" s="20"/>
      <c r="E459" s="20"/>
    </row>
    <row r="460" spans="1:5" ht="14.25" customHeight="1" x14ac:dyDescent="0.35">
      <c r="A460" s="21"/>
      <c r="B460" s="22"/>
      <c r="C460" s="22"/>
      <c r="D460" s="22"/>
      <c r="E460" s="22"/>
    </row>
    <row r="461" spans="1:5" ht="14.25" customHeight="1" x14ac:dyDescent="0.35">
      <c r="A461" s="19"/>
      <c r="B461" s="20"/>
      <c r="C461" s="20"/>
      <c r="D461" s="20"/>
      <c r="E461" s="20"/>
    </row>
    <row r="462" spans="1:5" ht="14.25" customHeight="1" x14ac:dyDescent="0.35">
      <c r="A462" s="21"/>
      <c r="B462" s="22"/>
      <c r="C462" s="22"/>
      <c r="D462" s="22"/>
      <c r="E462" s="22"/>
    </row>
    <row r="463" spans="1:5" ht="14.25" customHeight="1" x14ac:dyDescent="0.35">
      <c r="A463" s="19"/>
      <c r="B463" s="20"/>
      <c r="C463" s="20"/>
      <c r="D463" s="20"/>
      <c r="E463" s="20"/>
    </row>
    <row r="464" spans="1:5" ht="14.25" customHeight="1" x14ac:dyDescent="0.35">
      <c r="A464" s="21"/>
      <c r="B464" s="22"/>
      <c r="C464" s="22"/>
      <c r="D464" s="22"/>
      <c r="E464" s="22"/>
    </row>
    <row r="465" spans="1:5" ht="14.25" customHeight="1" x14ac:dyDescent="0.35">
      <c r="A465" s="19"/>
      <c r="B465" s="20"/>
      <c r="C465" s="20"/>
      <c r="D465" s="20"/>
      <c r="E465" s="20"/>
    </row>
    <row r="466" spans="1:5" ht="14.25" customHeight="1" x14ac:dyDescent="0.35">
      <c r="A466" s="21"/>
      <c r="B466" s="22"/>
      <c r="C466" s="22"/>
      <c r="D466" s="22"/>
      <c r="E466" s="22"/>
    </row>
    <row r="467" spans="1:5" ht="14.25" customHeight="1" x14ac:dyDescent="0.35">
      <c r="A467" s="19"/>
      <c r="B467" s="20"/>
      <c r="C467" s="20"/>
      <c r="D467" s="20"/>
      <c r="E467" s="20"/>
    </row>
    <row r="468" spans="1:5" ht="14.25" customHeight="1" x14ac:dyDescent="0.35">
      <c r="A468" s="21"/>
      <c r="B468" s="22"/>
      <c r="C468" s="22"/>
      <c r="D468" s="22"/>
      <c r="E468" s="22"/>
    </row>
    <row r="469" spans="1:5" ht="14.25" customHeight="1" x14ac:dyDescent="0.35">
      <c r="A469" s="19"/>
      <c r="B469" s="20"/>
      <c r="C469" s="20"/>
      <c r="D469" s="20"/>
      <c r="E469" s="20"/>
    </row>
    <row r="470" spans="1:5" ht="14.25" customHeight="1" x14ac:dyDescent="0.35">
      <c r="A470" s="21"/>
      <c r="B470" s="22"/>
      <c r="C470" s="22"/>
      <c r="D470" s="22"/>
      <c r="E470" s="22"/>
    </row>
    <row r="471" spans="1:5" ht="14.25" customHeight="1" x14ac:dyDescent="0.35">
      <c r="A471" s="19"/>
      <c r="B471" s="20"/>
      <c r="C471" s="20"/>
      <c r="D471" s="20"/>
      <c r="E471" s="20"/>
    </row>
    <row r="472" spans="1:5" ht="14.25" customHeight="1" x14ac:dyDescent="0.35">
      <c r="A472" s="21"/>
      <c r="B472" s="22"/>
      <c r="C472" s="22"/>
      <c r="D472" s="22"/>
      <c r="E472" s="22"/>
    </row>
    <row r="473" spans="1:5" ht="14.25" customHeight="1" x14ac:dyDescent="0.35">
      <c r="A473" s="19"/>
      <c r="B473" s="20"/>
      <c r="C473" s="20"/>
      <c r="D473" s="20"/>
      <c r="E473" s="20"/>
    </row>
    <row r="474" spans="1:5" ht="14.25" customHeight="1" x14ac:dyDescent="0.35">
      <c r="A474" s="21"/>
      <c r="B474" s="22"/>
      <c r="C474" s="22"/>
      <c r="D474" s="22"/>
      <c r="E474" s="22"/>
    </row>
    <row r="475" spans="1:5" ht="14.25" customHeight="1" x14ac:dyDescent="0.35">
      <c r="A475" s="19"/>
      <c r="B475" s="20"/>
      <c r="C475" s="20"/>
      <c r="D475" s="20"/>
      <c r="E475" s="20"/>
    </row>
    <row r="476" spans="1:5" ht="14.25" customHeight="1" x14ac:dyDescent="0.35">
      <c r="A476" s="21"/>
      <c r="B476" s="22"/>
      <c r="C476" s="22"/>
      <c r="D476" s="22"/>
      <c r="E476" s="22"/>
    </row>
    <row r="477" spans="1:5" ht="14.25" customHeight="1" x14ac:dyDescent="0.35">
      <c r="A477" s="19"/>
      <c r="B477" s="20"/>
      <c r="C477" s="20"/>
      <c r="D477" s="20"/>
      <c r="E477" s="20"/>
    </row>
    <row r="478" spans="1:5" ht="14.25" customHeight="1" x14ac:dyDescent="0.35">
      <c r="A478" s="21"/>
      <c r="B478" s="22"/>
      <c r="C478" s="22"/>
      <c r="D478" s="22"/>
      <c r="E478" s="22"/>
    </row>
    <row r="479" spans="1:5" ht="14.25" customHeight="1" x14ac:dyDescent="0.35">
      <c r="A479" s="19"/>
      <c r="B479" s="20"/>
      <c r="C479" s="20"/>
      <c r="D479" s="20"/>
      <c r="E479" s="20"/>
    </row>
    <row r="480" spans="1:5" ht="14.25" customHeight="1" x14ac:dyDescent="0.35">
      <c r="A480" s="21"/>
      <c r="B480" s="22"/>
      <c r="C480" s="22"/>
      <c r="D480" s="22"/>
      <c r="E480" s="22"/>
    </row>
    <row r="481" spans="1:5" ht="14.25" customHeight="1" x14ac:dyDescent="0.35">
      <c r="A481" s="19"/>
      <c r="B481" s="20"/>
      <c r="C481" s="20"/>
      <c r="D481" s="20"/>
      <c r="E481" s="20"/>
    </row>
    <row r="482" spans="1:5" ht="14.25" customHeight="1" x14ac:dyDescent="0.35">
      <c r="A482" s="21"/>
      <c r="B482" s="22"/>
      <c r="C482" s="22"/>
      <c r="D482" s="22"/>
      <c r="E482" s="22"/>
    </row>
    <row r="483" spans="1:5" ht="14.25" customHeight="1" x14ac:dyDescent="0.35">
      <c r="A483" s="19"/>
      <c r="B483" s="20"/>
      <c r="C483" s="20"/>
      <c r="D483" s="20"/>
      <c r="E483" s="20"/>
    </row>
    <row r="484" spans="1:5" ht="14.25" customHeight="1" x14ac:dyDescent="0.35">
      <c r="A484" s="21"/>
      <c r="B484" s="22"/>
      <c r="C484" s="22"/>
      <c r="D484" s="22"/>
      <c r="E484" s="22"/>
    </row>
    <row r="485" spans="1:5" ht="14.25" customHeight="1" x14ac:dyDescent="0.35">
      <c r="A485" s="19"/>
      <c r="B485" s="20"/>
      <c r="C485" s="20"/>
      <c r="D485" s="20"/>
      <c r="E485" s="20"/>
    </row>
    <row r="486" spans="1:5" ht="14.25" customHeight="1" x14ac:dyDescent="0.35">
      <c r="A486" s="21"/>
      <c r="B486" s="22"/>
      <c r="C486" s="22"/>
      <c r="D486" s="22"/>
      <c r="E486" s="22"/>
    </row>
    <row r="487" spans="1:5" ht="14.25" customHeight="1" x14ac:dyDescent="0.35">
      <c r="A487" s="19"/>
      <c r="B487" s="20"/>
      <c r="C487" s="20"/>
      <c r="D487" s="20"/>
      <c r="E487" s="20"/>
    </row>
    <row r="488" spans="1:5" ht="14.25" customHeight="1" x14ac:dyDescent="0.35">
      <c r="A488" s="21"/>
      <c r="B488" s="22"/>
      <c r="C488" s="22"/>
      <c r="D488" s="22"/>
      <c r="E488" s="22"/>
    </row>
    <row r="489" spans="1:5" ht="14.25" customHeight="1" x14ac:dyDescent="0.35">
      <c r="A489" s="19"/>
      <c r="B489" s="20"/>
      <c r="C489" s="20"/>
      <c r="D489" s="20"/>
      <c r="E489" s="20"/>
    </row>
    <row r="490" spans="1:5" ht="14.25" customHeight="1" x14ac:dyDescent="0.35">
      <c r="A490" s="21"/>
      <c r="B490" s="22"/>
      <c r="C490" s="22"/>
      <c r="D490" s="22"/>
      <c r="E490" s="22"/>
    </row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73"/>
  <sheetViews>
    <sheetView topLeftCell="A52" zoomScaleNormal="100" workbookViewId="0">
      <selection activeCell="C55" sqref="C55"/>
    </sheetView>
  </sheetViews>
  <sheetFormatPr defaultColWidth="8.54296875" defaultRowHeight="14.5" x14ac:dyDescent="0.35"/>
  <cols>
    <col min="1" max="1" width="50.7265625" customWidth="1"/>
    <col min="2" max="2" width="25.453125" customWidth="1"/>
    <col min="3" max="3" width="15.453125" customWidth="1"/>
    <col min="4" max="4" width="35.453125" customWidth="1"/>
    <col min="5" max="5" width="45.453125" customWidth="1"/>
  </cols>
  <sheetData>
    <row r="1" spans="1:3" ht="21" customHeight="1" x14ac:dyDescent="0.5">
      <c r="A1" s="23" t="s">
        <v>15</v>
      </c>
    </row>
    <row r="2" spans="1:3" ht="14.25" customHeight="1" x14ac:dyDescent="0.35">
      <c r="A2" s="24" t="s">
        <v>16</v>
      </c>
    </row>
    <row r="4" spans="1:3" ht="16.5" customHeight="1" x14ac:dyDescent="0.4">
      <c r="A4" s="25" t="s">
        <v>17</v>
      </c>
      <c r="B4" s="4"/>
      <c r="C4" s="4"/>
    </row>
    <row r="5" spans="1:3" ht="14.25" customHeight="1" x14ac:dyDescent="0.35">
      <c r="A5" s="26" t="s">
        <v>18</v>
      </c>
      <c r="B5" s="27" t="s">
        <v>19</v>
      </c>
      <c r="C5" s="27" t="s">
        <v>20</v>
      </c>
    </row>
    <row r="6" spans="1:3" ht="14.25" customHeight="1" x14ac:dyDescent="0.35">
      <c r="A6" t="s">
        <v>8</v>
      </c>
      <c r="B6" s="28">
        <f>COUNTA('Mii List'!A2:A200)</f>
        <v>49</v>
      </c>
      <c r="C6" s="28" t="s">
        <v>21</v>
      </c>
    </row>
    <row r="7" spans="1:3" ht="14.25" customHeight="1" x14ac:dyDescent="0.35">
      <c r="A7" t="s">
        <v>22</v>
      </c>
      <c r="B7" s="28">
        <f>COUNTIF('Mii List'!B2:B200,"Male")</f>
        <v>23</v>
      </c>
      <c r="C7" s="29">
        <f>B7/B6</f>
        <v>0.46938775510204084</v>
      </c>
    </row>
    <row r="8" spans="1:3" ht="14.25" customHeight="1" x14ac:dyDescent="0.35">
      <c r="A8" t="s">
        <v>23</v>
      </c>
      <c r="B8" s="28">
        <f>COUNTIF('Mii List'!B2:B200,"Female")</f>
        <v>15</v>
      </c>
      <c r="C8" s="29">
        <f>B8/B6</f>
        <v>0.30612244897959184</v>
      </c>
    </row>
    <row r="9" spans="1:3" ht="14.25" customHeight="1" x14ac:dyDescent="0.35">
      <c r="A9" t="s">
        <v>24</v>
      </c>
      <c r="B9" s="28">
        <f>COUNTIF('Mii List'!B2:B200,"Nonbinary")</f>
        <v>11</v>
      </c>
      <c r="C9" s="29">
        <f>B9/B6</f>
        <v>0.22448979591836735</v>
      </c>
    </row>
    <row r="11" spans="1:3" ht="16.5" customHeight="1" x14ac:dyDescent="0.4">
      <c r="A11" s="25" t="s">
        <v>25</v>
      </c>
      <c r="B11" s="4"/>
      <c r="C11" s="4"/>
    </row>
    <row r="12" spans="1:3" ht="14.25" customHeight="1" x14ac:dyDescent="0.35">
      <c r="A12" s="26" t="s">
        <v>26</v>
      </c>
      <c r="B12" s="27" t="s">
        <v>19</v>
      </c>
      <c r="C12" s="27" t="s">
        <v>20</v>
      </c>
    </row>
    <row r="13" spans="1:3" ht="14.25" customHeight="1" x14ac:dyDescent="0.35">
      <c r="A13" t="s">
        <v>27</v>
      </c>
      <c r="B13" s="28">
        <f>SUM('Matching Engine'!F2:F200)</f>
        <v>25</v>
      </c>
      <c r="C13" s="29">
        <f>B13/B6</f>
        <v>0.51020408163265307</v>
      </c>
    </row>
    <row r="14" spans="1:3" ht="14.25" customHeight="1" x14ac:dyDescent="0.35">
      <c r="A14" t="s">
        <v>28</v>
      </c>
      <c r="B14" s="28">
        <f>SUM('Matching Engine'!G2:G200)</f>
        <v>24</v>
      </c>
      <c r="C14" s="29">
        <f>B14/B6</f>
        <v>0.48979591836734693</v>
      </c>
    </row>
    <row r="15" spans="1:3" ht="14.25" customHeight="1" x14ac:dyDescent="0.35">
      <c r="A15" t="s">
        <v>29</v>
      </c>
      <c r="B15" s="28">
        <f>SUM('Matching Engine'!H2:H200)</f>
        <v>19</v>
      </c>
      <c r="C15" s="29">
        <f>B15/B6</f>
        <v>0.38775510204081631</v>
      </c>
    </row>
    <row r="16" spans="1:3" ht="14.25" customHeight="1" x14ac:dyDescent="0.35">
      <c r="A16" s="30" t="s">
        <v>30</v>
      </c>
      <c r="B16" s="31">
        <f t="array" ref="B16">SUMPRODUCT(('Matching Engine'!A2:A200&lt;&gt;"")*('Matching Engine'!F2:F200=0)*('Matching Engine'!G2:G200=0)*('Matching Engine'!H2:H200=0))</f>
        <v>3</v>
      </c>
      <c r="C16" s="32">
        <f>B16/B6</f>
        <v>6.1224489795918366E-2</v>
      </c>
    </row>
    <row r="18" spans="1:5" ht="16.5" customHeight="1" x14ac:dyDescent="0.4">
      <c r="A18" s="25" t="s">
        <v>31</v>
      </c>
      <c r="B18" s="4"/>
      <c r="C18" s="4"/>
      <c r="D18" s="4"/>
    </row>
    <row r="19" spans="1:5" ht="14.25" customHeight="1" x14ac:dyDescent="0.35">
      <c r="A19" s="26" t="s">
        <v>32</v>
      </c>
      <c r="B19" s="27" t="s">
        <v>33</v>
      </c>
      <c r="C19" s="27" t="s">
        <v>34</v>
      </c>
      <c r="D19" s="27" t="s">
        <v>90</v>
      </c>
    </row>
    <row r="20" spans="1:5" ht="14.25" customHeight="1" x14ac:dyDescent="0.35">
      <c r="A20" s="33" t="s">
        <v>35</v>
      </c>
      <c r="B20" s="34">
        <f>SUMPRODUCT(('Matching Engine'!I2:I200=1)*('Matching Engine'!F2:F200=0)*('Matching Engine'!G2:G200=0)*('Matching Engine'!H2:H200=0))</f>
        <v>1</v>
      </c>
      <c r="C20" s="34">
        <v>0</v>
      </c>
      <c r="D20" s="34">
        <f t="shared" ref="D20:D43" si="0">MAX(0,B20-C20)</f>
        <v>1</v>
      </c>
      <c r="E20" s="33"/>
    </row>
    <row r="21" spans="1:5" ht="14.25" customHeight="1" x14ac:dyDescent="0.35">
      <c r="A21" s="33" t="s">
        <v>36</v>
      </c>
      <c r="B21" s="34">
        <f>SUMPRODUCT(('Matching Engine'!I2:I200=1)*('Matching Engine'!F2:F200=0)*('Matching Engine'!G2:G200=0)*('Matching Engine'!H2:H200=1))</f>
        <v>2</v>
      </c>
      <c r="C21" s="34">
        <f>SUMPRODUCT(('Matching Engine'!K2:K200=1)*('Matching Engine'!F2:F200=1))</f>
        <v>5</v>
      </c>
      <c r="D21" s="34">
        <f t="shared" si="0"/>
        <v>0</v>
      </c>
      <c r="E21" s="33"/>
    </row>
    <row r="22" spans="1:5" ht="14.25" customHeight="1" x14ac:dyDescent="0.35">
      <c r="A22" s="33" t="s">
        <v>37</v>
      </c>
      <c r="B22" s="34">
        <f>SUMPRODUCT(('Matching Engine'!I2:I200=1)*('Matching Engine'!F2:F200=0)*('Matching Engine'!G2:G200=1)*('Matching Engine'!H2:H200=0))</f>
        <v>6</v>
      </c>
      <c r="C22" s="34">
        <f>SUMPRODUCT(('Matching Engine'!J2:J200=1)*('Matching Engine'!F2:F200=1))</f>
        <v>8</v>
      </c>
      <c r="D22" s="34">
        <f t="shared" si="0"/>
        <v>0</v>
      </c>
      <c r="E22" s="33"/>
    </row>
    <row r="23" spans="1:5" ht="14.25" customHeight="1" x14ac:dyDescent="0.35">
      <c r="A23" s="33" t="s">
        <v>38</v>
      </c>
      <c r="B23" s="34">
        <f>SUMPRODUCT(('Matching Engine'!I2:I200=1)*('Matching Engine'!F2:F200=0)*('Matching Engine'!G2:G200=1)*('Matching Engine'!H2:H200=1))</f>
        <v>2</v>
      </c>
      <c r="C23" s="34">
        <f>SUMPRODUCT(('Matching Engine'!J2:J200=1)*('Matching Engine'!F2:F200=1))+SUMPRODUCT(('Matching Engine'!K2:K200=1)*('Matching Engine'!F2:F200=1))</f>
        <v>13</v>
      </c>
      <c r="D23" s="34">
        <f t="shared" si="0"/>
        <v>0</v>
      </c>
      <c r="E23" s="33"/>
    </row>
    <row r="24" spans="1:5" ht="14.25" customHeight="1" x14ac:dyDescent="0.35">
      <c r="A24" s="33" t="s">
        <v>39</v>
      </c>
      <c r="B24" s="34">
        <f>SUMPRODUCT(('Matching Engine'!I2:I200=1)*('Matching Engine'!F2:F200=1)*('Matching Engine'!G2:G200=0)*('Matching Engine'!H2:H200=0))</f>
        <v>8</v>
      </c>
      <c r="C24" s="34">
        <f>SUMPRODUCT(('Matching Engine'!I2:I200=1)*('Matching Engine'!F2:F200=1))</f>
        <v>12</v>
      </c>
      <c r="D24" s="34">
        <f t="shared" si="0"/>
        <v>0</v>
      </c>
      <c r="E24" s="33"/>
    </row>
    <row r="25" spans="1:5" ht="14.25" customHeight="1" x14ac:dyDescent="0.35">
      <c r="A25" s="33" t="s">
        <v>40</v>
      </c>
      <c r="B25" s="34">
        <f>SUMPRODUCT(('Matching Engine'!I2:I200=1)*('Matching Engine'!F2:F200=1)*('Matching Engine'!G2:G200=0)*('Matching Engine'!H2:H200=1))</f>
        <v>1</v>
      </c>
      <c r="C25" s="34">
        <f>SUMPRODUCT(('Matching Engine'!I2:I200=1)*('Matching Engine'!F2:F200=1))+SUMPRODUCT(('Matching Engine'!K2:K200=1)*('Matching Engine'!F2:F200=1))</f>
        <v>17</v>
      </c>
      <c r="D25" s="34">
        <f t="shared" si="0"/>
        <v>0</v>
      </c>
      <c r="E25" s="33"/>
    </row>
    <row r="26" spans="1:5" ht="14.25" customHeight="1" x14ac:dyDescent="0.35">
      <c r="A26" s="33" t="s">
        <v>41</v>
      </c>
      <c r="B26" s="34">
        <f>SUMPRODUCT(('Matching Engine'!I2:I200=1)*('Matching Engine'!F2:F200=1)*('Matching Engine'!G2:G200=1)*('Matching Engine'!H2:H200=0))</f>
        <v>2</v>
      </c>
      <c r="C26" s="34">
        <f>SUMPRODUCT(('Matching Engine'!I2:I200=1)*('Matching Engine'!F2:F200=1))+SUMPRODUCT(('Matching Engine'!J2:J200=1)*('Matching Engine'!F2:F200=1))</f>
        <v>20</v>
      </c>
      <c r="D26" s="34">
        <f t="shared" si="0"/>
        <v>0</v>
      </c>
      <c r="E26" s="33"/>
    </row>
    <row r="27" spans="1:5" ht="14.25" customHeight="1" x14ac:dyDescent="0.35">
      <c r="A27" s="33" t="s">
        <v>42</v>
      </c>
      <c r="B27" s="34">
        <f>SUMPRODUCT(('Matching Engine'!I2:I200=1)*('Matching Engine'!F2:F200=1)*('Matching Engine'!G2:G200=1)*('Matching Engine'!H2:H200=1))</f>
        <v>1</v>
      </c>
      <c r="C27" s="34">
        <f>SUMPRODUCT(('Matching Engine'!I2:I200=1)*('Matching Engine'!F2:F200=1))+SUMPRODUCT(('Matching Engine'!J2:J200=1)*('Matching Engine'!F2:F200=1))+SUMPRODUCT(('Matching Engine'!K2:K200=1)*('Matching Engine'!F2:F200=1))</f>
        <v>25</v>
      </c>
      <c r="D27" s="34">
        <f t="shared" si="0"/>
        <v>0</v>
      </c>
      <c r="E27" s="33"/>
    </row>
    <row r="28" spans="1:5" ht="14.25" customHeight="1" x14ac:dyDescent="0.35">
      <c r="A28" s="33" t="s">
        <v>43</v>
      </c>
      <c r="B28" s="34">
        <f>SUMPRODUCT(('Matching Engine'!J2:J200=1)*('Matching Engine'!F2:F200=0)*('Matching Engine'!G2:G200=0)*('Matching Engine'!H2:H200=0))</f>
        <v>1</v>
      </c>
      <c r="C28" s="34">
        <v>0</v>
      </c>
      <c r="D28" s="34">
        <f t="shared" si="0"/>
        <v>1</v>
      </c>
      <c r="E28" s="33"/>
    </row>
    <row r="29" spans="1:5" ht="16.5" customHeight="1" x14ac:dyDescent="0.35">
      <c r="A29" s="33" t="s">
        <v>44</v>
      </c>
      <c r="B29" s="34">
        <f>SUMPRODUCT(('Matching Engine'!J2:J200=1)*('Matching Engine'!F2:F200=0)*('Matching Engine'!G2:G200=0)*('Matching Engine'!H2:H200=1))</f>
        <v>2</v>
      </c>
      <c r="C29" s="34">
        <f>SUMPRODUCT(('Matching Engine'!K2:K200=1)*('Matching Engine'!G2:G200=1))</f>
        <v>6</v>
      </c>
      <c r="D29" s="34">
        <f t="shared" si="0"/>
        <v>0</v>
      </c>
      <c r="E29" s="33"/>
    </row>
    <row r="30" spans="1:5" ht="14.25" customHeight="1" x14ac:dyDescent="0.35">
      <c r="A30" s="33" t="s">
        <v>45</v>
      </c>
      <c r="B30" s="34">
        <f>SUMPRODUCT(('Matching Engine'!J2:J200=1)*('Matching Engine'!F2:F200=0)*('Matching Engine'!G2:G200=1)*('Matching Engine'!H2:H200=0))</f>
        <v>3</v>
      </c>
      <c r="C30" s="34">
        <f>SUMPRODUCT(('Matching Engine'!J2:J200=1)*('Matching Engine'!G2:G200=1))</f>
        <v>7</v>
      </c>
      <c r="D30" s="34">
        <f t="shared" si="0"/>
        <v>0</v>
      </c>
      <c r="E30" s="33"/>
    </row>
    <row r="31" spans="1:5" ht="14.25" customHeight="1" x14ac:dyDescent="0.35">
      <c r="A31" s="33" t="s">
        <v>46</v>
      </c>
      <c r="B31" s="34">
        <f>SUMPRODUCT(('Matching Engine'!J2:J200=1)*('Matching Engine'!F2:F200=0)*('Matching Engine'!G2:G200=1)*('Matching Engine'!H2:H200=1))</f>
        <v>1</v>
      </c>
      <c r="C31" s="34">
        <f>SUMPRODUCT(('Matching Engine'!J2:J200=1)*('Matching Engine'!G2:G200=1))+SUMPRODUCT(('Matching Engine'!K2:K200=1)*('Matching Engine'!G2:G200=1))</f>
        <v>13</v>
      </c>
      <c r="D31" s="34">
        <f t="shared" si="0"/>
        <v>0</v>
      </c>
      <c r="E31" s="33"/>
    </row>
    <row r="32" spans="1:5" ht="14.25" customHeight="1" x14ac:dyDescent="0.35">
      <c r="A32" s="33" t="s">
        <v>47</v>
      </c>
      <c r="B32" s="34">
        <f>SUMPRODUCT(('Matching Engine'!J2:J200=1)*('Matching Engine'!F2:F200=1)*('Matching Engine'!G2:G200=0)*('Matching Engine'!H2:H200=0))</f>
        <v>4</v>
      </c>
      <c r="C32" s="34">
        <f>SUMPRODUCT(('Matching Engine'!I2:I200=1)*('Matching Engine'!G2:G200=1))</f>
        <v>11</v>
      </c>
      <c r="D32" s="34">
        <f t="shared" si="0"/>
        <v>0</v>
      </c>
      <c r="E32" s="33"/>
    </row>
    <row r="33" spans="1:5" ht="14.25" customHeight="1" x14ac:dyDescent="0.35">
      <c r="A33" s="33" t="s">
        <v>48</v>
      </c>
      <c r="B33" s="34">
        <f>SUMPRODUCT(('Matching Engine'!J2:J200=1)*('Matching Engine'!F2:F200=1)*('Matching Engine'!G2:G200=0)*('Matching Engine'!H2:H200=1))</f>
        <v>1</v>
      </c>
      <c r="C33" s="34">
        <f>SUMPRODUCT(('Matching Engine'!I2:I200=1)*('Matching Engine'!G2:G200=1))+SUMPRODUCT(('Matching Engine'!K2:K200=1)*('Matching Engine'!G2:G200=1))</f>
        <v>17</v>
      </c>
      <c r="D33" s="34">
        <f t="shared" si="0"/>
        <v>0</v>
      </c>
      <c r="E33" s="33"/>
    </row>
    <row r="34" spans="1:5" ht="18" customHeight="1" x14ac:dyDescent="0.35">
      <c r="A34" s="33" t="s">
        <v>49</v>
      </c>
      <c r="B34" s="34">
        <f>SUMPRODUCT(('Matching Engine'!J2:J200=1)*('Matching Engine'!F2:F200=1)*('Matching Engine'!G2:G200=1)*('Matching Engine'!H2:H200=0))</f>
        <v>1</v>
      </c>
      <c r="C34" s="34">
        <f>SUMPRODUCT(('Matching Engine'!I2:I200=1)*('Matching Engine'!G2:G200=1))+SUMPRODUCT(('Matching Engine'!J2:J200=1)*('Matching Engine'!G2:G200=1))</f>
        <v>18</v>
      </c>
      <c r="D34" s="34">
        <f t="shared" si="0"/>
        <v>0</v>
      </c>
      <c r="E34" s="33"/>
    </row>
    <row r="35" spans="1:5" ht="14.25" customHeight="1" x14ac:dyDescent="0.35">
      <c r="A35" s="33" t="s">
        <v>50</v>
      </c>
      <c r="B35" s="34">
        <f>SUMPRODUCT(('Matching Engine'!J2:J200=1)*('Matching Engine'!F2:F200=1)*('Matching Engine'!G2:G200=1)*('Matching Engine'!H2:H200=1))</f>
        <v>2</v>
      </c>
      <c r="C35" s="34">
        <f>SUMPRODUCT(('Matching Engine'!I2:I200=1)*('Matching Engine'!G2:G200=1))+SUMPRODUCT(('Matching Engine'!J2:J200=1)*('Matching Engine'!G2:G200=1))+SUMPRODUCT(('Matching Engine'!K2:K200=1)*('Matching Engine'!G2:G200=1))</f>
        <v>24</v>
      </c>
      <c r="D35" s="34">
        <f t="shared" si="0"/>
        <v>0</v>
      </c>
      <c r="E35" s="33"/>
    </row>
    <row r="36" spans="1:5" ht="14.25" customHeight="1" x14ac:dyDescent="0.35">
      <c r="A36" s="33" t="s">
        <v>51</v>
      </c>
      <c r="B36" s="34">
        <f>SUMPRODUCT(('Matching Engine'!K2:K200=1)*('Matching Engine'!F2:F200=0)*('Matching Engine'!G2:G200=0)*('Matching Engine'!H2:H200=0))</f>
        <v>1</v>
      </c>
      <c r="C36" s="34">
        <v>0</v>
      </c>
      <c r="D36" s="34">
        <f t="shared" si="0"/>
        <v>1</v>
      </c>
      <c r="E36" s="33"/>
    </row>
    <row r="37" spans="1:5" ht="14.25" customHeight="1" x14ac:dyDescent="0.35">
      <c r="A37" s="33" t="s">
        <v>52</v>
      </c>
      <c r="B37" s="34">
        <f>SUMPRODUCT(('Matching Engine'!K2:K200=1)*('Matching Engine'!F2:F200=0)*('Matching Engine'!G2:G200=0)*('Matching Engine'!H2:H200=1))</f>
        <v>2</v>
      </c>
      <c r="C37" s="34">
        <f>SUMPRODUCT(('Matching Engine'!K2:K200=1)*('Matching Engine'!H2:H200=1))</f>
        <v>7</v>
      </c>
      <c r="D37" s="34">
        <f t="shared" si="0"/>
        <v>0</v>
      </c>
      <c r="E37" s="33"/>
    </row>
    <row r="38" spans="1:5" ht="16.5" customHeight="1" x14ac:dyDescent="0.35">
      <c r="A38" s="33" t="s">
        <v>53</v>
      </c>
      <c r="B38" s="34">
        <f>SUMPRODUCT(('Matching Engine'!K2:K200=1)*('Matching Engine'!F2:F200=0)*('Matching Engine'!G2:G200=1)*('Matching Engine'!H2:H200=0))</f>
        <v>1</v>
      </c>
      <c r="C38" s="34">
        <f>SUMPRODUCT(('Matching Engine'!J2:J200=1)*('Matching Engine'!H2:H200=1))</f>
        <v>6</v>
      </c>
      <c r="D38" s="34">
        <f t="shared" si="0"/>
        <v>0</v>
      </c>
      <c r="E38" s="33"/>
    </row>
    <row r="39" spans="1:5" ht="14.25" customHeight="1" x14ac:dyDescent="0.35">
      <c r="A39" s="33" t="s">
        <v>54</v>
      </c>
      <c r="B39" s="34">
        <f>SUMPRODUCT(('Matching Engine'!K2:K200=1)*('Matching Engine'!F2:F200=0)*('Matching Engine'!G2:G200=1)*('Matching Engine'!H2:H200=1))</f>
        <v>2</v>
      </c>
      <c r="C39" s="34">
        <f>SUMPRODUCT(('Matching Engine'!J2:J200=1)*('Matching Engine'!H2:H200=1))+SUMPRODUCT(('Matching Engine'!K2:K200=1)*('Matching Engine'!H2:H200=1))</f>
        <v>13</v>
      </c>
      <c r="D39" s="34">
        <f t="shared" si="0"/>
        <v>0</v>
      </c>
      <c r="E39" s="33"/>
    </row>
    <row r="40" spans="1:5" ht="14.25" customHeight="1" x14ac:dyDescent="0.35">
      <c r="A40" s="33" t="s">
        <v>55</v>
      </c>
      <c r="B40" s="34">
        <f>SUMPRODUCT(('Matching Engine'!K2:K200=1)*('Matching Engine'!F2:F200=1)*('Matching Engine'!G2:G200=0)*('Matching Engine'!H2:H200=0))</f>
        <v>1</v>
      </c>
      <c r="C40" s="34">
        <f>SUMPRODUCT(('Matching Engine'!I2:I200=1)*('Matching Engine'!H2:H200=1))</f>
        <v>6</v>
      </c>
      <c r="D40" s="34">
        <f t="shared" si="0"/>
        <v>0</v>
      </c>
      <c r="E40" s="33"/>
    </row>
    <row r="41" spans="1:5" ht="14.25" customHeight="1" x14ac:dyDescent="0.35">
      <c r="A41" s="33" t="s">
        <v>56</v>
      </c>
      <c r="B41" s="34">
        <f>SUMPRODUCT(('Matching Engine'!K2:K200=1)*('Matching Engine'!F2:F200=1)*('Matching Engine'!G2:G200=0)*('Matching Engine'!H2:H200=1))</f>
        <v>1</v>
      </c>
      <c r="C41" s="34">
        <f>SUMPRODUCT(('Matching Engine'!I2:I200=1)*('Matching Engine'!H2:H200=1))+SUMPRODUCT(('Matching Engine'!K2:K200=1)*('Matching Engine'!H2:H200=1))</f>
        <v>13</v>
      </c>
      <c r="D41" s="34">
        <f t="shared" si="0"/>
        <v>0</v>
      </c>
      <c r="E41" s="33"/>
    </row>
    <row r="42" spans="1:5" ht="14.25" customHeight="1" x14ac:dyDescent="0.35">
      <c r="A42" s="33" t="s">
        <v>57</v>
      </c>
      <c r="B42" s="34">
        <f>SUMPRODUCT(('Matching Engine'!K2:K200=1)*('Matching Engine'!F2:F200=1)*('Matching Engine'!G2:G200=1)*('Matching Engine'!H2:H200=0))</f>
        <v>1</v>
      </c>
      <c r="C42" s="34">
        <f>SUMPRODUCT(('Matching Engine'!I2:I200=1)*('Matching Engine'!H2:H200=1))+SUMPRODUCT(('Matching Engine'!J2:J200=1)*('Matching Engine'!H2:H200=1))</f>
        <v>12</v>
      </c>
      <c r="D42" s="34">
        <f t="shared" si="0"/>
        <v>0</v>
      </c>
      <c r="E42" s="33"/>
    </row>
    <row r="43" spans="1:5" ht="14.25" customHeight="1" x14ac:dyDescent="0.35">
      <c r="A43" s="33" t="s">
        <v>58</v>
      </c>
      <c r="B43" s="34">
        <f>SUMPRODUCT(('Matching Engine'!K2:K200=1)*('Matching Engine'!F2:F200=1)*('Matching Engine'!G2:G200=1)*('Matching Engine'!H2:H200=1))</f>
        <v>2</v>
      </c>
      <c r="C43" s="34">
        <f>SUMPRODUCT(('Matching Engine'!I2:I200=1)*('Matching Engine'!H2:H200=1))+SUMPRODUCT(('Matching Engine'!J2:J200=1)*('Matching Engine'!H2:H200=1))+SUMPRODUCT(('Matching Engine'!K2:K200=1)*('Matching Engine'!H2:H200=1))</f>
        <v>19</v>
      </c>
      <c r="D43" s="34">
        <f t="shared" si="0"/>
        <v>0</v>
      </c>
      <c r="E43" s="33"/>
    </row>
    <row r="44" spans="1:5" ht="14.25" customHeight="1" x14ac:dyDescent="0.35">
      <c r="B44" s="28"/>
      <c r="C44" s="28"/>
      <c r="D44" s="28"/>
    </row>
    <row r="46" spans="1:5" ht="15.75" customHeight="1" x14ac:dyDescent="0.4">
      <c r="A46" s="39" t="s">
        <v>59</v>
      </c>
      <c r="B46" s="40"/>
      <c r="C46" s="40"/>
      <c r="D46" s="35"/>
    </row>
    <row r="47" spans="1:5" ht="14.25" customHeight="1" x14ac:dyDescent="0.35">
      <c r="A47" s="41" t="s">
        <v>60</v>
      </c>
      <c r="B47" s="42" t="s">
        <v>61</v>
      </c>
      <c r="C47" s="41" t="s">
        <v>62</v>
      </c>
      <c r="D47" s="36"/>
    </row>
    <row r="48" spans="1:5" ht="14.25" customHeight="1" x14ac:dyDescent="0.35">
      <c r="A48" s="43" t="s">
        <v>63</v>
      </c>
      <c r="B48" s="44">
        <f>SUMPRODUCT(('Matching Engine'!A2:A200&lt;&gt;"")*('Matching Engine'!L2:L200=0))</f>
        <v>3</v>
      </c>
      <c r="C48" s="45" t="s">
        <v>64</v>
      </c>
    </row>
    <row r="49" spans="1:5" ht="14.25" customHeight="1" x14ac:dyDescent="0.35">
      <c r="A49" s="45" t="s">
        <v>65</v>
      </c>
      <c r="B49" s="46">
        <f>SUM(D21:D27,D29:D35,D37:D43)</f>
        <v>0</v>
      </c>
      <c r="C49" s="45" t="s">
        <v>66</v>
      </c>
    </row>
    <row r="50" spans="1:5" ht="14.25" customHeight="1" x14ac:dyDescent="0.35">
      <c r="A50" s="45" t="s">
        <v>67</v>
      </c>
      <c r="B50" s="46">
        <f>IF(MOD(B6-B48-B49,2)=1,1,0)</f>
        <v>0</v>
      </c>
      <c r="C50" s="45" t="s">
        <v>68</v>
      </c>
    </row>
    <row r="51" spans="1:5" ht="16.5" customHeight="1" x14ac:dyDescent="0.45">
      <c r="A51" s="47" t="s">
        <v>69</v>
      </c>
      <c r="B51" s="48">
        <f>B48+B49+B50</f>
        <v>3</v>
      </c>
      <c r="C51" s="45" t="s">
        <v>70</v>
      </c>
    </row>
    <row r="52" spans="1:5" ht="14.25" customHeight="1" x14ac:dyDescent="0.35">
      <c r="A52" s="45" t="s">
        <v>92</v>
      </c>
      <c r="B52" s="46">
        <f>INT((B6-B51)/2)</f>
        <v>23</v>
      </c>
      <c r="C52" s="45" t="s">
        <v>71</v>
      </c>
    </row>
    <row r="53" spans="1:5" ht="14.25" customHeight="1" x14ac:dyDescent="0.35">
      <c r="A53" s="45" t="s">
        <v>91</v>
      </c>
      <c r="B53" s="54">
        <f>(B6-B51)/B6</f>
        <v>0.93877551020408168</v>
      </c>
      <c r="C53" s="45" t="s">
        <v>72</v>
      </c>
    </row>
    <row r="54" spans="1:5" ht="14.25" customHeight="1" x14ac:dyDescent="0.35">
      <c r="A54" s="45" t="s">
        <v>98</v>
      </c>
      <c r="B54" s="49" cm="1">
        <f t="array" ref="B54">_xlfn.LET(_xlpm.a,'Matching Engine'!N2:N50,_xlpm.b,'Matching Engine'!L2:L50,_xlpm.c,B6,_xlpm.s,'Matching Engine'!P2:P50,_xlpm.d,_xlpm.c/2,_xlpm.e,SUMPRODUCT(IF(_xlpm.b=0,1,EXP(-(_xlpm.a+_xlpm.b*_xlpm.s*_xlpm.d/_xlpm.c)))),_xlpm.f,(_xlpm.e+_xlpm.d)/2,_xlpm.g,SUMPRODUCT(IF(_xlpm.b=0,1,EXP(-(_xlpm.a+_xlpm.b*_xlpm.s*_xlpm.f/_xlpm.c)))),_xlpm.h,(_xlpm.g+_xlpm.f)/2,_xlpm.i,SUMPRODUCT(IF(_xlpm.b=0,1,EXP(-(_xlpm.a+_xlpm.b*_xlpm.s*_xlpm.h/_xlpm.c)))),_xlpm.j,(_xlpm.i+_xlpm.h)/2,_xlpm.k,SUMPRODUCT(IF(_xlpm.b=0,1,EXP(-(_xlpm.a+_xlpm.b*_xlpm.s*_xlpm.j/_xlpm.c)))),_xlpm.l,(_xlpm.k+_xlpm.j)/2,_xlpm.m,SUMPRODUCT(IF(_xlpm.b=0,1,EXP(-(_xlpm.a+_xlpm.b*_xlpm.s*_xlpm.l/_xlpm.c)))),_xlpm.n,(_xlpm.m+_xlpm.l)/2,(_xlpm.c-_xlpm.n)/2)</f>
        <v>19.685961845282833</v>
      </c>
      <c r="C54" s="45" t="s">
        <v>427</v>
      </c>
    </row>
    <row r="55" spans="1:5" ht="14.25" customHeight="1" x14ac:dyDescent="0.35">
      <c r="A55" s="45" t="s">
        <v>93</v>
      </c>
      <c r="B55" s="54">
        <f>B54*2/B6</f>
        <v>0.80350864674623812</v>
      </c>
      <c r="C55" s="45" t="s">
        <v>95</v>
      </c>
    </row>
    <row r="57" spans="1:5" ht="15.75" customHeight="1" x14ac:dyDescent="0.4">
      <c r="A57" s="25" t="s">
        <v>73</v>
      </c>
      <c r="B57" s="4"/>
      <c r="C57" s="4"/>
      <c r="D57" s="4"/>
      <c r="E57" s="4"/>
    </row>
    <row r="58" spans="1:5" ht="14.25" customHeight="1" x14ac:dyDescent="0.35">
      <c r="A58" s="26" t="s">
        <v>0</v>
      </c>
      <c r="B58" s="27" t="s">
        <v>1</v>
      </c>
      <c r="C58" s="27" t="s">
        <v>74</v>
      </c>
      <c r="D58" s="27" t="s">
        <v>89</v>
      </c>
      <c r="E58" s="27" t="s">
        <v>76</v>
      </c>
    </row>
    <row r="59" spans="1:5" ht="14.25" customHeight="1" x14ac:dyDescent="0.35">
      <c r="A59" t="str" cm="1">
        <f t="array" ref="A59">IFERROR(INDEX('Matching Engine'!A$2:A$200,SMALL(IF('Matching Engine'!L$2:L$200=0,ROW('Matching Engine'!A$2:A$200)-ROW('Matching Engine'!A$2)+1),ROW()-ROW($A$59)+1)),"")</f>
        <v>Narcissus</v>
      </c>
      <c r="B59" s="28" t="str">
        <f>IF(A59="","",INDEX('Matching Engine'!B$2:B$200,MATCH(A59,'Matching Engine'!A$2:A$200,0)))</f>
        <v>Male</v>
      </c>
      <c r="C59" s="28" t="str">
        <f>IF(A59="","",IF(AND(INDEX('Matching Engine'!F$2:F$200,MATCH(A59,'Matching Engine'!A$2:A$200,0))=0,INDEX('Matching Engine'!G$2:G$200,MATCH(A59,'Matching Engine'!A$2:A$200,0))=0,INDEX('Matching Engine'!H$2:H$200,MATCH(A59,'Matching Engine'!A$2:A$200,0))=0),"None",IF(INDEX('Matching Engine'!F$2:F$200,MATCH(A59,'Matching Engine'!A$2:A$200,0))=1,"♂ ","")&amp;IF(INDEX('Matching Engine'!G$2:G$200,MATCH(A59,'Matching Engine'!A$2:A$200,0))=1,"♀ ","")&amp;IF(INDEX('Matching Engine'!H$2:H$200,MATCH(A59,'Matching Engine'!A$2:A$200,0))=1,"⚧","")))</f>
        <v>None</v>
      </c>
      <c r="D59" s="28">
        <f>IF(A59="","",INDEX('Matching Engine'!L$2:L$200,MATCH(A59,'Matching Engine'!A$2:A$200,0)))</f>
        <v>0</v>
      </c>
      <c r="E59" t="str">
        <f>IF(A59="","",IF(AND(INDEX('Matching Engine'!F$2:F$200,MATCH(A59,'Matching Engine'!A$2:A$200,0))=0,INDEX('Matching Engine'!G$2:G$200,MATCH(A59,'Matching Engine'!A$2:A$200,0))=0,INDEX('Matching Engine'!H$2:H$200,MATCH(A59,'Matching Engine'!A$2:A$200,0))=0),"Attracted to nobody","No reciprocal matches"))</f>
        <v>Attracted to nobody</v>
      </c>
    </row>
    <row r="60" spans="1:5" ht="14.25" customHeight="1" x14ac:dyDescent="0.35">
      <c r="A60" t="str" cm="1">
        <f t="array" ref="A60">IFERROR(INDEX('Matching Engine'!A$2:A$200,SMALL(IF('Matching Engine'!L$2:L$200=0,ROW('Matching Engine'!A$2:A$200)-ROW('Matching Engine'!A$2)+1),ROW()-ROW($A$59)+1)),"")</f>
        <v>Medusa</v>
      </c>
      <c r="B60" s="28" t="str">
        <f>IF(A60="","",INDEX('Matching Engine'!B$2:B$200,MATCH(A60,'Matching Engine'!A$2:A$200,0)))</f>
        <v>Female</v>
      </c>
      <c r="C60" s="28" t="str">
        <f>IF(A60="","",IF(AND(INDEX('Matching Engine'!F$2:F$200,MATCH(A60,'Matching Engine'!A$2:A$200,0))=0,INDEX('Matching Engine'!G$2:G$200,MATCH(A60,'Matching Engine'!A$2:A$200,0))=0,INDEX('Matching Engine'!H$2:H$200,MATCH(A60,'Matching Engine'!A$2:A$200,0))=0),"None",IF(INDEX('Matching Engine'!F$2:F$200,MATCH(A60,'Matching Engine'!A$2:A$200,0))=1,"♂ ","")&amp;IF(INDEX('Matching Engine'!G$2:G$200,MATCH(A60,'Matching Engine'!A$2:A$200,0))=1,"♀ ","")&amp;IF(INDEX('Matching Engine'!H$2:H$200,MATCH(A60,'Matching Engine'!A$2:A$200,0))=1,"⚧","")))</f>
        <v>None</v>
      </c>
      <c r="D60" s="28">
        <f>IF(A60="","",INDEX('Matching Engine'!L$2:L$200,MATCH(A60,'Matching Engine'!A$2:A$200,0)))</f>
        <v>0</v>
      </c>
      <c r="E60" t="str">
        <f>IF(A60="","",IF(AND(INDEX('Matching Engine'!F$2:F$200,MATCH(A60,'Matching Engine'!A$2:A$200,0))=0,INDEX('Matching Engine'!G$2:G$200,MATCH(A60,'Matching Engine'!A$2:A$200,0))=0,INDEX('Matching Engine'!H$2:H$200,MATCH(A60,'Matching Engine'!A$2:A$200,0))=0),"Attracted to nobody","No reciprocal matches"))</f>
        <v>Attracted to nobody</v>
      </c>
    </row>
    <row r="61" spans="1:5" ht="14.25" customHeight="1" x14ac:dyDescent="0.35">
      <c r="A61" t="str" cm="1">
        <f t="array" ref="A61">IFERROR(INDEX('Matching Engine'!A$2:A$200,SMALL(IF('Matching Engine'!L$2:L$200=0,ROW('Matching Engine'!A$2:A$200)-ROW('Matching Engine'!A$2)+1),ROW()-ROW($A$59)+1)),"")</f>
        <v>The Sphinx</v>
      </c>
      <c r="B61" s="28" t="str">
        <f>IF(A61="","",INDEX('Matching Engine'!B$2:B$200,MATCH(A61,'Matching Engine'!A$2:A$200,0)))</f>
        <v>Nonbinary</v>
      </c>
      <c r="C61" s="28" t="str">
        <f>IF(A61="","",IF(AND(INDEX('Matching Engine'!F$2:F$200,MATCH(A61,'Matching Engine'!A$2:A$200,0))=0,INDEX('Matching Engine'!G$2:G$200,MATCH(A61,'Matching Engine'!A$2:A$200,0))=0,INDEX('Matching Engine'!H$2:H$200,MATCH(A61,'Matching Engine'!A$2:A$200,0))=0),"None",IF(INDEX('Matching Engine'!F$2:F$200,MATCH(A61,'Matching Engine'!A$2:A$200,0))=1,"♂ ","")&amp;IF(INDEX('Matching Engine'!G$2:G$200,MATCH(A61,'Matching Engine'!A$2:A$200,0))=1,"♀ ","")&amp;IF(INDEX('Matching Engine'!H$2:H$200,MATCH(A61,'Matching Engine'!A$2:A$200,0))=1,"⚧","")))</f>
        <v>None</v>
      </c>
      <c r="D61" s="28">
        <f>IF(A61="","",INDEX('Matching Engine'!L$2:L$200,MATCH(A61,'Matching Engine'!A$2:A$200,0)))</f>
        <v>0</v>
      </c>
      <c r="E61" t="str">
        <f>IF(A61="","",IF(AND(INDEX('Matching Engine'!F$2:F$200,MATCH(A61,'Matching Engine'!A$2:A$200,0))=0,INDEX('Matching Engine'!G$2:G$200,MATCH(A61,'Matching Engine'!A$2:A$200,0))=0,INDEX('Matching Engine'!H$2:H$200,MATCH(A61,'Matching Engine'!A$2:A$200,0))=0),"Attracted to nobody","No reciprocal matches"))</f>
        <v>Attracted to nobody</v>
      </c>
    </row>
    <row r="62" spans="1:5" ht="14.25" customHeight="1" x14ac:dyDescent="0.35">
      <c r="A62" t="str" cm="1">
        <f t="array" ref="A62">IFERROR(INDEX('Matching Engine'!A$2:A$200,SMALL(IF('Matching Engine'!L$2:L$200=0,ROW('Matching Engine'!A$2:A$200)-ROW('Matching Engine'!A$2)+1),ROW()-ROW($A$59)+1)),"")</f>
        <v/>
      </c>
      <c r="B62" s="28" t="str">
        <f>IF(A62="","",INDEX('Matching Engine'!B$2:B$200,MATCH(A62,'Matching Engine'!A$2:A$200,0)))</f>
        <v/>
      </c>
      <c r="C62" s="28" t="str">
        <f>IF(A62="","",IF(AND(INDEX('Matching Engine'!F$2:F$200,MATCH(A62,'Matching Engine'!A$2:A$200,0))=0,INDEX('Matching Engine'!G$2:G$200,MATCH(A62,'Matching Engine'!A$2:A$200,0))=0,INDEX('Matching Engine'!H$2:H$200,MATCH(A62,'Matching Engine'!A$2:A$200,0))=0),"None",IF(INDEX('Matching Engine'!F$2:F$200,MATCH(A62,'Matching Engine'!A$2:A$200,0))=1,"♂ ","")&amp;IF(INDEX('Matching Engine'!G$2:G$200,MATCH(A62,'Matching Engine'!A$2:A$200,0))=1,"♀ ","")&amp;IF(INDEX('Matching Engine'!H$2:H$200,MATCH(A62,'Matching Engine'!A$2:A$200,0))=1,"⚧","")))</f>
        <v/>
      </c>
      <c r="D62" s="28" t="str">
        <f>IF(A62="","",INDEX('Matching Engine'!L$2:L$200,MATCH(A62,'Matching Engine'!A$2:A$200,0)))</f>
        <v/>
      </c>
      <c r="E62" t="str">
        <f>IF(A62="","",IF(AND(INDEX('Matching Engine'!F$2:F$200,MATCH(A62,'Matching Engine'!A$2:A$200,0))=0,INDEX('Matching Engine'!G$2:G$200,MATCH(A62,'Matching Engine'!A$2:A$200,0))=0,INDEX('Matching Engine'!H$2:H$200,MATCH(A62,'Matching Engine'!A$2:A$200,0))=0),"Attracted to nobody","No reciprocal matches"))</f>
        <v/>
      </c>
    </row>
    <row r="63" spans="1:5" ht="14.25" customHeight="1" x14ac:dyDescent="0.35">
      <c r="A63" t="str" cm="1">
        <f t="array" ref="A63">IFERROR(INDEX('Matching Engine'!A$2:A$200,SMALL(IF('Matching Engine'!L$2:L$200=0,ROW('Matching Engine'!A$2:A$200)-ROW('Matching Engine'!A$2)+1),ROW()-ROW($A$59)+1)),"")</f>
        <v/>
      </c>
      <c r="B63" s="28" t="str">
        <f>IF(A63="","",INDEX('Matching Engine'!B$2:B$200,MATCH(A63,'Matching Engine'!A$2:A$200,0)))</f>
        <v/>
      </c>
      <c r="C63" s="28" t="str">
        <f>IF(A63="","",IF(AND(INDEX('Matching Engine'!F$2:F$200,MATCH(A63,'Matching Engine'!A$2:A$200,0))=0,INDEX('Matching Engine'!G$2:G$200,MATCH(A63,'Matching Engine'!A$2:A$200,0))=0,INDEX('Matching Engine'!H$2:H$200,MATCH(A63,'Matching Engine'!A$2:A$200,0))=0),"None",IF(INDEX('Matching Engine'!F$2:F$200,MATCH(A63,'Matching Engine'!A$2:A$200,0))=1,"♂ ","")&amp;IF(INDEX('Matching Engine'!G$2:G$200,MATCH(A63,'Matching Engine'!A$2:A$200,0))=1,"♀ ","")&amp;IF(INDEX('Matching Engine'!H$2:H$200,MATCH(A63,'Matching Engine'!A$2:A$200,0))=1,"⚧","")))</f>
        <v/>
      </c>
      <c r="D63" s="28" t="str">
        <f>IF(A63="","",INDEX('Matching Engine'!L$2:L$200,MATCH(A63,'Matching Engine'!A$2:A$200,0)))</f>
        <v/>
      </c>
      <c r="E63" t="str">
        <f>IF(A63="","",IF(AND(INDEX('Matching Engine'!F$2:F$200,MATCH(A63,'Matching Engine'!A$2:A$200,0))=0,INDEX('Matching Engine'!G$2:G$200,MATCH(A63,'Matching Engine'!A$2:A$200,0))=0,INDEX('Matching Engine'!H$2:H$200,MATCH(A63,'Matching Engine'!A$2:A$200,0))=0),"Attracted to nobody","No reciprocal matches"))</f>
        <v/>
      </c>
    </row>
    <row r="64" spans="1:5" ht="14.25" customHeight="1" x14ac:dyDescent="0.35">
      <c r="A64" t="str" cm="1">
        <f t="array" ref="A64">IFERROR(INDEX('Matching Engine'!A$2:A$200,SMALL(IF('Matching Engine'!L$2:L$200=0,ROW('Matching Engine'!A$2:A$200)-ROW('Matching Engine'!A$2)+1),ROW()-ROW($A$59)+1)),"")</f>
        <v/>
      </c>
      <c r="B64" s="28" t="str">
        <f>IF(A64="","",INDEX('Matching Engine'!B$2:B$200,MATCH(A64,'Matching Engine'!A$2:A$200,0)))</f>
        <v/>
      </c>
      <c r="C64" s="28" t="str">
        <f>IF(A64="","",IF(AND(INDEX('Matching Engine'!F$2:F$200,MATCH(A64,'Matching Engine'!A$2:A$200,0))=0,INDEX('Matching Engine'!G$2:G$200,MATCH(A64,'Matching Engine'!A$2:A$200,0))=0,INDEX('Matching Engine'!H$2:H$200,MATCH(A64,'Matching Engine'!A$2:A$200,0))=0),"None",IF(INDEX('Matching Engine'!F$2:F$200,MATCH(A64,'Matching Engine'!A$2:A$200,0))=1,"♂ ","")&amp;IF(INDEX('Matching Engine'!G$2:G$200,MATCH(A64,'Matching Engine'!A$2:A$200,0))=1,"♀ ","")&amp;IF(INDEX('Matching Engine'!H$2:H$200,MATCH(A64,'Matching Engine'!A$2:A$200,0))=1,"⚧","")))</f>
        <v/>
      </c>
      <c r="D64" s="28" t="str">
        <f>IF(A64="","",INDEX('Matching Engine'!L$2:L$200,MATCH(A64,'Matching Engine'!A$2:A$200,0)))</f>
        <v/>
      </c>
      <c r="E64" t="str">
        <f>IF(A64="","",IF(AND(INDEX('Matching Engine'!F$2:F$200,MATCH(A64,'Matching Engine'!A$2:A$200,0))=0,INDEX('Matching Engine'!G$2:G$200,MATCH(A64,'Matching Engine'!A$2:A$200,0))=0,INDEX('Matching Engine'!H$2:H$200,MATCH(A64,'Matching Engine'!A$2:A$200,0))=0),"Attracted to nobody","No reciprocal matches"))</f>
        <v/>
      </c>
    </row>
    <row r="65" spans="1:5" ht="14.25" customHeight="1" x14ac:dyDescent="0.35">
      <c r="A65" t="str" cm="1">
        <f t="array" ref="A65">IFERROR(INDEX('Matching Engine'!A$2:A$200,SMALL(IF('Matching Engine'!L$2:L$200=0,ROW('Matching Engine'!A$2:A$200)-ROW('Matching Engine'!A$2)+1),ROW()-ROW($A$59)+1)),"")</f>
        <v/>
      </c>
      <c r="B65" s="28" t="str">
        <f>IF(A65="","",INDEX('Matching Engine'!B$2:B$200,MATCH(A65,'Matching Engine'!A$2:A$200,0)))</f>
        <v/>
      </c>
      <c r="C65" s="28" t="str">
        <f>IF(A65="","",IF(AND(INDEX('Matching Engine'!F$2:F$200,MATCH(A65,'Matching Engine'!A$2:A$200,0))=0,INDEX('Matching Engine'!G$2:G$200,MATCH(A65,'Matching Engine'!A$2:A$200,0))=0,INDEX('Matching Engine'!H$2:H$200,MATCH(A65,'Matching Engine'!A$2:A$200,0))=0),"None",IF(INDEX('Matching Engine'!F$2:F$200,MATCH(A65,'Matching Engine'!A$2:A$200,0))=1,"♂ ","")&amp;IF(INDEX('Matching Engine'!G$2:G$200,MATCH(A65,'Matching Engine'!A$2:A$200,0))=1,"♀ ","")&amp;IF(INDEX('Matching Engine'!H$2:H$200,MATCH(A65,'Matching Engine'!A$2:A$200,0))=1,"⚧","")))</f>
        <v/>
      </c>
      <c r="D65" s="28" t="str">
        <f>IF(A65="","",INDEX('Matching Engine'!L$2:L$200,MATCH(A65,'Matching Engine'!A$2:A$200,0)))</f>
        <v/>
      </c>
      <c r="E65" t="str">
        <f>IF(A65="","",IF(AND(INDEX('Matching Engine'!F$2:F$200,MATCH(A65,'Matching Engine'!A$2:A$200,0))=0,INDEX('Matching Engine'!G$2:G$200,MATCH(A65,'Matching Engine'!A$2:A$200,0))=0,INDEX('Matching Engine'!H$2:H$200,MATCH(A65,'Matching Engine'!A$2:A$200,0))=0),"Attracted to nobody","No reciprocal matches"))</f>
        <v/>
      </c>
    </row>
    <row r="66" spans="1:5" ht="14.25" customHeight="1" x14ac:dyDescent="0.35">
      <c r="B66" s="28" t="str">
        <f>IF(A66="","",INDEX('Matching Engine'!B$2:B$200,MATCH(A66,'Matching Engine'!A$2:A$200,0)))</f>
        <v/>
      </c>
      <c r="C66" s="28" t="str">
        <f>IF(A66="","",IF(AND(INDEX('Matching Engine'!F$2:F$200,MATCH(A66,'Matching Engine'!A$2:A$200,0))=0,INDEX('Matching Engine'!G$2:G$200,MATCH(A66,'Matching Engine'!A$2:A$200,0))=0,INDEX('Matching Engine'!H$2:H$200,MATCH(A66,'Matching Engine'!A$2:A$200,0))=0),"None",IF(INDEX('Matching Engine'!F$2:F$200,MATCH(A66,'Matching Engine'!A$2:A$200,0))=1,"♂ ","")&amp;IF(INDEX('Matching Engine'!G$2:G$200,MATCH(A66,'Matching Engine'!A$2:A$200,0))=1,"♀ ","")&amp;IF(INDEX('Matching Engine'!H$2:H$200,MATCH(A66,'Matching Engine'!A$2:A$200,0))=1,"⚧","")))</f>
        <v/>
      </c>
      <c r="D66" s="28" t="str">
        <f t="shared" ref="D59:D68" si="1">IF(A66="","",0)</f>
        <v/>
      </c>
      <c r="E66" t="str">
        <f>IF(A66="","",IF(AND(INDEX('Matching Engine'!F$2:F$200,MATCH(A66,'Matching Engine'!A$2:A$200,0))=0,INDEX('Matching Engine'!G$2:G$200,MATCH(A66,'Matching Engine'!A$2:A$200,0))=0,INDEX('Matching Engine'!H$2:H$200,MATCH(A66,'Matching Engine'!A$2:A$200,0))=0),"Attracted to nobody","No reciprocal matches"))</f>
        <v/>
      </c>
    </row>
    <row r="67" spans="1:5" ht="14.25" customHeight="1" x14ac:dyDescent="0.35">
      <c r="B67" s="28" t="str">
        <f>IF(A67="","",INDEX('Matching Engine'!B$2:B$200,MATCH(A67,'Matching Engine'!A$2:A$200,0)))</f>
        <v/>
      </c>
      <c r="C67" s="28" t="str">
        <f>IF(A67="","",IF(AND(INDEX('Matching Engine'!F$2:F$200,MATCH(A67,'Matching Engine'!A$2:A$200,0))=0,INDEX('Matching Engine'!G$2:G$200,MATCH(A67,'Matching Engine'!A$2:A$200,0))=0,INDEX('Matching Engine'!H$2:H$200,MATCH(A67,'Matching Engine'!A$2:A$200,0))=0),"None",IF(INDEX('Matching Engine'!F$2:F$200,MATCH(A67,'Matching Engine'!A$2:A$200,0))=1,"♂ ","")&amp;IF(INDEX('Matching Engine'!G$2:G$200,MATCH(A67,'Matching Engine'!A$2:A$200,0))=1,"♀ ","")&amp;IF(INDEX('Matching Engine'!H$2:H$200,MATCH(A67,'Matching Engine'!A$2:A$200,0))=1,"⚧","")))</f>
        <v/>
      </c>
      <c r="D67" s="28" t="str">
        <f t="shared" si="1"/>
        <v/>
      </c>
      <c r="E67" t="str">
        <f>IF(A67="","",IF(AND(INDEX('Matching Engine'!F$2:F$200,MATCH(A67,'Matching Engine'!A$2:A$200,0))=0,INDEX('Matching Engine'!G$2:G$200,MATCH(A67,'Matching Engine'!A$2:A$200,0))=0,INDEX('Matching Engine'!H$2:H$200,MATCH(A67,'Matching Engine'!A$2:A$200,0))=0),"Attracted to nobody","No reciprocal matches"))</f>
        <v/>
      </c>
    </row>
    <row r="68" spans="1:5" ht="14.25" customHeight="1" x14ac:dyDescent="0.35">
      <c r="B68" s="28" t="str">
        <f>IF(A68="","",INDEX('Matching Engine'!B$2:B$200,MATCH(A68,'Matching Engine'!A$2:A$200,0)))</f>
        <v/>
      </c>
      <c r="C68" s="28" t="str">
        <f>IF(A68="","",IF(AND(INDEX('Matching Engine'!F$2:F$200,MATCH(A68,'Matching Engine'!A$2:A$200,0))=0,INDEX('Matching Engine'!G$2:G$200,MATCH(A68,'Matching Engine'!A$2:A$200,0))=0,INDEX('Matching Engine'!H$2:H$200,MATCH(A68,'Matching Engine'!A$2:A$200,0))=0),"None",IF(INDEX('Matching Engine'!F$2:F$200,MATCH(A68,'Matching Engine'!A$2:A$200,0))=1,"♂ ","")&amp;IF(INDEX('Matching Engine'!G$2:G$200,MATCH(A68,'Matching Engine'!A$2:A$200,0))=1,"♀ ","")&amp;IF(INDEX('Matching Engine'!H$2:H$200,MATCH(A68,'Matching Engine'!A$2:A$200,0))=1,"⚧","")))</f>
        <v/>
      </c>
      <c r="D68" s="28" t="str">
        <f t="shared" si="1"/>
        <v/>
      </c>
      <c r="E68" t="str">
        <f>IF(A68="","",IF(AND(INDEX('Matching Engine'!F$2:F$200,MATCH(A68,'Matching Engine'!A$2:A$200,0))=0,INDEX('Matching Engine'!G$2:G$200,MATCH(A68,'Matching Engine'!A$2:A$200,0))=0,INDEX('Matching Engine'!H$2:H$200,MATCH(A68,'Matching Engine'!A$2:A$200,0))=0),"Attracted to nobody","No reciprocal matches"))</f>
        <v/>
      </c>
    </row>
    <row r="70" spans="1:5" ht="15.75" customHeight="1" x14ac:dyDescent="0.4">
      <c r="A70" s="25" t="s">
        <v>77</v>
      </c>
      <c r="B70" s="4"/>
      <c r="C70" s="4"/>
      <c r="D70" s="4"/>
      <c r="E70" s="4"/>
    </row>
    <row r="71" spans="1:5" ht="14.25" customHeight="1" x14ac:dyDescent="0.35">
      <c r="A71" s="26" t="s">
        <v>0</v>
      </c>
      <c r="B71" s="27" t="s">
        <v>1</v>
      </c>
      <c r="C71" s="27" t="s">
        <v>74</v>
      </c>
      <c r="D71" s="27" t="s">
        <v>89</v>
      </c>
      <c r="E71" s="27" t="s">
        <v>88</v>
      </c>
    </row>
    <row r="72" spans="1:5" ht="14.25" customHeight="1" x14ac:dyDescent="0.35">
      <c r="A72" s="38" t="str">
        <f>IFERROR(INDEX('Matching Engine'!A$2:A$200,MATCH(ROW()-71,'Matching Engine'!M$2:M$200,0)),"")</f>
        <v>Medusa</v>
      </c>
      <c r="B72" s="28" t="str">
        <f>IF(A72="","",INDEX('Matching Engine'!B$2:B$200,MATCH(A72,'Matching Engine'!A$2:A$200,0)))</f>
        <v>Female</v>
      </c>
      <c r="C72" s="28" t="str">
        <f>IF(A72="","",IF(AND(INDEX('Matching Engine'!F$2:F$200,MATCH(A72,'Matching Engine'!A$2:A$200,0))=0,INDEX('Matching Engine'!G$2:G$200,MATCH(A72,'Matching Engine'!A$2:A$200,0))=0,INDEX('Matching Engine'!H$2:H$200,MATCH(A72,'Matching Engine'!A$2:A$200,0))=0),"None",IF(INDEX('Matching Engine'!F$2:F$200,MATCH(A72,'Matching Engine'!A$2:A$200,0))=1,"♂ ","")&amp;IF(INDEX('Matching Engine'!G$2:G$200,MATCH(A72,'Matching Engine'!A$2:A$200,0))=1,"♀ ","")&amp;IF(INDEX('Matching Engine'!H$2:H$200,MATCH(A72,'Matching Engine'!A$2:A$200,0))=1,"⚧","")))</f>
        <v>None</v>
      </c>
      <c r="D72" s="28">
        <f>IF(A72="","",INDEX('Matching Engine'!L$2:L$200,MATCH(A72,'Matching Engine'!A$2:A$200,0)))</f>
        <v>0</v>
      </c>
      <c r="E72" s="28" t="str">
        <f t="shared" ref="E72:E106" si="2">IF(A72="","",IF(D72=0,"0% — no compatible partners",TEXT(D72/($B$6-1),"0%")&amp;" — "&amp;D72&amp;" of "&amp;($B$6-1)&amp;" compatible"))</f>
        <v>0% — no compatible partners</v>
      </c>
    </row>
    <row r="73" spans="1:5" ht="14.25" customHeight="1" x14ac:dyDescent="0.35">
      <c r="A73" s="38" t="str">
        <f>IFERROR(INDEX('Matching Engine'!A$2:A$200,MATCH(ROW()-71,'Matching Engine'!M$2:M$200,0)),"")</f>
        <v>Narcissus</v>
      </c>
      <c r="B73" s="28" t="str">
        <f>IF(A73="","",INDEX('Matching Engine'!B$2:B$200,MATCH(A73,'Matching Engine'!A$2:A$200,0)))</f>
        <v>Male</v>
      </c>
      <c r="C73" s="28" t="str">
        <f>IF(A73="","",IF(AND(INDEX('Matching Engine'!F$2:F$200,MATCH(A73,'Matching Engine'!A$2:A$200,0))=0,INDEX('Matching Engine'!G$2:G$200,MATCH(A73,'Matching Engine'!A$2:A$200,0))=0,INDEX('Matching Engine'!H$2:H$200,MATCH(A73,'Matching Engine'!A$2:A$200,0))=0),"None",IF(INDEX('Matching Engine'!F$2:F$200,MATCH(A73,'Matching Engine'!A$2:A$200,0))=1,"♂ ","")&amp;IF(INDEX('Matching Engine'!G$2:G$200,MATCH(A73,'Matching Engine'!A$2:A$200,0))=1,"♀ ","")&amp;IF(INDEX('Matching Engine'!H$2:H$200,MATCH(A73,'Matching Engine'!A$2:A$200,0))=1,"⚧","")))</f>
        <v>None</v>
      </c>
      <c r="D73" s="28">
        <f>IF(A73="","",INDEX('Matching Engine'!L$2:L$200,MATCH(A73,'Matching Engine'!A$2:A$200,0)))</f>
        <v>0</v>
      </c>
      <c r="E73" s="28" t="str">
        <f t="shared" si="2"/>
        <v>0% — no compatible partners</v>
      </c>
    </row>
    <row r="74" spans="1:5" ht="14.25" customHeight="1" x14ac:dyDescent="0.35">
      <c r="A74" s="38" t="str">
        <f>IFERROR(INDEX('Matching Engine'!A$2:A$200,MATCH(ROW()-71,'Matching Engine'!M$2:M$200,0)),"")</f>
        <v>The Sphinx</v>
      </c>
      <c r="B74" s="28" t="str">
        <f>IF(A74="","",INDEX('Matching Engine'!B$2:B$200,MATCH(A74,'Matching Engine'!A$2:A$200,0)))</f>
        <v>Nonbinary</v>
      </c>
      <c r="C74" s="28" t="str">
        <f>IF(A74="","",IF(AND(INDEX('Matching Engine'!F$2:F$200,MATCH(A74,'Matching Engine'!A$2:A$200,0))=0,INDEX('Matching Engine'!G$2:G$200,MATCH(A74,'Matching Engine'!A$2:A$200,0))=0,INDEX('Matching Engine'!H$2:H$200,MATCH(A74,'Matching Engine'!A$2:A$200,0))=0),"None",IF(INDEX('Matching Engine'!F$2:F$200,MATCH(A74,'Matching Engine'!A$2:A$200,0))=1,"♂ ","")&amp;IF(INDEX('Matching Engine'!G$2:G$200,MATCH(A74,'Matching Engine'!A$2:A$200,0))=1,"♀ ","")&amp;IF(INDEX('Matching Engine'!H$2:H$200,MATCH(A74,'Matching Engine'!A$2:A$200,0))=1,"⚧","")))</f>
        <v>None</v>
      </c>
      <c r="D74" s="28">
        <f>IF(A74="","",INDEX('Matching Engine'!L$2:L$200,MATCH(A74,'Matching Engine'!A$2:A$200,0)))</f>
        <v>0</v>
      </c>
      <c r="E74" s="28" t="str">
        <f t="shared" si="2"/>
        <v>0% — no compatible partners</v>
      </c>
    </row>
    <row r="75" spans="1:5" ht="14.25" customHeight="1" x14ac:dyDescent="0.35">
      <c r="A75" s="38" t="str">
        <f>IFERROR(INDEX('Matching Engine'!A$2:A$200,MATCH(ROW()-71,'Matching Engine'!M$2:M$200,0)),"")</f>
        <v>Atlas</v>
      </c>
      <c r="B75" s="28" t="str">
        <f>IF(A75="","",INDEX('Matching Engine'!B$2:B$200,MATCH(A75,'Matching Engine'!A$2:A$200,0)))</f>
        <v>Male</v>
      </c>
      <c r="C75" s="28" t="str">
        <f>IF(A75="","",IF(AND(INDEX('Matching Engine'!F$2:F$200,MATCH(A75,'Matching Engine'!A$2:A$200,0))=0,INDEX('Matching Engine'!G$2:G$200,MATCH(A75,'Matching Engine'!A$2:A$200,0))=0,INDEX('Matching Engine'!H$2:H$200,MATCH(A75,'Matching Engine'!A$2:A$200,0))=0),"None",IF(INDEX('Matching Engine'!F$2:F$200,MATCH(A75,'Matching Engine'!A$2:A$200,0))=1,"♂ ","")&amp;IF(INDEX('Matching Engine'!G$2:G$200,MATCH(A75,'Matching Engine'!A$2:A$200,0))=1,"♀ ","")&amp;IF(INDEX('Matching Engine'!H$2:H$200,MATCH(A75,'Matching Engine'!A$2:A$200,0))=1,"⚧","")))</f>
        <v>⚧</v>
      </c>
      <c r="D75" s="28">
        <f>IF(A75="","",INDEX('Matching Engine'!L$2:L$200,MATCH(A75,'Matching Engine'!A$2:A$200,0)))</f>
        <v>5</v>
      </c>
      <c r="E75" s="28" t="str">
        <f t="shared" si="2"/>
        <v>10% — 5 of 48 compatible</v>
      </c>
    </row>
    <row r="76" spans="1:5" ht="14.25" customHeight="1" x14ac:dyDescent="0.35">
      <c r="A76" s="38" t="str">
        <f>IFERROR(INDEX('Matching Engine'!A$2:A$200,MATCH(ROW()-71,'Matching Engine'!M$2:M$200,0)),"")</f>
        <v>Prometheus</v>
      </c>
      <c r="B76" s="28" t="str">
        <f>IF(A76="","",INDEX('Matching Engine'!B$2:B$200,MATCH(A76,'Matching Engine'!A$2:A$200,0)))</f>
        <v>Male</v>
      </c>
      <c r="C76" s="28" t="str">
        <f>IF(A76="","",IF(AND(INDEX('Matching Engine'!F$2:F$200,MATCH(A76,'Matching Engine'!A$2:A$200,0))=0,INDEX('Matching Engine'!G$2:G$200,MATCH(A76,'Matching Engine'!A$2:A$200,0))=0,INDEX('Matching Engine'!H$2:H$200,MATCH(A76,'Matching Engine'!A$2:A$200,0))=0),"None",IF(INDEX('Matching Engine'!F$2:F$200,MATCH(A76,'Matching Engine'!A$2:A$200,0))=1,"♂ ","")&amp;IF(INDEX('Matching Engine'!G$2:G$200,MATCH(A76,'Matching Engine'!A$2:A$200,0))=1,"♀ ","")&amp;IF(INDEX('Matching Engine'!H$2:H$200,MATCH(A76,'Matching Engine'!A$2:A$200,0))=1,"⚧","")))</f>
        <v>⚧</v>
      </c>
      <c r="D76" s="28">
        <f>IF(A76="","",INDEX('Matching Engine'!L$2:L$200,MATCH(A76,'Matching Engine'!A$2:A$200,0)))</f>
        <v>5</v>
      </c>
      <c r="E76" s="28" t="str">
        <f t="shared" si="2"/>
        <v>10% — 5 of 48 compatible</v>
      </c>
    </row>
    <row r="77" spans="1:5" ht="14.25" customHeight="1" x14ac:dyDescent="0.35">
      <c r="A77" s="38" t="str">
        <f>IFERROR(INDEX('Matching Engine'!A$2:A$200,MATCH(ROW()-71,'Matching Engine'!M$2:M$200,0)),"")</f>
        <v>Agdistis</v>
      </c>
      <c r="B77" s="28" t="str">
        <f>IF(A77="","",INDEX('Matching Engine'!B$2:B$200,MATCH(A77,'Matching Engine'!A$2:A$200,0)))</f>
        <v>Nonbinary</v>
      </c>
      <c r="C77" s="28" t="str">
        <f>IF(A77="","",IF(AND(INDEX('Matching Engine'!F$2:F$200,MATCH(A77,'Matching Engine'!A$2:A$200,0))=0,INDEX('Matching Engine'!G$2:G$200,MATCH(A77,'Matching Engine'!A$2:A$200,0))=0,INDEX('Matching Engine'!H$2:H$200,MATCH(A77,'Matching Engine'!A$2:A$200,0))=0),"None",IF(INDEX('Matching Engine'!F$2:F$200,MATCH(A77,'Matching Engine'!A$2:A$200,0))=1,"♂ ","")&amp;IF(INDEX('Matching Engine'!G$2:G$200,MATCH(A77,'Matching Engine'!A$2:A$200,0))=1,"♀ ","")&amp;IF(INDEX('Matching Engine'!H$2:H$200,MATCH(A77,'Matching Engine'!A$2:A$200,0))=1,"⚧","")))</f>
        <v xml:space="preserve">♀ </v>
      </c>
      <c r="D77" s="28">
        <f>IF(A77="","",INDEX('Matching Engine'!L$2:L$200,MATCH(A77,'Matching Engine'!A$2:A$200,0)))</f>
        <v>6</v>
      </c>
      <c r="E77" s="28" t="str">
        <f t="shared" si="2"/>
        <v>13% — 6 of 48 compatible</v>
      </c>
    </row>
    <row r="78" spans="1:5" ht="14.25" customHeight="1" x14ac:dyDescent="0.35">
      <c r="A78" s="38" t="str">
        <f>IFERROR(INDEX('Matching Engine'!A$2:A$200,MATCH(ROW()-71,'Matching Engine'!M$2:M$200,0)),"")</f>
        <v>Artemis</v>
      </c>
      <c r="B78" s="28" t="str">
        <f>IF(A78="","",INDEX('Matching Engine'!B$2:B$200,MATCH(A78,'Matching Engine'!A$2:A$200,0)))</f>
        <v>Female</v>
      </c>
      <c r="C78" s="28" t="str">
        <f>IF(A78="","",IF(AND(INDEX('Matching Engine'!F$2:F$200,MATCH(A78,'Matching Engine'!A$2:A$200,0))=0,INDEX('Matching Engine'!G$2:G$200,MATCH(A78,'Matching Engine'!A$2:A$200,0))=0,INDEX('Matching Engine'!H$2:H$200,MATCH(A78,'Matching Engine'!A$2:A$200,0))=0),"None",IF(INDEX('Matching Engine'!F$2:F$200,MATCH(A78,'Matching Engine'!A$2:A$200,0))=1,"♂ ","")&amp;IF(INDEX('Matching Engine'!G$2:G$200,MATCH(A78,'Matching Engine'!A$2:A$200,0))=1,"♀ ","")&amp;IF(INDEX('Matching Engine'!H$2:H$200,MATCH(A78,'Matching Engine'!A$2:A$200,0))=1,"⚧","")))</f>
        <v xml:space="preserve">♀ </v>
      </c>
      <c r="D78" s="28">
        <f>IF(A78="","",INDEX('Matching Engine'!L$2:L$200,MATCH(A78,'Matching Engine'!A$2:A$200,0)))</f>
        <v>6</v>
      </c>
      <c r="E78" s="28" t="str">
        <f t="shared" si="2"/>
        <v>13% — 6 of 48 compatible</v>
      </c>
    </row>
    <row r="79" spans="1:5" ht="14.25" customHeight="1" x14ac:dyDescent="0.35">
      <c r="A79" s="38" t="str">
        <f>IFERROR(INDEX('Matching Engine'!A$2:A$200,MATCH(ROW()-71,'Matching Engine'!M$2:M$200,0)),"")</f>
        <v>Athena</v>
      </c>
      <c r="B79" s="28" t="str">
        <f>IF(A79="","",INDEX('Matching Engine'!B$2:B$200,MATCH(A79,'Matching Engine'!A$2:A$200,0)))</f>
        <v>Female</v>
      </c>
      <c r="C79" s="28" t="str">
        <f>IF(A79="","",IF(AND(INDEX('Matching Engine'!F$2:F$200,MATCH(A79,'Matching Engine'!A$2:A$200,0))=0,INDEX('Matching Engine'!G$2:G$200,MATCH(A79,'Matching Engine'!A$2:A$200,0))=0,INDEX('Matching Engine'!H$2:H$200,MATCH(A79,'Matching Engine'!A$2:A$200,0))=0),"None",IF(INDEX('Matching Engine'!F$2:F$200,MATCH(A79,'Matching Engine'!A$2:A$200,0))=1,"♂ ","")&amp;IF(INDEX('Matching Engine'!G$2:G$200,MATCH(A79,'Matching Engine'!A$2:A$200,0))=1,"♀ ","")&amp;IF(INDEX('Matching Engine'!H$2:H$200,MATCH(A79,'Matching Engine'!A$2:A$200,0))=1,"⚧","")))</f>
        <v xml:space="preserve">♀ </v>
      </c>
      <c r="D79" s="28">
        <f>IF(A79="","",INDEX('Matching Engine'!L$2:L$200,MATCH(A79,'Matching Engine'!A$2:A$200,0)))</f>
        <v>6</v>
      </c>
      <c r="E79" s="28" t="str">
        <f t="shared" si="2"/>
        <v>13% — 6 of 48 compatible</v>
      </c>
    </row>
    <row r="80" spans="1:5" ht="14.25" customHeight="1" x14ac:dyDescent="0.35">
      <c r="A80" s="38" t="str">
        <f>IFERROR(INDEX('Matching Engine'!A$2:A$200,MATCH(ROW()-71,'Matching Engine'!M$2:M$200,0)),"")</f>
        <v>Demeter</v>
      </c>
      <c r="B80" s="28" t="str">
        <f>IF(A80="","",INDEX('Matching Engine'!B$2:B$200,MATCH(A80,'Matching Engine'!A$2:A$200,0)))</f>
        <v>Female</v>
      </c>
      <c r="C80" s="28" t="str">
        <f>IF(A80="","",IF(AND(INDEX('Matching Engine'!F$2:F$200,MATCH(A80,'Matching Engine'!A$2:A$200,0))=0,INDEX('Matching Engine'!G$2:G$200,MATCH(A80,'Matching Engine'!A$2:A$200,0))=0,INDEX('Matching Engine'!H$2:H$200,MATCH(A80,'Matching Engine'!A$2:A$200,0))=0),"None",IF(INDEX('Matching Engine'!F$2:F$200,MATCH(A80,'Matching Engine'!A$2:A$200,0))=1,"♂ ","")&amp;IF(INDEX('Matching Engine'!G$2:G$200,MATCH(A80,'Matching Engine'!A$2:A$200,0))=1,"♀ ","")&amp;IF(INDEX('Matching Engine'!H$2:H$200,MATCH(A80,'Matching Engine'!A$2:A$200,0))=1,"⚧","")))</f>
        <v>⚧</v>
      </c>
      <c r="D80" s="28">
        <f>IF(A80="","",INDEX('Matching Engine'!L$2:L$200,MATCH(A80,'Matching Engine'!A$2:A$200,0)))</f>
        <v>6</v>
      </c>
      <c r="E80" s="28" t="str">
        <f t="shared" si="2"/>
        <v>13% — 6 of 48 compatible</v>
      </c>
    </row>
    <row r="81" spans="1:5" ht="14.25" customHeight="1" x14ac:dyDescent="0.35">
      <c r="A81" s="38" t="str">
        <f>IFERROR(INDEX('Matching Engine'!A$2:A$200,MATCH(ROW()-71,'Matching Engine'!M$2:M$200,0)),"")</f>
        <v>Nyx</v>
      </c>
      <c r="B81" s="28" t="str">
        <f>IF(A81="","",INDEX('Matching Engine'!B$2:B$200,MATCH(A81,'Matching Engine'!A$2:A$200,0)))</f>
        <v>Female</v>
      </c>
      <c r="C81" s="28" t="str">
        <f>IF(A81="","",IF(AND(INDEX('Matching Engine'!F$2:F$200,MATCH(A81,'Matching Engine'!A$2:A$200,0))=0,INDEX('Matching Engine'!G$2:G$200,MATCH(A81,'Matching Engine'!A$2:A$200,0))=0,INDEX('Matching Engine'!H$2:H$200,MATCH(A81,'Matching Engine'!A$2:A$200,0))=0),"None",IF(INDEX('Matching Engine'!F$2:F$200,MATCH(A81,'Matching Engine'!A$2:A$200,0))=1,"♂ ","")&amp;IF(INDEX('Matching Engine'!G$2:G$200,MATCH(A81,'Matching Engine'!A$2:A$200,0))=1,"♀ ","")&amp;IF(INDEX('Matching Engine'!H$2:H$200,MATCH(A81,'Matching Engine'!A$2:A$200,0))=1,"⚧","")))</f>
        <v>⚧</v>
      </c>
      <c r="D81" s="28">
        <f>IF(A81="","",INDEX('Matching Engine'!L$2:L$200,MATCH(A81,'Matching Engine'!A$2:A$200,0)))</f>
        <v>6</v>
      </c>
      <c r="E81" s="28" t="str">
        <f t="shared" si="2"/>
        <v>13% — 6 of 48 compatible</v>
      </c>
    </row>
    <row r="82" spans="1:5" ht="14.25" customHeight="1" x14ac:dyDescent="0.35">
      <c r="A82" s="38" t="str">
        <f>IFERROR(INDEX('Matching Engine'!A$2:A$200,MATCH(ROW()-71,'Matching Engine'!M$2:M$200,0)),"")</f>
        <v>Phanes</v>
      </c>
      <c r="B82" s="28" t="str">
        <f>IF(A82="","",INDEX('Matching Engine'!B$2:B$200,MATCH(A82,'Matching Engine'!A$2:A$200,0)))</f>
        <v>Nonbinary</v>
      </c>
      <c r="C82" s="28" t="str">
        <f>IF(A82="","",IF(AND(INDEX('Matching Engine'!F$2:F$200,MATCH(A82,'Matching Engine'!A$2:A$200,0))=0,INDEX('Matching Engine'!G$2:G$200,MATCH(A82,'Matching Engine'!A$2:A$200,0))=0,INDEX('Matching Engine'!H$2:H$200,MATCH(A82,'Matching Engine'!A$2:A$200,0))=0),"None",IF(INDEX('Matching Engine'!F$2:F$200,MATCH(A82,'Matching Engine'!A$2:A$200,0))=1,"♂ ","")&amp;IF(INDEX('Matching Engine'!G$2:G$200,MATCH(A82,'Matching Engine'!A$2:A$200,0))=1,"♀ ","")&amp;IF(INDEX('Matching Engine'!H$2:H$200,MATCH(A82,'Matching Engine'!A$2:A$200,0))=1,"⚧","")))</f>
        <v>⚧</v>
      </c>
      <c r="D82" s="28">
        <f>IF(A82="","",INDEX('Matching Engine'!L$2:L$200,MATCH(A82,'Matching Engine'!A$2:A$200,0)))</f>
        <v>6</v>
      </c>
      <c r="E82" s="28" t="str">
        <f t="shared" si="2"/>
        <v>13% — 6 of 48 compatible</v>
      </c>
    </row>
    <row r="83" spans="1:5" ht="14.25" customHeight="1" x14ac:dyDescent="0.35">
      <c r="A83" s="38" t="str">
        <f>IFERROR(INDEX('Matching Engine'!A$2:A$200,MATCH(ROW()-71,'Matching Engine'!M$2:M$200,0)),"")</f>
        <v>Sappho</v>
      </c>
      <c r="B83" s="28" t="str">
        <f>IF(A83="","",INDEX('Matching Engine'!B$2:B$200,MATCH(A83,'Matching Engine'!A$2:A$200,0)))</f>
        <v>Female</v>
      </c>
      <c r="C83" s="28" t="str">
        <f>IF(A83="","",IF(AND(INDEX('Matching Engine'!F$2:F$200,MATCH(A83,'Matching Engine'!A$2:A$200,0))=0,INDEX('Matching Engine'!G$2:G$200,MATCH(A83,'Matching Engine'!A$2:A$200,0))=0,INDEX('Matching Engine'!H$2:H$200,MATCH(A83,'Matching Engine'!A$2:A$200,0))=0),"None",IF(INDEX('Matching Engine'!F$2:F$200,MATCH(A83,'Matching Engine'!A$2:A$200,0))=1,"♂ ","")&amp;IF(INDEX('Matching Engine'!G$2:G$200,MATCH(A83,'Matching Engine'!A$2:A$200,0))=1,"♀ ","")&amp;IF(INDEX('Matching Engine'!H$2:H$200,MATCH(A83,'Matching Engine'!A$2:A$200,0))=1,"⚧","")))</f>
        <v xml:space="preserve">♀ </v>
      </c>
      <c r="D83" s="28">
        <f>IF(A83="","",INDEX('Matching Engine'!L$2:L$200,MATCH(A83,'Matching Engine'!A$2:A$200,0)))</f>
        <v>6</v>
      </c>
      <c r="E83" s="28" t="str">
        <f t="shared" si="2"/>
        <v>13% — 6 of 48 compatible</v>
      </c>
    </row>
    <row r="84" spans="1:5" ht="14.25" customHeight="1" x14ac:dyDescent="0.35">
      <c r="A84" s="38" t="str">
        <f>IFERROR(INDEX('Matching Engine'!A$2:A$200,MATCH(ROW()-71,'Matching Engine'!M$2:M$200,0)),"")</f>
        <v>Tiresias</v>
      </c>
      <c r="B84" s="28" t="str">
        <f>IF(A84="","",INDEX('Matching Engine'!B$2:B$200,MATCH(A84,'Matching Engine'!A$2:A$200,0)))</f>
        <v>Nonbinary</v>
      </c>
      <c r="C84" s="28" t="str">
        <f>IF(A84="","",IF(AND(INDEX('Matching Engine'!F$2:F$200,MATCH(A84,'Matching Engine'!A$2:A$200,0))=0,INDEX('Matching Engine'!G$2:G$200,MATCH(A84,'Matching Engine'!A$2:A$200,0))=0,INDEX('Matching Engine'!H$2:H$200,MATCH(A84,'Matching Engine'!A$2:A$200,0))=0),"None",IF(INDEX('Matching Engine'!F$2:F$200,MATCH(A84,'Matching Engine'!A$2:A$200,0))=1,"♂ ","")&amp;IF(INDEX('Matching Engine'!G$2:G$200,MATCH(A84,'Matching Engine'!A$2:A$200,0))=1,"♀ ","")&amp;IF(INDEX('Matching Engine'!H$2:H$200,MATCH(A84,'Matching Engine'!A$2:A$200,0))=1,"⚧","")))</f>
        <v>⚧</v>
      </c>
      <c r="D84" s="28">
        <f>IF(A84="","",INDEX('Matching Engine'!L$2:L$200,MATCH(A84,'Matching Engine'!A$2:A$200,0)))</f>
        <v>6</v>
      </c>
      <c r="E84" s="28" t="str">
        <f t="shared" si="2"/>
        <v>13% — 6 of 48 compatible</v>
      </c>
    </row>
    <row r="85" spans="1:5" ht="14.25" customHeight="1" x14ac:dyDescent="0.35">
      <c r="A85" s="38" t="str">
        <f>IFERROR(INDEX('Matching Engine'!A$2:A$200,MATCH(ROW()-71,'Matching Engine'!M$2:M$200,0)),"")</f>
        <v>Vertumnus</v>
      </c>
      <c r="B85" s="28" t="str">
        <f>IF(A85="","",INDEX('Matching Engine'!B$2:B$200,MATCH(A85,'Matching Engine'!A$2:A$200,0)))</f>
        <v>Nonbinary</v>
      </c>
      <c r="C85" s="28" t="str">
        <f>IF(A85="","",IF(AND(INDEX('Matching Engine'!F$2:F$200,MATCH(A85,'Matching Engine'!A$2:A$200,0))=0,INDEX('Matching Engine'!G$2:G$200,MATCH(A85,'Matching Engine'!A$2:A$200,0))=0,INDEX('Matching Engine'!H$2:H$200,MATCH(A85,'Matching Engine'!A$2:A$200,0))=0),"None",IF(INDEX('Matching Engine'!F$2:F$200,MATCH(A85,'Matching Engine'!A$2:A$200,0))=1,"♂ ","")&amp;IF(INDEX('Matching Engine'!G$2:G$200,MATCH(A85,'Matching Engine'!A$2:A$200,0))=1,"♀ ","")&amp;IF(INDEX('Matching Engine'!H$2:H$200,MATCH(A85,'Matching Engine'!A$2:A$200,0))=1,"⚧","")))</f>
        <v xml:space="preserve">♂ </v>
      </c>
      <c r="D85" s="28">
        <f>IF(A85="","",INDEX('Matching Engine'!L$2:L$200,MATCH(A85,'Matching Engine'!A$2:A$200,0)))</f>
        <v>6</v>
      </c>
      <c r="E85" s="28" t="str">
        <f t="shared" si="2"/>
        <v>13% — 6 of 48 compatible</v>
      </c>
    </row>
    <row r="86" spans="1:5" ht="14.25" customHeight="1" x14ac:dyDescent="0.35">
      <c r="A86" s="38" t="str">
        <f>IFERROR(INDEX('Matching Engine'!A$2:A$200,MATCH(ROW()-71,'Matching Engine'!M$2:M$200,0)),"")</f>
        <v>Ares</v>
      </c>
      <c r="B86" s="28" t="str">
        <f>IF(A86="","",INDEX('Matching Engine'!B$2:B$200,MATCH(A86,'Matching Engine'!A$2:A$200,0)))</f>
        <v>Male</v>
      </c>
      <c r="C86" s="28" t="str">
        <f>IF(A86="","",IF(AND(INDEX('Matching Engine'!F$2:F$200,MATCH(A86,'Matching Engine'!A$2:A$200,0))=0,INDEX('Matching Engine'!G$2:G$200,MATCH(A86,'Matching Engine'!A$2:A$200,0))=0,INDEX('Matching Engine'!H$2:H$200,MATCH(A86,'Matching Engine'!A$2:A$200,0))=0),"None",IF(INDEX('Matching Engine'!F$2:F$200,MATCH(A86,'Matching Engine'!A$2:A$200,0))=1,"♂ ","")&amp;IF(INDEX('Matching Engine'!G$2:G$200,MATCH(A86,'Matching Engine'!A$2:A$200,0))=1,"♀ ","")&amp;IF(INDEX('Matching Engine'!H$2:H$200,MATCH(A86,'Matching Engine'!A$2:A$200,0))=1,"⚧","")))</f>
        <v xml:space="preserve">♀ </v>
      </c>
      <c r="D86" s="28">
        <f>IF(A86="","",INDEX('Matching Engine'!L$2:L$200,MATCH(A86,'Matching Engine'!A$2:A$200,0)))</f>
        <v>8</v>
      </c>
      <c r="E86" s="28" t="str">
        <f t="shared" si="2"/>
        <v>17% — 8 of 48 compatible</v>
      </c>
    </row>
    <row r="87" spans="1:5" ht="14.25" customHeight="1" x14ac:dyDescent="0.35">
      <c r="A87" s="38" t="str">
        <f>IFERROR(INDEX('Matching Engine'!A$2:A$200,MATCH(ROW()-71,'Matching Engine'!M$2:M$200,0)),"")</f>
        <v>Hades</v>
      </c>
      <c r="B87" s="28" t="str">
        <f>IF(A87="","",INDEX('Matching Engine'!B$2:B$200,MATCH(A87,'Matching Engine'!A$2:A$200,0)))</f>
        <v>Male</v>
      </c>
      <c r="C87" s="28" t="str">
        <f>IF(A87="","",IF(AND(INDEX('Matching Engine'!F$2:F$200,MATCH(A87,'Matching Engine'!A$2:A$200,0))=0,INDEX('Matching Engine'!G$2:G$200,MATCH(A87,'Matching Engine'!A$2:A$200,0))=0,INDEX('Matching Engine'!H$2:H$200,MATCH(A87,'Matching Engine'!A$2:A$200,0))=0),"None",IF(INDEX('Matching Engine'!F$2:F$200,MATCH(A87,'Matching Engine'!A$2:A$200,0))=1,"♂ ","")&amp;IF(INDEX('Matching Engine'!G$2:G$200,MATCH(A87,'Matching Engine'!A$2:A$200,0))=1,"♀ ","")&amp;IF(INDEX('Matching Engine'!H$2:H$200,MATCH(A87,'Matching Engine'!A$2:A$200,0))=1,"⚧","")))</f>
        <v xml:space="preserve">♀ </v>
      </c>
      <c r="D87" s="28">
        <f>IF(A87="","",INDEX('Matching Engine'!L$2:L$200,MATCH(A87,'Matching Engine'!A$2:A$200,0)))</f>
        <v>8</v>
      </c>
      <c r="E87" s="28" t="str">
        <f t="shared" si="2"/>
        <v>17% — 8 of 48 compatible</v>
      </c>
    </row>
    <row r="88" spans="1:5" ht="14.25" customHeight="1" x14ac:dyDescent="0.35">
      <c r="A88" s="38" t="str">
        <f>IFERROR(INDEX('Matching Engine'!A$2:A$200,MATCH(ROW()-71,'Matching Engine'!M$2:M$200,0)),"")</f>
        <v>Orpheus</v>
      </c>
      <c r="B88" s="28" t="str">
        <f>IF(A88="","",INDEX('Matching Engine'!B$2:B$200,MATCH(A88,'Matching Engine'!A$2:A$200,0)))</f>
        <v>Male</v>
      </c>
      <c r="C88" s="28" t="str">
        <f>IF(A88="","",IF(AND(INDEX('Matching Engine'!F$2:F$200,MATCH(A88,'Matching Engine'!A$2:A$200,0))=0,INDEX('Matching Engine'!G$2:G$200,MATCH(A88,'Matching Engine'!A$2:A$200,0))=0,INDEX('Matching Engine'!H$2:H$200,MATCH(A88,'Matching Engine'!A$2:A$200,0))=0),"None",IF(INDEX('Matching Engine'!F$2:F$200,MATCH(A88,'Matching Engine'!A$2:A$200,0))=1,"♂ ","")&amp;IF(INDEX('Matching Engine'!G$2:G$200,MATCH(A88,'Matching Engine'!A$2:A$200,0))=1,"♀ ","")&amp;IF(INDEX('Matching Engine'!H$2:H$200,MATCH(A88,'Matching Engine'!A$2:A$200,0))=1,"⚧","")))</f>
        <v xml:space="preserve">♀ </v>
      </c>
      <c r="D88" s="28">
        <f>IF(A88="","",INDEX('Matching Engine'!L$2:L$200,MATCH(A88,'Matching Engine'!A$2:A$200,0)))</f>
        <v>8</v>
      </c>
      <c r="E88" s="28" t="str">
        <f t="shared" si="2"/>
        <v>17% — 8 of 48 compatible</v>
      </c>
    </row>
    <row r="89" spans="1:5" ht="14.25" customHeight="1" x14ac:dyDescent="0.35">
      <c r="A89" s="38" t="str">
        <f>IFERROR(INDEX('Matching Engine'!A$2:A$200,MATCH(ROW()-71,'Matching Engine'!M$2:M$200,0)),"")</f>
        <v>Paris</v>
      </c>
      <c r="B89" s="28" t="str">
        <f>IF(A89="","",INDEX('Matching Engine'!B$2:B$200,MATCH(A89,'Matching Engine'!A$2:A$200,0)))</f>
        <v>Male</v>
      </c>
      <c r="C89" s="28" t="str">
        <f>IF(A89="","",IF(AND(INDEX('Matching Engine'!F$2:F$200,MATCH(A89,'Matching Engine'!A$2:A$200,0))=0,INDEX('Matching Engine'!G$2:G$200,MATCH(A89,'Matching Engine'!A$2:A$200,0))=0,INDEX('Matching Engine'!H$2:H$200,MATCH(A89,'Matching Engine'!A$2:A$200,0))=0),"None",IF(INDEX('Matching Engine'!F$2:F$200,MATCH(A89,'Matching Engine'!A$2:A$200,0))=1,"♂ ","")&amp;IF(INDEX('Matching Engine'!G$2:G$200,MATCH(A89,'Matching Engine'!A$2:A$200,0))=1,"♀ ","")&amp;IF(INDEX('Matching Engine'!H$2:H$200,MATCH(A89,'Matching Engine'!A$2:A$200,0))=1,"⚧","")))</f>
        <v xml:space="preserve">♀ </v>
      </c>
      <c r="D89" s="28">
        <f>IF(A89="","",INDEX('Matching Engine'!L$2:L$200,MATCH(A89,'Matching Engine'!A$2:A$200,0)))</f>
        <v>8</v>
      </c>
      <c r="E89" s="28" t="str">
        <f t="shared" si="2"/>
        <v>17% — 8 of 48 compatible</v>
      </c>
    </row>
    <row r="90" spans="1:5" ht="14.25" customHeight="1" x14ac:dyDescent="0.35">
      <c r="A90" s="38" t="str">
        <f>IFERROR(INDEX('Matching Engine'!A$2:A$200,MATCH(ROW()-71,'Matching Engine'!M$2:M$200,0)),"")</f>
        <v>Poseidon</v>
      </c>
      <c r="B90" s="28" t="str">
        <f>IF(A90="","",INDEX('Matching Engine'!B$2:B$200,MATCH(A90,'Matching Engine'!A$2:A$200,0)))</f>
        <v>Male</v>
      </c>
      <c r="C90" s="28" t="str">
        <f>IF(A90="","",IF(AND(INDEX('Matching Engine'!F$2:F$200,MATCH(A90,'Matching Engine'!A$2:A$200,0))=0,INDEX('Matching Engine'!G$2:G$200,MATCH(A90,'Matching Engine'!A$2:A$200,0))=0,INDEX('Matching Engine'!H$2:H$200,MATCH(A90,'Matching Engine'!A$2:A$200,0))=0),"None",IF(INDEX('Matching Engine'!F$2:F$200,MATCH(A90,'Matching Engine'!A$2:A$200,0))=1,"♂ ","")&amp;IF(INDEX('Matching Engine'!G$2:G$200,MATCH(A90,'Matching Engine'!A$2:A$200,0))=1,"♀ ","")&amp;IF(INDEX('Matching Engine'!H$2:H$200,MATCH(A90,'Matching Engine'!A$2:A$200,0))=1,"⚧","")))</f>
        <v xml:space="preserve">♀ </v>
      </c>
      <c r="D90" s="28">
        <f>IF(A90="","",INDEX('Matching Engine'!L$2:L$200,MATCH(A90,'Matching Engine'!A$2:A$200,0)))</f>
        <v>8</v>
      </c>
      <c r="E90" s="28" t="str">
        <f t="shared" si="2"/>
        <v>17% — 8 of 48 compatible</v>
      </c>
    </row>
    <row r="91" spans="1:5" ht="14.25" customHeight="1" x14ac:dyDescent="0.35">
      <c r="A91" s="38" t="str">
        <f>IFERROR(INDEX('Matching Engine'!A$2:A$200,MATCH(ROW()-71,'Matching Engine'!M$2:M$200,0)),"")</f>
        <v>Zeus</v>
      </c>
      <c r="B91" s="28" t="str">
        <f>IF(A91="","",INDEX('Matching Engine'!B$2:B$200,MATCH(A91,'Matching Engine'!A$2:A$200,0)))</f>
        <v>Male</v>
      </c>
      <c r="C91" s="28" t="str">
        <f>IF(A91="","",IF(AND(INDEX('Matching Engine'!F$2:F$200,MATCH(A91,'Matching Engine'!A$2:A$200,0))=0,INDEX('Matching Engine'!G$2:G$200,MATCH(A91,'Matching Engine'!A$2:A$200,0))=0,INDEX('Matching Engine'!H$2:H$200,MATCH(A91,'Matching Engine'!A$2:A$200,0))=0),"None",IF(INDEX('Matching Engine'!F$2:F$200,MATCH(A91,'Matching Engine'!A$2:A$200,0))=1,"♂ ","")&amp;IF(INDEX('Matching Engine'!G$2:G$200,MATCH(A91,'Matching Engine'!A$2:A$200,0))=1,"♀ ","")&amp;IF(INDEX('Matching Engine'!H$2:H$200,MATCH(A91,'Matching Engine'!A$2:A$200,0))=1,"⚧","")))</f>
        <v xml:space="preserve">♀ </v>
      </c>
      <c r="D91" s="28">
        <f>IF(A91="","",INDEX('Matching Engine'!L$2:L$200,MATCH(A91,'Matching Engine'!A$2:A$200,0)))</f>
        <v>8</v>
      </c>
      <c r="E91" s="28" t="str">
        <f t="shared" si="2"/>
        <v>17% — 8 of 48 compatible</v>
      </c>
    </row>
    <row r="92" spans="1:5" ht="14.25" customHeight="1" x14ac:dyDescent="0.35">
      <c r="A92" s="38" t="str">
        <f>IFERROR(INDEX('Matching Engine'!A$2:A$200,MATCH(ROW()-71,'Matching Engine'!M$2:M$200,0)),"")</f>
        <v>Achilles</v>
      </c>
      <c r="B92" s="28" t="str">
        <f>IF(A92="","",INDEX('Matching Engine'!B$2:B$200,MATCH(A92,'Matching Engine'!A$2:A$200,0)))</f>
        <v>Male</v>
      </c>
      <c r="C92" s="28" t="str">
        <f>IF(A92="","",IF(AND(INDEX('Matching Engine'!F$2:F$200,MATCH(A92,'Matching Engine'!A$2:A$200,0))=0,INDEX('Matching Engine'!G$2:G$200,MATCH(A92,'Matching Engine'!A$2:A$200,0))=0,INDEX('Matching Engine'!H$2:H$200,MATCH(A92,'Matching Engine'!A$2:A$200,0))=0),"None",IF(INDEX('Matching Engine'!F$2:F$200,MATCH(A92,'Matching Engine'!A$2:A$200,0))=1,"♂ ","")&amp;IF(INDEX('Matching Engine'!G$2:G$200,MATCH(A92,'Matching Engine'!A$2:A$200,0))=1,"♀ ","")&amp;IF(INDEX('Matching Engine'!H$2:H$200,MATCH(A92,'Matching Engine'!A$2:A$200,0))=1,"⚧","")))</f>
        <v xml:space="preserve">♂ </v>
      </c>
      <c r="D92" s="28">
        <f>IF(A92="","",INDEX('Matching Engine'!L$2:L$200,MATCH(A92,'Matching Engine'!A$2:A$200,0)))</f>
        <v>11</v>
      </c>
      <c r="E92" s="28" t="str">
        <f t="shared" si="2"/>
        <v>23% — 11 of 48 compatible</v>
      </c>
    </row>
    <row r="93" spans="1:5" ht="14.25" customHeight="1" x14ac:dyDescent="0.35">
      <c r="A93" s="38" t="str">
        <f>IFERROR(INDEX('Matching Engine'!A$2:A$200,MATCH(ROW()-71,'Matching Engine'!M$2:M$200,0)),"")</f>
        <v>Alexander</v>
      </c>
      <c r="B93" s="28" t="str">
        <f>IF(A93="","",INDEX('Matching Engine'!B$2:B$200,MATCH(A93,'Matching Engine'!A$2:A$200,0)))</f>
        <v>Male</v>
      </c>
      <c r="C93" s="28" t="str">
        <f>IF(A93="","",IF(AND(INDEX('Matching Engine'!F$2:F$200,MATCH(A93,'Matching Engine'!A$2:A$200,0))=0,INDEX('Matching Engine'!G$2:G$200,MATCH(A93,'Matching Engine'!A$2:A$200,0))=0,INDEX('Matching Engine'!H$2:H$200,MATCH(A93,'Matching Engine'!A$2:A$200,0))=0),"None",IF(INDEX('Matching Engine'!F$2:F$200,MATCH(A93,'Matching Engine'!A$2:A$200,0))=1,"♂ ","")&amp;IF(INDEX('Matching Engine'!G$2:G$200,MATCH(A93,'Matching Engine'!A$2:A$200,0))=1,"♀ ","")&amp;IF(INDEX('Matching Engine'!H$2:H$200,MATCH(A93,'Matching Engine'!A$2:A$200,0))=1,"⚧","")))</f>
        <v xml:space="preserve">♂ </v>
      </c>
      <c r="D93" s="28">
        <f>IF(A93="","",INDEX('Matching Engine'!L$2:L$200,MATCH(A93,'Matching Engine'!A$2:A$200,0)))</f>
        <v>11</v>
      </c>
      <c r="E93" s="28" t="str">
        <f t="shared" si="2"/>
        <v>23% — 11 of 48 compatible</v>
      </c>
    </row>
    <row r="94" spans="1:5" ht="14.25" customHeight="1" x14ac:dyDescent="0.35">
      <c r="A94" s="38" t="str">
        <f>IFERROR(INDEX('Matching Engine'!A$2:A$200,MATCH(ROW()-71,'Matching Engine'!M$2:M$200,0)),"")</f>
        <v>Antinous</v>
      </c>
      <c r="B94" s="28" t="str">
        <f>IF(A94="","",INDEX('Matching Engine'!B$2:B$200,MATCH(A94,'Matching Engine'!A$2:A$200,0)))</f>
        <v>Male</v>
      </c>
      <c r="C94" s="28" t="str">
        <f>IF(A94="","",IF(AND(INDEX('Matching Engine'!F$2:F$200,MATCH(A94,'Matching Engine'!A$2:A$200,0))=0,INDEX('Matching Engine'!G$2:G$200,MATCH(A94,'Matching Engine'!A$2:A$200,0))=0,INDEX('Matching Engine'!H$2:H$200,MATCH(A94,'Matching Engine'!A$2:A$200,0))=0),"None",IF(INDEX('Matching Engine'!F$2:F$200,MATCH(A94,'Matching Engine'!A$2:A$200,0))=1,"♂ ","")&amp;IF(INDEX('Matching Engine'!G$2:G$200,MATCH(A94,'Matching Engine'!A$2:A$200,0))=1,"♀ ","")&amp;IF(INDEX('Matching Engine'!H$2:H$200,MATCH(A94,'Matching Engine'!A$2:A$200,0))=1,"⚧","")))</f>
        <v xml:space="preserve">♂ </v>
      </c>
      <c r="D94" s="28">
        <f>IF(A94="","",INDEX('Matching Engine'!L$2:L$200,MATCH(A94,'Matching Engine'!A$2:A$200,0)))</f>
        <v>11</v>
      </c>
      <c r="E94" s="28" t="str">
        <f t="shared" si="2"/>
        <v>23% — 11 of 48 compatible</v>
      </c>
    </row>
    <row r="95" spans="1:5" ht="14.25" customHeight="1" x14ac:dyDescent="0.35">
      <c r="A95" s="38" t="str">
        <f>IFERROR(INDEX('Matching Engine'!A$2:A$200,MATCH(ROW()-71,'Matching Engine'!M$2:M$200,0)),"")</f>
        <v>Aphrodite</v>
      </c>
      <c r="B95" s="28" t="str">
        <f>IF(A95="","",INDEX('Matching Engine'!B$2:B$200,MATCH(A95,'Matching Engine'!A$2:A$200,0)))</f>
        <v>Female</v>
      </c>
      <c r="C95" s="28" t="str">
        <f>IF(A95="","",IF(AND(INDEX('Matching Engine'!F$2:F$200,MATCH(A95,'Matching Engine'!A$2:A$200,0))=0,INDEX('Matching Engine'!G$2:G$200,MATCH(A95,'Matching Engine'!A$2:A$200,0))=0,INDEX('Matching Engine'!H$2:H$200,MATCH(A95,'Matching Engine'!A$2:A$200,0))=0),"None",IF(INDEX('Matching Engine'!F$2:F$200,MATCH(A95,'Matching Engine'!A$2:A$200,0))=1,"♂ ","")&amp;IF(INDEX('Matching Engine'!G$2:G$200,MATCH(A95,'Matching Engine'!A$2:A$200,0))=1,"♀ ","")&amp;IF(INDEX('Matching Engine'!H$2:H$200,MATCH(A95,'Matching Engine'!A$2:A$200,0))=1,"⚧","")))</f>
        <v xml:space="preserve">♂ </v>
      </c>
      <c r="D95" s="28">
        <f>IF(A95="","",INDEX('Matching Engine'!L$2:L$200,MATCH(A95,'Matching Engine'!A$2:A$200,0)))</f>
        <v>11</v>
      </c>
      <c r="E95" s="28" t="str">
        <f t="shared" si="2"/>
        <v>23% — 11 of 48 compatible</v>
      </c>
    </row>
    <row r="96" spans="1:5" ht="14.25" customHeight="1" x14ac:dyDescent="0.35">
      <c r="A96" s="38" t="str">
        <f>IFERROR(INDEX('Matching Engine'!A$2:A$200,MATCH(ROW()-71,'Matching Engine'!M$2:M$200,0)),"")</f>
        <v>Apollo</v>
      </c>
      <c r="B96" s="28" t="str">
        <f>IF(A96="","",INDEX('Matching Engine'!B$2:B$200,MATCH(A96,'Matching Engine'!A$2:A$200,0)))</f>
        <v>Male</v>
      </c>
      <c r="C96" s="28" t="str">
        <f>IF(A96="","",IF(AND(INDEX('Matching Engine'!F$2:F$200,MATCH(A96,'Matching Engine'!A$2:A$200,0))=0,INDEX('Matching Engine'!G$2:G$200,MATCH(A96,'Matching Engine'!A$2:A$200,0))=0,INDEX('Matching Engine'!H$2:H$200,MATCH(A96,'Matching Engine'!A$2:A$200,0))=0),"None",IF(INDEX('Matching Engine'!F$2:F$200,MATCH(A96,'Matching Engine'!A$2:A$200,0))=1,"♂ ","")&amp;IF(INDEX('Matching Engine'!G$2:G$200,MATCH(A96,'Matching Engine'!A$2:A$200,0))=1,"♀ ","")&amp;IF(INDEX('Matching Engine'!H$2:H$200,MATCH(A96,'Matching Engine'!A$2:A$200,0))=1,"⚧","")))</f>
        <v xml:space="preserve">♂ </v>
      </c>
      <c r="D96" s="28">
        <f>IF(A96="","",INDEX('Matching Engine'!L$2:L$200,MATCH(A96,'Matching Engine'!A$2:A$200,0)))</f>
        <v>11</v>
      </c>
      <c r="E96" s="28" t="str">
        <f t="shared" si="2"/>
        <v>23% — 11 of 48 compatible</v>
      </c>
    </row>
    <row r="97" spans="1:5" ht="14.25" customHeight="1" x14ac:dyDescent="0.35">
      <c r="A97" s="38" t="str">
        <f>IFERROR(INDEX('Matching Engine'!A$2:A$200,MATCH(ROW()-71,'Matching Engine'!M$2:M$200,0)),"")</f>
        <v>Ganymede</v>
      </c>
      <c r="B97" s="28" t="str">
        <f>IF(A97="","",INDEX('Matching Engine'!B$2:B$200,MATCH(A97,'Matching Engine'!A$2:A$200,0)))</f>
        <v>Male</v>
      </c>
      <c r="C97" s="28" t="str">
        <f>IF(A97="","",IF(AND(INDEX('Matching Engine'!F$2:F$200,MATCH(A97,'Matching Engine'!A$2:A$200,0))=0,INDEX('Matching Engine'!G$2:G$200,MATCH(A97,'Matching Engine'!A$2:A$200,0))=0,INDEX('Matching Engine'!H$2:H$200,MATCH(A97,'Matching Engine'!A$2:A$200,0))=0),"None",IF(INDEX('Matching Engine'!F$2:F$200,MATCH(A97,'Matching Engine'!A$2:A$200,0))=1,"♂ ","")&amp;IF(INDEX('Matching Engine'!G$2:G$200,MATCH(A97,'Matching Engine'!A$2:A$200,0))=1,"♀ ","")&amp;IF(INDEX('Matching Engine'!H$2:H$200,MATCH(A97,'Matching Engine'!A$2:A$200,0))=1,"⚧","")))</f>
        <v xml:space="preserve">♂ </v>
      </c>
      <c r="D97" s="28">
        <f>IF(A97="","",INDEX('Matching Engine'!L$2:L$200,MATCH(A97,'Matching Engine'!A$2:A$200,0)))</f>
        <v>11</v>
      </c>
      <c r="E97" s="28" t="str">
        <f t="shared" si="2"/>
        <v>23% — 11 of 48 compatible</v>
      </c>
    </row>
    <row r="98" spans="1:5" ht="14.25" customHeight="1" x14ac:dyDescent="0.35">
      <c r="A98" s="38" t="str">
        <f>IFERROR(INDEX('Matching Engine'!A$2:A$200,MATCH(ROW()-71,'Matching Engine'!M$2:M$200,0)),"")</f>
        <v>Helen</v>
      </c>
      <c r="B98" s="28" t="str">
        <f>IF(A98="","",INDEX('Matching Engine'!B$2:B$200,MATCH(A98,'Matching Engine'!A$2:A$200,0)))</f>
        <v>Female</v>
      </c>
      <c r="C98" s="28" t="str">
        <f>IF(A98="","",IF(AND(INDEX('Matching Engine'!F$2:F$200,MATCH(A98,'Matching Engine'!A$2:A$200,0))=0,INDEX('Matching Engine'!G$2:G$200,MATCH(A98,'Matching Engine'!A$2:A$200,0))=0,INDEX('Matching Engine'!H$2:H$200,MATCH(A98,'Matching Engine'!A$2:A$200,0))=0),"None",IF(INDEX('Matching Engine'!F$2:F$200,MATCH(A98,'Matching Engine'!A$2:A$200,0))=1,"♂ ","")&amp;IF(INDEX('Matching Engine'!G$2:G$200,MATCH(A98,'Matching Engine'!A$2:A$200,0))=1,"♀ ","")&amp;IF(INDEX('Matching Engine'!H$2:H$200,MATCH(A98,'Matching Engine'!A$2:A$200,0))=1,"⚧","")))</f>
        <v xml:space="preserve">♂ </v>
      </c>
      <c r="D98" s="28">
        <f>IF(A98="","",INDEX('Matching Engine'!L$2:L$200,MATCH(A98,'Matching Engine'!A$2:A$200,0)))</f>
        <v>11</v>
      </c>
      <c r="E98" s="28" t="str">
        <f t="shared" si="2"/>
        <v>23% — 11 of 48 compatible</v>
      </c>
    </row>
    <row r="99" spans="1:5" ht="14.25" customHeight="1" x14ac:dyDescent="0.35">
      <c r="A99" s="38" t="str">
        <f>IFERROR(INDEX('Matching Engine'!A$2:A$200,MATCH(ROW()-71,'Matching Engine'!M$2:M$200,0)),"")</f>
        <v>Hephaestion</v>
      </c>
      <c r="B99" s="28" t="str">
        <f>IF(A99="","",INDEX('Matching Engine'!B$2:B$200,MATCH(A99,'Matching Engine'!A$2:A$200,0)))</f>
        <v>Male</v>
      </c>
      <c r="C99" s="28" t="str">
        <f>IF(A99="","",IF(AND(INDEX('Matching Engine'!F$2:F$200,MATCH(A99,'Matching Engine'!A$2:A$200,0))=0,INDEX('Matching Engine'!G$2:G$200,MATCH(A99,'Matching Engine'!A$2:A$200,0))=0,INDEX('Matching Engine'!H$2:H$200,MATCH(A99,'Matching Engine'!A$2:A$200,0))=0),"None",IF(INDEX('Matching Engine'!F$2:F$200,MATCH(A99,'Matching Engine'!A$2:A$200,0))=1,"♂ ","")&amp;IF(INDEX('Matching Engine'!G$2:G$200,MATCH(A99,'Matching Engine'!A$2:A$200,0))=1,"♀ ","")&amp;IF(INDEX('Matching Engine'!H$2:H$200,MATCH(A99,'Matching Engine'!A$2:A$200,0))=1,"⚧","")))</f>
        <v xml:space="preserve">♂ </v>
      </c>
      <c r="D99" s="28">
        <f>IF(A99="","",INDEX('Matching Engine'!L$2:L$200,MATCH(A99,'Matching Engine'!A$2:A$200,0)))</f>
        <v>11</v>
      </c>
      <c r="E99" s="28" t="str">
        <f t="shared" si="2"/>
        <v>23% — 11 of 48 compatible</v>
      </c>
    </row>
    <row r="100" spans="1:5" ht="14.25" customHeight="1" x14ac:dyDescent="0.35">
      <c r="A100" s="38" t="str">
        <f>IFERROR(INDEX('Matching Engine'!A$2:A$200,MATCH(ROW()-71,'Matching Engine'!M$2:M$200,0)),"")</f>
        <v>Hyacinth</v>
      </c>
      <c r="B100" s="28" t="str">
        <f>IF(A100="","",INDEX('Matching Engine'!B$2:B$200,MATCH(A100,'Matching Engine'!A$2:A$200,0)))</f>
        <v>Male</v>
      </c>
      <c r="C100" s="28" t="str">
        <f>IF(A100="","",IF(AND(INDEX('Matching Engine'!F$2:F$200,MATCH(A100,'Matching Engine'!A$2:A$200,0))=0,INDEX('Matching Engine'!G$2:G$200,MATCH(A100,'Matching Engine'!A$2:A$200,0))=0,INDEX('Matching Engine'!H$2:H$200,MATCH(A100,'Matching Engine'!A$2:A$200,0))=0),"None",IF(INDEX('Matching Engine'!F$2:F$200,MATCH(A100,'Matching Engine'!A$2:A$200,0))=1,"♂ ","")&amp;IF(INDEX('Matching Engine'!G$2:G$200,MATCH(A100,'Matching Engine'!A$2:A$200,0))=1,"♀ ","")&amp;IF(INDEX('Matching Engine'!H$2:H$200,MATCH(A100,'Matching Engine'!A$2:A$200,0))=1,"⚧","")))</f>
        <v xml:space="preserve">♂ </v>
      </c>
      <c r="D100" s="28">
        <f>IF(A100="","",INDEX('Matching Engine'!L$2:L$200,MATCH(A100,'Matching Engine'!A$2:A$200,0)))</f>
        <v>11</v>
      </c>
      <c r="E100" s="28" t="str">
        <f t="shared" si="2"/>
        <v>23% — 11 of 48 compatible</v>
      </c>
    </row>
    <row r="101" spans="1:5" ht="14.25" customHeight="1" x14ac:dyDescent="0.35">
      <c r="A101" s="38" t="str">
        <f>IFERROR(INDEX('Matching Engine'!A$2:A$200,MATCH(ROW()-71,'Matching Engine'!M$2:M$200,0)),"")</f>
        <v>Patroclus</v>
      </c>
      <c r="B101" s="28" t="str">
        <f>IF(A101="","",INDEX('Matching Engine'!B$2:B$200,MATCH(A101,'Matching Engine'!A$2:A$200,0)))</f>
        <v>Male</v>
      </c>
      <c r="C101" s="28" t="str">
        <f>IF(A101="","",IF(AND(INDEX('Matching Engine'!F$2:F$200,MATCH(A101,'Matching Engine'!A$2:A$200,0))=0,INDEX('Matching Engine'!G$2:G$200,MATCH(A101,'Matching Engine'!A$2:A$200,0))=0,INDEX('Matching Engine'!H$2:H$200,MATCH(A101,'Matching Engine'!A$2:A$200,0))=0),"None",IF(INDEX('Matching Engine'!F$2:F$200,MATCH(A101,'Matching Engine'!A$2:A$200,0))=1,"♂ ","")&amp;IF(INDEX('Matching Engine'!G$2:G$200,MATCH(A101,'Matching Engine'!A$2:A$200,0))=1,"♀ ","")&amp;IF(INDEX('Matching Engine'!H$2:H$200,MATCH(A101,'Matching Engine'!A$2:A$200,0))=1,"⚧","")))</f>
        <v xml:space="preserve">♂ </v>
      </c>
      <c r="D101" s="28">
        <f>IF(A101="","",INDEX('Matching Engine'!L$2:L$200,MATCH(A101,'Matching Engine'!A$2:A$200,0)))</f>
        <v>11</v>
      </c>
      <c r="E101" s="28" t="str">
        <f t="shared" si="2"/>
        <v>23% — 11 of 48 compatible</v>
      </c>
    </row>
    <row r="102" spans="1:5" ht="14.25" customHeight="1" x14ac:dyDescent="0.35">
      <c r="A102" s="38" t="str">
        <f>IFERROR(INDEX('Matching Engine'!A$2:A$200,MATCH(ROW()-71,'Matching Engine'!M$2:M$200,0)),"")</f>
        <v>Penelope</v>
      </c>
      <c r="B102" s="28" t="str">
        <f>IF(A102="","",INDEX('Matching Engine'!B$2:B$200,MATCH(A102,'Matching Engine'!A$2:A$200,0)))</f>
        <v>Female</v>
      </c>
      <c r="C102" s="28" t="str">
        <f>IF(A102="","",IF(AND(INDEX('Matching Engine'!F$2:F$200,MATCH(A102,'Matching Engine'!A$2:A$200,0))=0,INDEX('Matching Engine'!G$2:G$200,MATCH(A102,'Matching Engine'!A$2:A$200,0))=0,INDEX('Matching Engine'!H$2:H$200,MATCH(A102,'Matching Engine'!A$2:A$200,0))=0),"None",IF(INDEX('Matching Engine'!F$2:F$200,MATCH(A102,'Matching Engine'!A$2:A$200,0))=1,"♂ ","")&amp;IF(INDEX('Matching Engine'!G$2:G$200,MATCH(A102,'Matching Engine'!A$2:A$200,0))=1,"♀ ","")&amp;IF(INDEX('Matching Engine'!H$2:H$200,MATCH(A102,'Matching Engine'!A$2:A$200,0))=1,"⚧","")))</f>
        <v xml:space="preserve">♂ </v>
      </c>
      <c r="D102" s="28">
        <f>IF(A102="","",INDEX('Matching Engine'!L$2:L$200,MATCH(A102,'Matching Engine'!A$2:A$200,0)))</f>
        <v>11</v>
      </c>
      <c r="E102" s="28" t="str">
        <f t="shared" si="2"/>
        <v>23% — 11 of 48 compatible</v>
      </c>
    </row>
    <row r="103" spans="1:5" ht="14.25" customHeight="1" x14ac:dyDescent="0.35">
      <c r="A103" s="38" t="str">
        <f>IFERROR(INDEX('Matching Engine'!A$2:A$200,MATCH(ROW()-71,'Matching Engine'!M$2:M$200,0)),"")</f>
        <v>Persephone</v>
      </c>
      <c r="B103" s="28" t="str">
        <f>IF(A103="","",INDEX('Matching Engine'!B$2:B$200,MATCH(A103,'Matching Engine'!A$2:A$200,0)))</f>
        <v>Female</v>
      </c>
      <c r="C103" s="28" t="str">
        <f>IF(A103="","",IF(AND(INDEX('Matching Engine'!F$2:F$200,MATCH(A103,'Matching Engine'!A$2:A$200,0))=0,INDEX('Matching Engine'!G$2:G$200,MATCH(A103,'Matching Engine'!A$2:A$200,0))=0,INDEX('Matching Engine'!H$2:H$200,MATCH(A103,'Matching Engine'!A$2:A$200,0))=0),"None",IF(INDEX('Matching Engine'!F$2:F$200,MATCH(A103,'Matching Engine'!A$2:A$200,0))=1,"♂ ","")&amp;IF(INDEX('Matching Engine'!G$2:G$200,MATCH(A103,'Matching Engine'!A$2:A$200,0))=1,"♀ ","")&amp;IF(INDEX('Matching Engine'!H$2:H$200,MATCH(A103,'Matching Engine'!A$2:A$200,0))=1,"⚧","")))</f>
        <v xml:space="preserve">♂ </v>
      </c>
      <c r="D103" s="28">
        <f>IF(A103="","",INDEX('Matching Engine'!L$2:L$200,MATCH(A103,'Matching Engine'!A$2:A$200,0)))</f>
        <v>11</v>
      </c>
      <c r="E103" s="28" t="str">
        <f t="shared" si="2"/>
        <v>23% — 11 of 48 compatible</v>
      </c>
    </row>
    <row r="104" spans="1:5" ht="14.25" customHeight="1" x14ac:dyDescent="0.35">
      <c r="A104" s="38" t="str">
        <f>IFERROR(INDEX('Matching Engine'!A$2:A$200,MATCH(ROW()-71,'Matching Engine'!M$2:M$200,0)),"")</f>
        <v>Ardhanarishvara</v>
      </c>
      <c r="B104" s="28" t="str">
        <f>IF(A104="","",INDEX('Matching Engine'!B$2:B$200,MATCH(A104,'Matching Engine'!A$2:A$200,0)))</f>
        <v>Nonbinary</v>
      </c>
      <c r="C104" s="28" t="str">
        <f>IF(A104="","",IF(AND(INDEX('Matching Engine'!F$2:F$200,MATCH(A104,'Matching Engine'!A$2:A$200,0))=0,INDEX('Matching Engine'!G$2:G$200,MATCH(A104,'Matching Engine'!A$2:A$200,0))=0,INDEX('Matching Engine'!H$2:H$200,MATCH(A104,'Matching Engine'!A$2:A$200,0))=0),"None",IF(INDEX('Matching Engine'!F$2:F$200,MATCH(A104,'Matching Engine'!A$2:A$200,0))=1,"♂ ","")&amp;IF(INDEX('Matching Engine'!G$2:G$200,MATCH(A104,'Matching Engine'!A$2:A$200,0))=1,"♀ ","")&amp;IF(INDEX('Matching Engine'!H$2:H$200,MATCH(A104,'Matching Engine'!A$2:A$200,0))=1,"⚧","")))</f>
        <v>♂ ⚧</v>
      </c>
      <c r="D104" s="28">
        <f>IF(A104="","",INDEX('Matching Engine'!L$2:L$200,MATCH(A104,'Matching Engine'!A$2:A$200,0)))</f>
        <v>12</v>
      </c>
      <c r="E104" s="28" t="str">
        <f t="shared" si="2"/>
        <v>25% — 12 of 48 compatible</v>
      </c>
    </row>
    <row r="105" spans="1:5" ht="14.25" customHeight="1" x14ac:dyDescent="0.35">
      <c r="A105" s="38" t="str">
        <f>IFERROR(INDEX('Matching Engine'!A$2:A$200,MATCH(ROW()-71,'Matching Engine'!M$2:M$200,0)),"")</f>
        <v>Hermaphroditus</v>
      </c>
      <c r="B105" s="28" t="str">
        <f>IF(A105="","",INDEX('Matching Engine'!B$2:B$200,MATCH(A105,'Matching Engine'!A$2:A$200,0)))</f>
        <v>Nonbinary</v>
      </c>
      <c r="C105" s="28" t="str">
        <f>IF(A105="","",IF(AND(INDEX('Matching Engine'!F$2:F$200,MATCH(A105,'Matching Engine'!A$2:A$200,0))=0,INDEX('Matching Engine'!G$2:G$200,MATCH(A105,'Matching Engine'!A$2:A$200,0))=0,INDEX('Matching Engine'!H$2:H$200,MATCH(A105,'Matching Engine'!A$2:A$200,0))=0),"None",IF(INDEX('Matching Engine'!F$2:F$200,MATCH(A105,'Matching Engine'!A$2:A$200,0))=1,"♂ ","")&amp;IF(INDEX('Matching Engine'!G$2:G$200,MATCH(A105,'Matching Engine'!A$2:A$200,0))=1,"♀ ","")&amp;IF(INDEX('Matching Engine'!H$2:H$200,MATCH(A105,'Matching Engine'!A$2:A$200,0))=1,"⚧","")))</f>
        <v xml:space="preserve">♂ ♀ </v>
      </c>
      <c r="D105" s="28">
        <f>IF(A105="","",INDEX('Matching Engine'!L$2:L$200,MATCH(A105,'Matching Engine'!A$2:A$200,0)))</f>
        <v>12</v>
      </c>
      <c r="E105" s="28" t="str">
        <f t="shared" si="2"/>
        <v>25% — 12 of 48 compatible</v>
      </c>
    </row>
    <row r="106" spans="1:5" ht="14.25" customHeight="1" x14ac:dyDescent="0.35">
      <c r="A106" s="38" t="str">
        <f>IFERROR(INDEX('Matching Engine'!A$2:A$200,MATCH(ROW()-71,'Matching Engine'!M$2:M$200,0)),"")</f>
        <v>Isis</v>
      </c>
      <c r="B106" s="28" t="str">
        <f>IF(A106="","",INDEX('Matching Engine'!B$2:B$200,MATCH(A106,'Matching Engine'!A$2:A$200,0)))</f>
        <v>Female</v>
      </c>
      <c r="C106" s="28" t="str">
        <f>IF(A106="","",IF(AND(INDEX('Matching Engine'!F$2:F$200,MATCH(A106,'Matching Engine'!A$2:A$200,0))=0,INDEX('Matching Engine'!G$2:G$200,MATCH(A106,'Matching Engine'!A$2:A$200,0))=0,INDEX('Matching Engine'!H$2:H$200,MATCH(A106,'Matching Engine'!A$2:A$200,0))=0),"None",IF(INDEX('Matching Engine'!F$2:F$200,MATCH(A106,'Matching Engine'!A$2:A$200,0))=1,"♂ ","")&amp;IF(INDEX('Matching Engine'!G$2:G$200,MATCH(A106,'Matching Engine'!A$2:A$200,0))=1,"♀ ","")&amp;IF(INDEX('Matching Engine'!H$2:H$200,MATCH(A106,'Matching Engine'!A$2:A$200,0))=1,"⚧","")))</f>
        <v>♀ ⚧</v>
      </c>
      <c r="D106" s="28">
        <f>IF(A106="","",INDEX('Matching Engine'!L$2:L$200,MATCH(A106,'Matching Engine'!A$2:A$200,0)))</f>
        <v>12</v>
      </c>
      <c r="E106" s="28" t="str">
        <f t="shared" si="2"/>
        <v>25% — 12 of 48 compatible</v>
      </c>
    </row>
    <row r="107" spans="1:5" ht="14.25" customHeight="1" x14ac:dyDescent="0.35">
      <c r="A107" s="38" t="str">
        <f>IFERROR(INDEX('Matching Engine'!A$2:A$200,MATCH(ROW()-71,'Matching Engine'!M$2:M$200,0)),"")</f>
        <v>Lan Caihe</v>
      </c>
      <c r="B107" s="28" t="str">
        <f>IF(A107="","",INDEX('Matching Engine'!B$2:B$200,MATCH(A107,'Matching Engine'!A$2:A$200,0)))</f>
        <v>Nonbinary</v>
      </c>
      <c r="C107" s="28" t="str">
        <f>IF(A107="","",IF(AND(INDEX('Matching Engine'!F$2:F$200,MATCH(A107,'Matching Engine'!A$2:A$200,0))=0,INDEX('Matching Engine'!G$2:G$200,MATCH(A107,'Matching Engine'!A$2:A$200,0))=0,INDEX('Matching Engine'!H$2:H$200,MATCH(A107,'Matching Engine'!A$2:A$200,0))=0),"None",IF(INDEX('Matching Engine'!F$2:F$200,MATCH(A107,'Matching Engine'!A$2:A$200,0))=1,"♂ ","")&amp;IF(INDEX('Matching Engine'!G$2:G$200,MATCH(A107,'Matching Engine'!A$2:A$200,0))=1,"♀ ","")&amp;IF(INDEX('Matching Engine'!H$2:H$200,MATCH(A107,'Matching Engine'!A$2:A$200,0))=1,"⚧","")))</f>
        <v>♀ ⚧</v>
      </c>
      <c r="D107" s="28">
        <f>IF(A107="","",INDEX('Matching Engine'!L$2:L$200,MATCH(A107,'Matching Engine'!A$2:A$200,0)))</f>
        <v>12</v>
      </c>
      <c r="E107" s="28" t="str">
        <f t="shared" ref="E107:E138" si="3">IF(A107="","",IF(D107=0,"0% — no compatible partners",TEXT(D107/($B$6-1),"0%")&amp;" — "&amp;D107&amp;" of "&amp;($B$6-1)&amp;" compatible"))</f>
        <v>25% — 12 of 48 compatible</v>
      </c>
    </row>
    <row r="108" spans="1:5" ht="14.25" customHeight="1" x14ac:dyDescent="0.35">
      <c r="A108" s="38" t="str">
        <f>IFERROR(INDEX('Matching Engine'!A$2:A$200,MATCH(ROW()-71,'Matching Engine'!M$2:M$200,0)),"")</f>
        <v>Ometeotl</v>
      </c>
      <c r="B108" s="28" t="str">
        <f>IF(A108="","",INDEX('Matching Engine'!B$2:B$200,MATCH(A108,'Matching Engine'!A$2:A$200,0)))</f>
        <v>Nonbinary</v>
      </c>
      <c r="C108" s="28" t="str">
        <f>IF(A108="","",IF(AND(INDEX('Matching Engine'!F$2:F$200,MATCH(A108,'Matching Engine'!A$2:A$200,0))=0,INDEX('Matching Engine'!G$2:G$200,MATCH(A108,'Matching Engine'!A$2:A$200,0))=0,INDEX('Matching Engine'!H$2:H$200,MATCH(A108,'Matching Engine'!A$2:A$200,0))=0),"None",IF(INDEX('Matching Engine'!F$2:F$200,MATCH(A108,'Matching Engine'!A$2:A$200,0))=1,"♂ ","")&amp;IF(INDEX('Matching Engine'!G$2:G$200,MATCH(A108,'Matching Engine'!A$2:A$200,0))=1,"♀ ","")&amp;IF(INDEX('Matching Engine'!H$2:H$200,MATCH(A108,'Matching Engine'!A$2:A$200,0))=1,"⚧","")))</f>
        <v>♀ ⚧</v>
      </c>
      <c r="D108" s="28">
        <f>IF(A108="","",INDEX('Matching Engine'!L$2:L$200,MATCH(A108,'Matching Engine'!A$2:A$200,0)))</f>
        <v>12</v>
      </c>
      <c r="E108" s="28" t="str">
        <f t="shared" si="3"/>
        <v>25% — 12 of 48 compatible</v>
      </c>
    </row>
    <row r="109" spans="1:5" ht="14.25" customHeight="1" x14ac:dyDescent="0.35">
      <c r="A109" s="38" t="str">
        <f>IFERROR(INDEX('Matching Engine'!A$2:A$200,MATCH(ROW()-71,'Matching Engine'!M$2:M$200,0)),"")</f>
        <v>Eros</v>
      </c>
      <c r="B109" s="28" t="str">
        <f>IF(A109="","",INDEX('Matching Engine'!B$2:B$200,MATCH(A109,'Matching Engine'!A$2:A$200,0)))</f>
        <v>Male</v>
      </c>
      <c r="C109" s="28" t="str">
        <f>IF(A109="","",IF(AND(INDEX('Matching Engine'!F$2:F$200,MATCH(A109,'Matching Engine'!A$2:A$200,0))=0,INDEX('Matching Engine'!G$2:G$200,MATCH(A109,'Matching Engine'!A$2:A$200,0))=0,INDEX('Matching Engine'!H$2:H$200,MATCH(A109,'Matching Engine'!A$2:A$200,0))=0),"None",IF(INDEX('Matching Engine'!F$2:F$200,MATCH(A109,'Matching Engine'!A$2:A$200,0))=1,"♂ ","")&amp;IF(INDEX('Matching Engine'!G$2:G$200,MATCH(A109,'Matching Engine'!A$2:A$200,0))=1,"♀ ","")&amp;IF(INDEX('Matching Engine'!H$2:H$200,MATCH(A109,'Matching Engine'!A$2:A$200,0))=1,"⚧","")))</f>
        <v>♀ ⚧</v>
      </c>
      <c r="D109" s="28">
        <f>IF(A109="","",INDEX('Matching Engine'!L$2:L$200,MATCH(A109,'Matching Engine'!A$2:A$200,0)))</f>
        <v>13</v>
      </c>
      <c r="E109" s="28" t="str">
        <f t="shared" si="3"/>
        <v>27% — 13 of 48 compatible</v>
      </c>
    </row>
    <row r="110" spans="1:5" ht="14.25" customHeight="1" x14ac:dyDescent="0.35">
      <c r="A110" s="38" t="str">
        <f>IFERROR(INDEX('Matching Engine'!A$2:A$200,MATCH(ROW()-71,'Matching Engine'!M$2:M$200,0)),"")</f>
        <v>Odin</v>
      </c>
      <c r="B110" s="28" t="str">
        <f>IF(A110="","",INDEX('Matching Engine'!B$2:B$200,MATCH(A110,'Matching Engine'!A$2:A$200,0)))</f>
        <v>Male</v>
      </c>
      <c r="C110" s="28" t="str">
        <f>IF(A110="","",IF(AND(INDEX('Matching Engine'!F$2:F$200,MATCH(A110,'Matching Engine'!A$2:A$200,0))=0,INDEX('Matching Engine'!G$2:G$200,MATCH(A110,'Matching Engine'!A$2:A$200,0))=0,INDEX('Matching Engine'!H$2:H$200,MATCH(A110,'Matching Engine'!A$2:A$200,0))=0),"None",IF(INDEX('Matching Engine'!F$2:F$200,MATCH(A110,'Matching Engine'!A$2:A$200,0))=1,"♂ ","")&amp;IF(INDEX('Matching Engine'!G$2:G$200,MATCH(A110,'Matching Engine'!A$2:A$200,0))=1,"♀ ","")&amp;IF(INDEX('Matching Engine'!H$2:H$200,MATCH(A110,'Matching Engine'!A$2:A$200,0))=1,"⚧","")))</f>
        <v>♀ ⚧</v>
      </c>
      <c r="D110" s="28">
        <f>IF(A110="","",INDEX('Matching Engine'!L$2:L$200,MATCH(A110,'Matching Engine'!A$2:A$200,0)))</f>
        <v>13</v>
      </c>
      <c r="E110" s="28" t="str">
        <f t="shared" si="3"/>
        <v>27% — 13 of 48 compatible</v>
      </c>
    </row>
    <row r="111" spans="1:5" ht="14.25" customHeight="1" x14ac:dyDescent="0.35">
      <c r="A111" s="38" t="str">
        <f>IFERROR(INDEX('Matching Engine'!A$2:A$200,MATCH(ROW()-71,'Matching Engine'!M$2:M$200,0)),"")</f>
        <v>Hermes</v>
      </c>
      <c r="B111" s="28" t="str">
        <f>IF(A111="","",INDEX('Matching Engine'!B$2:B$200,MATCH(A111,'Matching Engine'!A$2:A$200,0)))</f>
        <v>Male</v>
      </c>
      <c r="C111" s="28" t="str">
        <f>IF(A111="","",IF(AND(INDEX('Matching Engine'!F$2:F$200,MATCH(A111,'Matching Engine'!A$2:A$200,0))=0,INDEX('Matching Engine'!G$2:G$200,MATCH(A111,'Matching Engine'!A$2:A$200,0))=0,INDEX('Matching Engine'!H$2:H$200,MATCH(A111,'Matching Engine'!A$2:A$200,0))=0),"None",IF(INDEX('Matching Engine'!F$2:F$200,MATCH(A111,'Matching Engine'!A$2:A$200,0))=1,"♂ ","")&amp;IF(INDEX('Matching Engine'!G$2:G$200,MATCH(A111,'Matching Engine'!A$2:A$200,0))=1,"♀ ","")&amp;IF(INDEX('Matching Engine'!H$2:H$200,MATCH(A111,'Matching Engine'!A$2:A$200,0))=1,"⚧","")))</f>
        <v>♂ ⚧</v>
      </c>
      <c r="D111" s="28">
        <f>IF(A111="","",INDEX('Matching Engine'!L$2:L$200,MATCH(A111,'Matching Engine'!A$2:A$200,0)))</f>
        <v>16</v>
      </c>
      <c r="E111" s="28" t="str">
        <f t="shared" si="3"/>
        <v>33% — 16 of 48 compatible</v>
      </c>
    </row>
    <row r="112" spans="1:5" ht="14.25" customHeight="1" x14ac:dyDescent="0.35">
      <c r="A112" s="38" t="str">
        <f>IFERROR(INDEX('Matching Engine'!A$2:A$200,MATCH(ROW()-71,'Matching Engine'!M$2:M$200,0)),"")</f>
        <v>Cleopatra</v>
      </c>
      <c r="B112" s="28" t="str">
        <f>IF(A112="","",INDEX('Matching Engine'!B$2:B$200,MATCH(A112,'Matching Engine'!A$2:A$200,0)))</f>
        <v>Female</v>
      </c>
      <c r="C112" s="28" t="str">
        <f>IF(A112="","",IF(AND(INDEX('Matching Engine'!F$2:F$200,MATCH(A112,'Matching Engine'!A$2:A$200,0))=0,INDEX('Matching Engine'!G$2:G$200,MATCH(A112,'Matching Engine'!A$2:A$200,0))=0,INDEX('Matching Engine'!H$2:H$200,MATCH(A112,'Matching Engine'!A$2:A$200,0))=0),"None",IF(INDEX('Matching Engine'!F$2:F$200,MATCH(A112,'Matching Engine'!A$2:A$200,0))=1,"♂ ","")&amp;IF(INDEX('Matching Engine'!G$2:G$200,MATCH(A112,'Matching Engine'!A$2:A$200,0))=1,"♀ ","")&amp;IF(INDEX('Matching Engine'!H$2:H$200,MATCH(A112,'Matching Engine'!A$2:A$200,0))=1,"⚧","")))</f>
        <v xml:space="preserve">♂ ♀ </v>
      </c>
      <c r="D112" s="28">
        <f>IF(A112="","",INDEX('Matching Engine'!L$2:L$200,MATCH(A112,'Matching Engine'!A$2:A$200,0)))</f>
        <v>17</v>
      </c>
      <c r="E112" s="28" t="str">
        <f t="shared" si="3"/>
        <v>35% — 17 of 48 compatible</v>
      </c>
    </row>
    <row r="113" spans="1:5" ht="14.25" customHeight="1" x14ac:dyDescent="0.35">
      <c r="A113" s="38" t="str">
        <f>IFERROR(INDEX('Matching Engine'!A$2:A$200,MATCH(ROW()-71,'Matching Engine'!M$2:M$200,0)),"")</f>
        <v>Freya</v>
      </c>
      <c r="B113" s="28" t="str">
        <f>IF(A113="","",INDEX('Matching Engine'!B$2:B$200,MATCH(A113,'Matching Engine'!A$2:A$200,0)))</f>
        <v>Female</v>
      </c>
      <c r="C113" s="28" t="str">
        <f>IF(A113="","",IF(AND(INDEX('Matching Engine'!F$2:F$200,MATCH(A113,'Matching Engine'!A$2:A$200,0))=0,INDEX('Matching Engine'!G$2:G$200,MATCH(A113,'Matching Engine'!A$2:A$200,0))=0,INDEX('Matching Engine'!H$2:H$200,MATCH(A113,'Matching Engine'!A$2:A$200,0))=0),"None",IF(INDEX('Matching Engine'!F$2:F$200,MATCH(A113,'Matching Engine'!A$2:A$200,0))=1,"♂ ","")&amp;IF(INDEX('Matching Engine'!G$2:G$200,MATCH(A113,'Matching Engine'!A$2:A$200,0))=1,"♀ ","")&amp;IF(INDEX('Matching Engine'!H$2:H$200,MATCH(A113,'Matching Engine'!A$2:A$200,0))=1,"⚧","")))</f>
        <v>♂ ⚧</v>
      </c>
      <c r="D113" s="28">
        <f>IF(A113="","",INDEX('Matching Engine'!L$2:L$200,MATCH(A113,'Matching Engine'!A$2:A$200,0)))</f>
        <v>17</v>
      </c>
      <c r="E113" s="28" t="str">
        <f t="shared" si="3"/>
        <v>35% — 17 of 48 compatible</v>
      </c>
    </row>
    <row r="114" spans="1:5" ht="14.25" customHeight="1" x14ac:dyDescent="0.35">
      <c r="A114" s="38" t="str">
        <f>IFERROR(INDEX('Matching Engine'!A$2:A$200,MATCH(ROW()-71,'Matching Engine'!M$2:M$200,0)),"")</f>
        <v>Hapi</v>
      </c>
      <c r="B114" s="28" t="str">
        <f>IF(A114="","",INDEX('Matching Engine'!B$2:B$200,MATCH(A114,'Matching Engine'!A$2:A$200,0)))</f>
        <v>Nonbinary</v>
      </c>
      <c r="C114" s="28" t="str">
        <f>IF(A114="","",IF(AND(INDEX('Matching Engine'!F$2:F$200,MATCH(A114,'Matching Engine'!A$2:A$200,0))=0,INDEX('Matching Engine'!G$2:G$200,MATCH(A114,'Matching Engine'!A$2:A$200,0))=0,INDEX('Matching Engine'!H$2:H$200,MATCH(A114,'Matching Engine'!A$2:A$200,0))=0),"None",IF(INDEX('Matching Engine'!F$2:F$200,MATCH(A114,'Matching Engine'!A$2:A$200,0))=1,"♂ ","")&amp;IF(INDEX('Matching Engine'!G$2:G$200,MATCH(A114,'Matching Engine'!A$2:A$200,0))=1,"♀ ","")&amp;IF(INDEX('Matching Engine'!H$2:H$200,MATCH(A114,'Matching Engine'!A$2:A$200,0))=1,"⚧","")))</f>
        <v>♂ ♀ ⚧</v>
      </c>
      <c r="D114" s="28">
        <f>IF(A114="","",INDEX('Matching Engine'!L$2:L$200,MATCH(A114,'Matching Engine'!A$2:A$200,0)))</f>
        <v>18</v>
      </c>
      <c r="E114" s="28" t="str">
        <f t="shared" si="3"/>
        <v>38% — 18 of 48 compatible</v>
      </c>
    </row>
    <row r="115" spans="1:5" ht="14.25" customHeight="1" x14ac:dyDescent="0.35">
      <c r="A115" s="38" t="str">
        <f>IFERROR(INDEX('Matching Engine'!A$2:A$200,MATCH(ROW()-71,'Matching Engine'!M$2:M$200,0)),"")</f>
        <v>Loki</v>
      </c>
      <c r="B115" s="28" t="str">
        <f>IF(A115="","",INDEX('Matching Engine'!B$2:B$200,MATCH(A115,'Matching Engine'!A$2:A$200,0)))</f>
        <v>Nonbinary</v>
      </c>
      <c r="C115" s="28" t="str">
        <f>IF(A115="","",IF(AND(INDEX('Matching Engine'!F$2:F$200,MATCH(A115,'Matching Engine'!A$2:A$200,0))=0,INDEX('Matching Engine'!G$2:G$200,MATCH(A115,'Matching Engine'!A$2:A$200,0))=0,INDEX('Matching Engine'!H$2:H$200,MATCH(A115,'Matching Engine'!A$2:A$200,0))=0),"None",IF(INDEX('Matching Engine'!F$2:F$200,MATCH(A115,'Matching Engine'!A$2:A$200,0))=1,"♂ ","")&amp;IF(INDEX('Matching Engine'!G$2:G$200,MATCH(A115,'Matching Engine'!A$2:A$200,0))=1,"♀ ","")&amp;IF(INDEX('Matching Engine'!H$2:H$200,MATCH(A115,'Matching Engine'!A$2:A$200,0))=1,"⚧","")))</f>
        <v>♂ ♀ ⚧</v>
      </c>
      <c r="D115" s="28">
        <f>IF(A115="","",INDEX('Matching Engine'!L$2:L$200,MATCH(A115,'Matching Engine'!A$2:A$200,0)))</f>
        <v>18</v>
      </c>
      <c r="E115" s="28" t="str">
        <f t="shared" si="3"/>
        <v>38% — 18 of 48 compatible</v>
      </c>
    </row>
    <row r="116" spans="1:5" ht="14.25" customHeight="1" x14ac:dyDescent="0.35">
      <c r="A116" s="38" t="str">
        <f>IFERROR(INDEX('Matching Engine'!A$2:A$200,MATCH(ROW()-71,'Matching Engine'!M$2:M$200,0)),"")</f>
        <v>Pan</v>
      </c>
      <c r="B116" s="28" t="str">
        <f>IF(A116="","",INDEX('Matching Engine'!B$2:B$200,MATCH(A116,'Matching Engine'!A$2:A$200,0)))</f>
        <v>Male</v>
      </c>
      <c r="C116" s="28" t="str">
        <f>IF(A116="","",IF(AND(INDEX('Matching Engine'!F$2:F$200,MATCH(A116,'Matching Engine'!A$2:A$200,0))=0,INDEX('Matching Engine'!G$2:G$200,MATCH(A116,'Matching Engine'!A$2:A$200,0))=0,INDEX('Matching Engine'!H$2:H$200,MATCH(A116,'Matching Engine'!A$2:A$200,0))=0),"None",IF(INDEX('Matching Engine'!F$2:F$200,MATCH(A116,'Matching Engine'!A$2:A$200,0))=1,"♂ ","")&amp;IF(INDEX('Matching Engine'!G$2:G$200,MATCH(A116,'Matching Engine'!A$2:A$200,0))=1,"♀ ","")&amp;IF(INDEX('Matching Engine'!H$2:H$200,MATCH(A116,'Matching Engine'!A$2:A$200,0))=1,"⚧","")))</f>
        <v xml:space="preserve">♂ ♀ </v>
      </c>
      <c r="D116" s="28">
        <f>IF(A116="","",INDEX('Matching Engine'!L$2:L$200,MATCH(A116,'Matching Engine'!A$2:A$200,0)))</f>
        <v>19</v>
      </c>
      <c r="E116" s="28" t="str">
        <f t="shared" si="3"/>
        <v>40% — 19 of 48 compatible</v>
      </c>
    </row>
    <row r="117" spans="1:5" ht="14.25" customHeight="1" x14ac:dyDescent="0.35">
      <c r="A117" s="38" t="str">
        <f>IFERROR(INDEX('Matching Engine'!A$2:A$200,MATCH(ROW()-71,'Matching Engine'!M$2:M$200,0)),"")</f>
        <v>Thor</v>
      </c>
      <c r="B117" s="28" t="str">
        <f>IF(A117="","",INDEX('Matching Engine'!B$2:B$200,MATCH(A117,'Matching Engine'!A$2:A$200,0)))</f>
        <v>Male</v>
      </c>
      <c r="C117" s="28" t="str">
        <f>IF(A117="","",IF(AND(INDEX('Matching Engine'!F$2:F$200,MATCH(A117,'Matching Engine'!A$2:A$200,0))=0,INDEX('Matching Engine'!G$2:G$200,MATCH(A117,'Matching Engine'!A$2:A$200,0))=0,INDEX('Matching Engine'!H$2:H$200,MATCH(A117,'Matching Engine'!A$2:A$200,0))=0),"None",IF(INDEX('Matching Engine'!F$2:F$200,MATCH(A117,'Matching Engine'!A$2:A$200,0))=1,"♂ ","")&amp;IF(INDEX('Matching Engine'!G$2:G$200,MATCH(A117,'Matching Engine'!A$2:A$200,0))=1,"♀ ","")&amp;IF(INDEX('Matching Engine'!H$2:H$200,MATCH(A117,'Matching Engine'!A$2:A$200,0))=1,"⚧","")))</f>
        <v xml:space="preserve">♂ ♀ </v>
      </c>
      <c r="D117" s="28">
        <f>IF(A117="","",INDEX('Matching Engine'!L$2:L$200,MATCH(A117,'Matching Engine'!A$2:A$200,0)))</f>
        <v>19</v>
      </c>
      <c r="E117" s="28" t="str">
        <f t="shared" si="3"/>
        <v>40% — 19 of 48 compatible</v>
      </c>
    </row>
    <row r="118" spans="1:5" ht="14.25" customHeight="1" x14ac:dyDescent="0.35">
      <c r="A118" s="38" t="str">
        <f>IFERROR(INDEX('Matching Engine'!A$2:A$200,MATCH(ROW()-71,'Matching Engine'!M$2:M$200,0)),"")</f>
        <v>Circe</v>
      </c>
      <c r="B118" s="28" t="str">
        <f>IF(A118="","",INDEX('Matching Engine'!B$2:B$200,MATCH(A118,'Matching Engine'!A$2:A$200,0)))</f>
        <v>Female</v>
      </c>
      <c r="C118" s="28" t="str">
        <f>IF(A118="","",IF(AND(INDEX('Matching Engine'!F$2:F$200,MATCH(A118,'Matching Engine'!A$2:A$200,0))=0,INDEX('Matching Engine'!G$2:G$200,MATCH(A118,'Matching Engine'!A$2:A$200,0))=0,INDEX('Matching Engine'!H$2:H$200,MATCH(A118,'Matching Engine'!A$2:A$200,0))=0),"None",IF(INDEX('Matching Engine'!F$2:F$200,MATCH(A118,'Matching Engine'!A$2:A$200,0))=1,"♂ ","")&amp;IF(INDEX('Matching Engine'!G$2:G$200,MATCH(A118,'Matching Engine'!A$2:A$200,0))=1,"♀ ","")&amp;IF(INDEX('Matching Engine'!H$2:H$200,MATCH(A118,'Matching Engine'!A$2:A$200,0))=1,"⚧","")))</f>
        <v>♂ ♀ ⚧</v>
      </c>
      <c r="D118" s="28">
        <f>IF(A118="","",INDEX('Matching Engine'!L$2:L$200,MATCH(A118,'Matching Engine'!A$2:A$200,0)))</f>
        <v>23</v>
      </c>
      <c r="E118" s="28" t="str">
        <f t="shared" si="3"/>
        <v>48% — 23 of 48 compatible</v>
      </c>
    </row>
    <row r="119" spans="1:5" ht="14.25" customHeight="1" x14ac:dyDescent="0.35">
      <c r="A119" s="38" t="str">
        <f>IFERROR(INDEX('Matching Engine'!A$2:A$200,MATCH(ROW()-71,'Matching Engine'!M$2:M$200,0)),"")</f>
        <v>Hera</v>
      </c>
      <c r="B119" s="28" t="str">
        <f>IF(A119="","",INDEX('Matching Engine'!B$2:B$200,MATCH(A119,'Matching Engine'!A$2:A$200,0)))</f>
        <v>Female</v>
      </c>
      <c r="C119" s="28" t="str">
        <f>IF(A119="","",IF(AND(INDEX('Matching Engine'!F$2:F$200,MATCH(A119,'Matching Engine'!A$2:A$200,0))=0,INDEX('Matching Engine'!G$2:G$200,MATCH(A119,'Matching Engine'!A$2:A$200,0))=0,INDEX('Matching Engine'!H$2:H$200,MATCH(A119,'Matching Engine'!A$2:A$200,0))=0),"None",IF(INDEX('Matching Engine'!F$2:F$200,MATCH(A119,'Matching Engine'!A$2:A$200,0))=1,"♂ ","")&amp;IF(INDEX('Matching Engine'!G$2:G$200,MATCH(A119,'Matching Engine'!A$2:A$200,0))=1,"♀ ","")&amp;IF(INDEX('Matching Engine'!H$2:H$200,MATCH(A119,'Matching Engine'!A$2:A$200,0))=1,"⚧","")))</f>
        <v>♂ ♀ ⚧</v>
      </c>
      <c r="D119" s="28">
        <f>IF(A119="","",INDEX('Matching Engine'!L$2:L$200,MATCH(A119,'Matching Engine'!A$2:A$200,0)))</f>
        <v>23</v>
      </c>
      <c r="E119" s="28" t="str">
        <f t="shared" si="3"/>
        <v>48% — 23 of 48 compatible</v>
      </c>
    </row>
    <row r="120" spans="1:5" ht="14.25" customHeight="1" x14ac:dyDescent="0.35">
      <c r="A120" s="38" t="str">
        <f>IFERROR(INDEX('Matching Engine'!A$2:A$200,MATCH(ROW()-71,'Matching Engine'!M$2:M$200,0)),"")</f>
        <v>Dionysus</v>
      </c>
      <c r="B120" s="28" t="str">
        <f>IF(A120="","",INDEX('Matching Engine'!B$2:B$200,MATCH(A120,'Matching Engine'!A$2:A$200,0)))</f>
        <v>Male</v>
      </c>
      <c r="C120" s="28" t="str">
        <f>IF(A120="","",IF(AND(INDEX('Matching Engine'!F$2:F$200,MATCH(A120,'Matching Engine'!A$2:A$200,0))=0,INDEX('Matching Engine'!G$2:G$200,MATCH(A120,'Matching Engine'!A$2:A$200,0))=0,INDEX('Matching Engine'!H$2:H$200,MATCH(A120,'Matching Engine'!A$2:A$200,0))=0),"None",IF(INDEX('Matching Engine'!F$2:F$200,MATCH(A120,'Matching Engine'!A$2:A$200,0))=1,"♂ ","")&amp;IF(INDEX('Matching Engine'!G$2:G$200,MATCH(A120,'Matching Engine'!A$2:A$200,0))=1,"♀ ","")&amp;IF(INDEX('Matching Engine'!H$2:H$200,MATCH(A120,'Matching Engine'!A$2:A$200,0))=1,"⚧","")))</f>
        <v>♂ ♀ ⚧</v>
      </c>
      <c r="D120" s="28">
        <f>IF(A120="","",INDEX('Matching Engine'!L$2:L$200,MATCH(A120,'Matching Engine'!A$2:A$200,0)))</f>
        <v>24</v>
      </c>
      <c r="E120" s="28" t="str">
        <f t="shared" si="3"/>
        <v>50% — 24 of 48 compatible</v>
      </c>
    </row>
    <row r="121" spans="1:5" ht="14.25" customHeight="1" x14ac:dyDescent="0.35">
      <c r="A121" s="38" t="str">
        <f>IFERROR(INDEX('Matching Engine'!A$2:A$200,MATCH(ROW()-68,'Matching Engine'!M$2:M$200,0)),"")</f>
        <v/>
      </c>
      <c r="B121" s="28" t="str">
        <f>IF(A121="","",INDEX('Matching Engine'!B$2:B$200,MATCH(A121,'Matching Engine'!A$2:A$200,0)))</f>
        <v/>
      </c>
      <c r="C121" s="28" t="str">
        <f>IF(A121="","",IF(AND(INDEX('Matching Engine'!F$2:F$200,MATCH(A121,'Matching Engine'!A$2:A$200,0))=0,INDEX('Matching Engine'!G$2:G$200,MATCH(A121,'Matching Engine'!A$2:A$200,0))=0,INDEX('Matching Engine'!H$2:H$200,MATCH(A121,'Matching Engine'!A$2:A$200,0))=0),"None",IF(INDEX('Matching Engine'!F$2:F$200,MATCH(A121,'Matching Engine'!A$2:A$200,0))=1,"♂ ","")&amp;IF(INDEX('Matching Engine'!G$2:G$200,MATCH(A121,'Matching Engine'!A$2:A$200,0))=1,"♀ ","")&amp;IF(INDEX('Matching Engine'!H$2:H$200,MATCH(A121,'Matching Engine'!A$2:A$200,0))=1,"⚧","")))</f>
        <v/>
      </c>
      <c r="D121" s="28" t="str">
        <f>IF(A121="","",INDEX('Matching Engine'!L$2:L$200,MATCH(A121,'Matching Engine'!A$2:A$200,0)))</f>
        <v/>
      </c>
      <c r="E121" s="28" t="str">
        <f t="shared" si="3"/>
        <v/>
      </c>
    </row>
    <row r="122" spans="1:5" ht="14.25" customHeight="1" x14ac:dyDescent="0.35">
      <c r="A122" s="38" t="str">
        <f>IFERROR(INDEX('Matching Engine'!A$2:A$200,MATCH(ROW()-68,'Matching Engine'!M$2:M$200,0)),"")</f>
        <v/>
      </c>
      <c r="B122" s="28" t="str">
        <f>IF(A122="","",INDEX('Matching Engine'!B$2:B$200,MATCH(A122,'Matching Engine'!A$2:A$200,0)))</f>
        <v/>
      </c>
      <c r="C122" s="28" t="str">
        <f>IF(A122="","",IF(AND(INDEX('Matching Engine'!F$2:F$200,MATCH(A122,'Matching Engine'!A$2:A$200,0))=0,INDEX('Matching Engine'!G$2:G$200,MATCH(A122,'Matching Engine'!A$2:A$200,0))=0,INDEX('Matching Engine'!H$2:H$200,MATCH(A122,'Matching Engine'!A$2:A$200,0))=0),"None",IF(INDEX('Matching Engine'!F$2:F$200,MATCH(A122,'Matching Engine'!A$2:A$200,0))=1,"♂ ","")&amp;IF(INDEX('Matching Engine'!G$2:G$200,MATCH(A122,'Matching Engine'!A$2:A$200,0))=1,"♀ ","")&amp;IF(INDEX('Matching Engine'!H$2:H$200,MATCH(A122,'Matching Engine'!A$2:A$200,0))=1,"⚧","")))</f>
        <v/>
      </c>
      <c r="D122" s="28" t="str">
        <f>IF(A122="","",INDEX('Matching Engine'!L$2:L$200,MATCH(A122,'Matching Engine'!A$2:A$200,0)))</f>
        <v/>
      </c>
      <c r="E122" s="28" t="str">
        <f t="shared" si="3"/>
        <v/>
      </c>
    </row>
    <row r="123" spans="1:5" ht="14.25" customHeight="1" x14ac:dyDescent="0.35">
      <c r="A123" s="38" t="str">
        <f>IFERROR(INDEX('Matching Engine'!A$2:A$200,MATCH(ROW()-68,'Matching Engine'!M$2:M$200,0)),"")</f>
        <v/>
      </c>
      <c r="B123" s="28" t="str">
        <f>IF(A123="","",INDEX('Matching Engine'!B$2:B$200,MATCH(A123,'Matching Engine'!A$2:A$200,0)))</f>
        <v/>
      </c>
      <c r="C123" s="28" t="str">
        <f>IF(A123="","",IF(AND(INDEX('Matching Engine'!F$2:F$200,MATCH(A123,'Matching Engine'!A$2:A$200,0))=0,INDEX('Matching Engine'!G$2:G$200,MATCH(A123,'Matching Engine'!A$2:A$200,0))=0,INDEX('Matching Engine'!H$2:H$200,MATCH(A123,'Matching Engine'!A$2:A$200,0))=0),"None",IF(INDEX('Matching Engine'!F$2:F$200,MATCH(A123,'Matching Engine'!A$2:A$200,0))=1,"♂ ","")&amp;IF(INDEX('Matching Engine'!G$2:G$200,MATCH(A123,'Matching Engine'!A$2:A$200,0))=1,"♀ ","")&amp;IF(INDEX('Matching Engine'!H$2:H$200,MATCH(A123,'Matching Engine'!A$2:A$200,0))=1,"⚧","")))</f>
        <v/>
      </c>
      <c r="D123" s="28" t="str">
        <f>IF(A123="","",INDEX('Matching Engine'!L$2:L$200,MATCH(A123,'Matching Engine'!A$2:A$200,0)))</f>
        <v/>
      </c>
      <c r="E123" s="28" t="str">
        <f t="shared" si="3"/>
        <v/>
      </c>
    </row>
    <row r="124" spans="1:5" ht="14.25" customHeight="1" x14ac:dyDescent="0.35">
      <c r="A124" s="38" t="str">
        <f>IFERROR(INDEX('Matching Engine'!A$2:A$200,MATCH(ROW()-68,'Matching Engine'!M$2:M$200,0)),"")</f>
        <v/>
      </c>
      <c r="B124" s="28" t="str">
        <f>IF(A124="","",INDEX('Matching Engine'!B$2:B$200,MATCH(A124,'Matching Engine'!A$2:A$200,0)))</f>
        <v/>
      </c>
      <c r="C124" s="28" t="str">
        <f>IF(A124="","",IF(AND(INDEX('Matching Engine'!F$2:F$200,MATCH(A124,'Matching Engine'!A$2:A$200,0))=0,INDEX('Matching Engine'!G$2:G$200,MATCH(A124,'Matching Engine'!A$2:A$200,0))=0,INDEX('Matching Engine'!H$2:H$200,MATCH(A124,'Matching Engine'!A$2:A$200,0))=0),"None",IF(INDEX('Matching Engine'!F$2:F$200,MATCH(A124,'Matching Engine'!A$2:A$200,0))=1,"♂ ","")&amp;IF(INDEX('Matching Engine'!G$2:G$200,MATCH(A124,'Matching Engine'!A$2:A$200,0))=1,"♀ ","")&amp;IF(INDEX('Matching Engine'!H$2:H$200,MATCH(A124,'Matching Engine'!A$2:A$200,0))=1,"⚧","")))</f>
        <v/>
      </c>
      <c r="D124" s="28" t="str">
        <f>IF(A124="","",INDEX('Matching Engine'!L$2:L$200,MATCH(A124,'Matching Engine'!A$2:A$200,0)))</f>
        <v/>
      </c>
      <c r="E124" s="28" t="str">
        <f t="shared" si="3"/>
        <v/>
      </c>
    </row>
    <row r="125" spans="1:5" ht="14.25" customHeight="1" x14ac:dyDescent="0.35">
      <c r="A125" s="38" t="str">
        <f>IFERROR(INDEX('Matching Engine'!A$2:A$200,MATCH(ROW()-68,'Matching Engine'!M$2:M$200,0)),"")</f>
        <v/>
      </c>
      <c r="B125" s="28" t="str">
        <f>IF(A125="","",INDEX('Matching Engine'!B$2:B$200,MATCH(A125,'Matching Engine'!A$2:A$200,0)))</f>
        <v/>
      </c>
      <c r="C125" s="28" t="str">
        <f>IF(A125="","",IF(AND(INDEX('Matching Engine'!F$2:F$200,MATCH(A125,'Matching Engine'!A$2:A$200,0))=0,INDEX('Matching Engine'!G$2:G$200,MATCH(A125,'Matching Engine'!A$2:A$200,0))=0,INDEX('Matching Engine'!H$2:H$200,MATCH(A125,'Matching Engine'!A$2:A$200,0))=0),"None",IF(INDEX('Matching Engine'!F$2:F$200,MATCH(A125,'Matching Engine'!A$2:A$200,0))=1,"♂ ","")&amp;IF(INDEX('Matching Engine'!G$2:G$200,MATCH(A125,'Matching Engine'!A$2:A$200,0))=1,"♀ ","")&amp;IF(INDEX('Matching Engine'!H$2:H$200,MATCH(A125,'Matching Engine'!A$2:A$200,0))=1,"⚧","")))</f>
        <v/>
      </c>
      <c r="D125" s="28" t="str">
        <f>IF(A125="","",INDEX('Matching Engine'!L$2:L$200,MATCH(A125,'Matching Engine'!A$2:A$200,0)))</f>
        <v/>
      </c>
      <c r="E125" s="28" t="str">
        <f t="shared" si="3"/>
        <v/>
      </c>
    </row>
    <row r="126" spans="1:5" ht="14.25" customHeight="1" x14ac:dyDescent="0.35">
      <c r="A126" s="38" t="str">
        <f>IFERROR(INDEX('Matching Engine'!A$2:A$200,MATCH(ROW()-68,'Matching Engine'!M$2:M$200,0)),"")</f>
        <v/>
      </c>
      <c r="B126" s="28" t="str">
        <f>IF(A126="","",INDEX('Matching Engine'!B$2:B$200,MATCH(A126,'Matching Engine'!A$2:A$200,0)))</f>
        <v/>
      </c>
      <c r="C126" s="28" t="str">
        <f>IF(A126="","",IF(AND(INDEX('Matching Engine'!F$2:F$200,MATCH(A126,'Matching Engine'!A$2:A$200,0))=0,INDEX('Matching Engine'!G$2:G$200,MATCH(A126,'Matching Engine'!A$2:A$200,0))=0,INDEX('Matching Engine'!H$2:H$200,MATCH(A126,'Matching Engine'!A$2:A$200,0))=0),"None",IF(INDEX('Matching Engine'!F$2:F$200,MATCH(A126,'Matching Engine'!A$2:A$200,0))=1,"♂ ","")&amp;IF(INDEX('Matching Engine'!G$2:G$200,MATCH(A126,'Matching Engine'!A$2:A$200,0))=1,"♀ ","")&amp;IF(INDEX('Matching Engine'!H$2:H$200,MATCH(A126,'Matching Engine'!A$2:A$200,0))=1,"⚧","")))</f>
        <v/>
      </c>
      <c r="D126" s="28" t="str">
        <f>IF(A126="","",INDEX('Matching Engine'!L$2:L$200,MATCH(A126,'Matching Engine'!A$2:A$200,0)))</f>
        <v/>
      </c>
      <c r="E126" s="28" t="str">
        <f t="shared" si="3"/>
        <v/>
      </c>
    </row>
    <row r="127" spans="1:5" ht="14.25" customHeight="1" x14ac:dyDescent="0.35">
      <c r="A127" s="38" t="str">
        <f>IFERROR(INDEX('Matching Engine'!A$2:A$200,MATCH(ROW()-68,'Matching Engine'!M$2:M$200,0)),"")</f>
        <v/>
      </c>
      <c r="B127" s="28" t="str">
        <f>IF(A127="","",INDEX('Matching Engine'!B$2:B$200,MATCH(A127,'Matching Engine'!A$2:A$200,0)))</f>
        <v/>
      </c>
      <c r="C127" s="28" t="str">
        <f>IF(A127="","",IF(AND(INDEX('Matching Engine'!F$2:F$200,MATCH(A127,'Matching Engine'!A$2:A$200,0))=0,INDEX('Matching Engine'!G$2:G$200,MATCH(A127,'Matching Engine'!A$2:A$200,0))=0,INDEX('Matching Engine'!H$2:H$200,MATCH(A127,'Matching Engine'!A$2:A$200,0))=0),"None",IF(INDEX('Matching Engine'!F$2:F$200,MATCH(A127,'Matching Engine'!A$2:A$200,0))=1,"♂ ","")&amp;IF(INDEX('Matching Engine'!G$2:G$200,MATCH(A127,'Matching Engine'!A$2:A$200,0))=1,"♀ ","")&amp;IF(INDEX('Matching Engine'!H$2:H$200,MATCH(A127,'Matching Engine'!A$2:A$200,0))=1,"⚧","")))</f>
        <v/>
      </c>
      <c r="D127" s="28" t="str">
        <f>IF(A127="","",INDEX('Matching Engine'!L$2:L$200,MATCH(A127,'Matching Engine'!A$2:A$200,0)))</f>
        <v/>
      </c>
      <c r="E127" s="28" t="str">
        <f t="shared" si="3"/>
        <v/>
      </c>
    </row>
    <row r="128" spans="1:5" ht="14.25" customHeight="1" x14ac:dyDescent="0.35">
      <c r="A128" s="38" t="str">
        <f>IFERROR(INDEX('Matching Engine'!A$2:A$200,MATCH(ROW()-68,'Matching Engine'!M$2:M$200,0)),"")</f>
        <v/>
      </c>
      <c r="B128" s="28" t="str">
        <f>IF(A128="","",INDEX('Matching Engine'!B$2:B$200,MATCH(A128,'Matching Engine'!A$2:A$200,0)))</f>
        <v/>
      </c>
      <c r="C128" s="28" t="str">
        <f>IF(A128="","",IF(AND(INDEX('Matching Engine'!F$2:F$200,MATCH(A128,'Matching Engine'!A$2:A$200,0))=0,INDEX('Matching Engine'!G$2:G$200,MATCH(A128,'Matching Engine'!A$2:A$200,0))=0,INDEX('Matching Engine'!H$2:H$200,MATCH(A128,'Matching Engine'!A$2:A$200,0))=0),"None",IF(INDEX('Matching Engine'!F$2:F$200,MATCH(A128,'Matching Engine'!A$2:A$200,0))=1,"♂ ","")&amp;IF(INDEX('Matching Engine'!G$2:G$200,MATCH(A128,'Matching Engine'!A$2:A$200,0))=1,"♀ ","")&amp;IF(INDEX('Matching Engine'!H$2:H$200,MATCH(A128,'Matching Engine'!A$2:A$200,0))=1,"⚧","")))</f>
        <v/>
      </c>
      <c r="D128" s="28" t="str">
        <f>IF(A128="","",INDEX('Matching Engine'!L$2:L$200,MATCH(A128,'Matching Engine'!A$2:A$200,0)))</f>
        <v/>
      </c>
      <c r="E128" s="28" t="str">
        <f t="shared" si="3"/>
        <v/>
      </c>
    </row>
    <row r="129" spans="1:5" ht="14.25" customHeight="1" x14ac:dyDescent="0.35">
      <c r="A129" s="38" t="str">
        <f>IFERROR(INDEX('Matching Engine'!A$2:A$200,MATCH(ROW()-68,'Matching Engine'!M$2:M$200,0)),"")</f>
        <v/>
      </c>
      <c r="B129" s="28" t="str">
        <f>IF(A129="","",INDEX('Matching Engine'!B$2:B$200,MATCH(A129,'Matching Engine'!A$2:A$200,0)))</f>
        <v/>
      </c>
      <c r="C129" s="28" t="str">
        <f>IF(A129="","",IF(AND(INDEX('Matching Engine'!F$2:F$200,MATCH(A129,'Matching Engine'!A$2:A$200,0))=0,INDEX('Matching Engine'!G$2:G$200,MATCH(A129,'Matching Engine'!A$2:A$200,0))=0,INDEX('Matching Engine'!H$2:H$200,MATCH(A129,'Matching Engine'!A$2:A$200,0))=0),"None",IF(INDEX('Matching Engine'!F$2:F$200,MATCH(A129,'Matching Engine'!A$2:A$200,0))=1,"♂ ","")&amp;IF(INDEX('Matching Engine'!G$2:G$200,MATCH(A129,'Matching Engine'!A$2:A$200,0))=1,"♀ ","")&amp;IF(INDEX('Matching Engine'!H$2:H$200,MATCH(A129,'Matching Engine'!A$2:A$200,0))=1,"⚧","")))</f>
        <v/>
      </c>
      <c r="D129" s="28" t="str">
        <f>IF(A129="","",INDEX('Matching Engine'!L$2:L$200,MATCH(A129,'Matching Engine'!A$2:A$200,0)))</f>
        <v/>
      </c>
      <c r="E129" s="28" t="str">
        <f t="shared" si="3"/>
        <v/>
      </c>
    </row>
    <row r="130" spans="1:5" ht="14.25" customHeight="1" x14ac:dyDescent="0.35">
      <c r="A130" s="38" t="str">
        <f>IFERROR(INDEX('Matching Engine'!A$2:A$200,MATCH(ROW()-68,'Matching Engine'!M$2:M$200,0)),"")</f>
        <v/>
      </c>
      <c r="B130" s="28" t="str">
        <f>IF(A130="","",INDEX('Matching Engine'!B$2:B$200,MATCH(A130,'Matching Engine'!A$2:A$200,0)))</f>
        <v/>
      </c>
      <c r="C130" s="28" t="str">
        <f>IF(A130="","",IF(AND(INDEX('Matching Engine'!F$2:F$200,MATCH(A130,'Matching Engine'!A$2:A$200,0))=0,INDEX('Matching Engine'!G$2:G$200,MATCH(A130,'Matching Engine'!A$2:A$200,0))=0,INDEX('Matching Engine'!H$2:H$200,MATCH(A130,'Matching Engine'!A$2:A$200,0))=0),"None",IF(INDEX('Matching Engine'!F$2:F$200,MATCH(A130,'Matching Engine'!A$2:A$200,0))=1,"♂ ","")&amp;IF(INDEX('Matching Engine'!G$2:G$200,MATCH(A130,'Matching Engine'!A$2:A$200,0))=1,"♀ ","")&amp;IF(INDEX('Matching Engine'!H$2:H$200,MATCH(A130,'Matching Engine'!A$2:A$200,0))=1,"⚧","")))</f>
        <v/>
      </c>
      <c r="D130" s="28" t="str">
        <f>IF(A130="","",INDEX('Matching Engine'!L$2:L$200,MATCH(A130,'Matching Engine'!A$2:A$200,0)))</f>
        <v/>
      </c>
      <c r="E130" s="28" t="str">
        <f t="shared" si="3"/>
        <v/>
      </c>
    </row>
    <row r="131" spans="1:5" ht="14.25" customHeight="1" x14ac:dyDescent="0.35">
      <c r="A131" s="38" t="str">
        <f>IFERROR(INDEX('Matching Engine'!A$2:A$200,MATCH(ROW()-68,'Matching Engine'!M$2:M$200,0)),"")</f>
        <v/>
      </c>
      <c r="B131" s="28" t="str">
        <f>IF(A131="","",INDEX('Matching Engine'!B$2:B$200,MATCH(A131,'Matching Engine'!A$2:A$200,0)))</f>
        <v/>
      </c>
      <c r="C131" s="28" t="str">
        <f>IF(A131="","",IF(AND(INDEX('Matching Engine'!F$2:F$200,MATCH(A131,'Matching Engine'!A$2:A$200,0))=0,INDEX('Matching Engine'!G$2:G$200,MATCH(A131,'Matching Engine'!A$2:A$200,0))=0,INDEX('Matching Engine'!H$2:H$200,MATCH(A131,'Matching Engine'!A$2:A$200,0))=0),"None",IF(INDEX('Matching Engine'!F$2:F$200,MATCH(A131,'Matching Engine'!A$2:A$200,0))=1,"♂ ","")&amp;IF(INDEX('Matching Engine'!G$2:G$200,MATCH(A131,'Matching Engine'!A$2:A$200,0))=1,"♀ ","")&amp;IF(INDEX('Matching Engine'!H$2:H$200,MATCH(A131,'Matching Engine'!A$2:A$200,0))=1,"⚧","")))</f>
        <v/>
      </c>
      <c r="D131" s="28" t="str">
        <f>IF(A131="","",INDEX('Matching Engine'!L$2:L$200,MATCH(A131,'Matching Engine'!A$2:A$200,0)))</f>
        <v/>
      </c>
      <c r="E131" s="28" t="str">
        <f t="shared" si="3"/>
        <v/>
      </c>
    </row>
    <row r="132" spans="1:5" ht="14.25" customHeight="1" x14ac:dyDescent="0.35">
      <c r="A132" s="38" t="str">
        <f>IFERROR(INDEX('Matching Engine'!A$2:A$200,MATCH(ROW()-68,'Matching Engine'!M$2:M$200,0)),"")</f>
        <v/>
      </c>
      <c r="B132" s="28" t="str">
        <f>IF(A132="","",INDEX('Matching Engine'!B$2:B$200,MATCH(A132,'Matching Engine'!A$2:A$200,0)))</f>
        <v/>
      </c>
      <c r="C132" s="28" t="str">
        <f>IF(A132="","",IF(AND(INDEX('Matching Engine'!F$2:F$200,MATCH(A132,'Matching Engine'!A$2:A$200,0))=0,INDEX('Matching Engine'!G$2:G$200,MATCH(A132,'Matching Engine'!A$2:A$200,0))=0,INDEX('Matching Engine'!H$2:H$200,MATCH(A132,'Matching Engine'!A$2:A$200,0))=0),"None",IF(INDEX('Matching Engine'!F$2:F$200,MATCH(A132,'Matching Engine'!A$2:A$200,0))=1,"♂ ","")&amp;IF(INDEX('Matching Engine'!G$2:G$200,MATCH(A132,'Matching Engine'!A$2:A$200,0))=1,"♀ ","")&amp;IF(INDEX('Matching Engine'!H$2:H$200,MATCH(A132,'Matching Engine'!A$2:A$200,0))=1,"⚧","")))</f>
        <v/>
      </c>
      <c r="D132" s="28" t="str">
        <f>IF(A132="","",INDEX('Matching Engine'!L$2:L$200,MATCH(A132,'Matching Engine'!A$2:A$200,0)))</f>
        <v/>
      </c>
      <c r="E132" s="28" t="str">
        <f t="shared" si="3"/>
        <v/>
      </c>
    </row>
    <row r="133" spans="1:5" ht="14.25" customHeight="1" x14ac:dyDescent="0.35">
      <c r="A133" s="38" t="str">
        <f>IFERROR(INDEX('Matching Engine'!A$2:A$200,MATCH(ROW()-68,'Matching Engine'!M$2:M$200,0)),"")</f>
        <v/>
      </c>
      <c r="B133" s="28" t="str">
        <f>IF(A133="","",INDEX('Matching Engine'!B$2:B$200,MATCH(A133,'Matching Engine'!A$2:A$200,0)))</f>
        <v/>
      </c>
      <c r="C133" s="28" t="str">
        <f>IF(A133="","",IF(AND(INDEX('Matching Engine'!F$2:F$200,MATCH(A133,'Matching Engine'!A$2:A$200,0))=0,INDEX('Matching Engine'!G$2:G$200,MATCH(A133,'Matching Engine'!A$2:A$200,0))=0,INDEX('Matching Engine'!H$2:H$200,MATCH(A133,'Matching Engine'!A$2:A$200,0))=0),"None",IF(INDEX('Matching Engine'!F$2:F$200,MATCH(A133,'Matching Engine'!A$2:A$200,0))=1,"♂ ","")&amp;IF(INDEX('Matching Engine'!G$2:G$200,MATCH(A133,'Matching Engine'!A$2:A$200,0))=1,"♀ ","")&amp;IF(INDEX('Matching Engine'!H$2:H$200,MATCH(A133,'Matching Engine'!A$2:A$200,0))=1,"⚧","")))</f>
        <v/>
      </c>
      <c r="D133" s="28" t="str">
        <f>IF(A133="","",INDEX('Matching Engine'!L$2:L$200,MATCH(A133,'Matching Engine'!A$2:A$200,0)))</f>
        <v/>
      </c>
      <c r="E133" s="28" t="str">
        <f t="shared" si="3"/>
        <v/>
      </c>
    </row>
    <row r="134" spans="1:5" ht="14.25" customHeight="1" x14ac:dyDescent="0.35">
      <c r="A134" s="38" t="str">
        <f>IFERROR(INDEX('Matching Engine'!A$2:A$200,MATCH(ROW()-68,'Matching Engine'!M$2:M$200,0)),"")</f>
        <v/>
      </c>
      <c r="B134" s="28" t="str">
        <f>IF(A134="","",INDEX('Matching Engine'!B$2:B$200,MATCH(A134,'Matching Engine'!A$2:A$200,0)))</f>
        <v/>
      </c>
      <c r="C134" s="28" t="str">
        <f>IF(A134="","",IF(AND(INDEX('Matching Engine'!F$2:F$200,MATCH(A134,'Matching Engine'!A$2:A$200,0))=0,INDEX('Matching Engine'!G$2:G$200,MATCH(A134,'Matching Engine'!A$2:A$200,0))=0,INDEX('Matching Engine'!H$2:H$200,MATCH(A134,'Matching Engine'!A$2:A$200,0))=0),"None",IF(INDEX('Matching Engine'!F$2:F$200,MATCH(A134,'Matching Engine'!A$2:A$200,0))=1,"♂ ","")&amp;IF(INDEX('Matching Engine'!G$2:G$200,MATCH(A134,'Matching Engine'!A$2:A$200,0))=1,"♀ ","")&amp;IF(INDEX('Matching Engine'!H$2:H$200,MATCH(A134,'Matching Engine'!A$2:A$200,0))=1,"⚧","")))</f>
        <v/>
      </c>
      <c r="D134" s="28" t="str">
        <f>IF(A134="","",INDEX('Matching Engine'!L$2:L$200,MATCH(A134,'Matching Engine'!A$2:A$200,0)))</f>
        <v/>
      </c>
      <c r="E134" s="28" t="str">
        <f t="shared" si="3"/>
        <v/>
      </c>
    </row>
    <row r="135" spans="1:5" ht="14.25" customHeight="1" x14ac:dyDescent="0.35">
      <c r="A135" s="38" t="str">
        <f>IFERROR(INDEX('Matching Engine'!A$2:A$200,MATCH(ROW()-68,'Matching Engine'!M$2:M$200,0)),"")</f>
        <v/>
      </c>
      <c r="B135" s="28" t="str">
        <f>IF(A135="","",INDEX('Matching Engine'!B$2:B$200,MATCH(A135,'Matching Engine'!A$2:A$200,0)))</f>
        <v/>
      </c>
      <c r="C135" s="28" t="str">
        <f>IF(A135="","",IF(AND(INDEX('Matching Engine'!F$2:F$200,MATCH(A135,'Matching Engine'!A$2:A$200,0))=0,INDEX('Matching Engine'!G$2:G$200,MATCH(A135,'Matching Engine'!A$2:A$200,0))=0,INDEX('Matching Engine'!H$2:H$200,MATCH(A135,'Matching Engine'!A$2:A$200,0))=0),"None",IF(INDEX('Matching Engine'!F$2:F$200,MATCH(A135,'Matching Engine'!A$2:A$200,0))=1,"♂ ","")&amp;IF(INDEX('Matching Engine'!G$2:G$200,MATCH(A135,'Matching Engine'!A$2:A$200,0))=1,"♀ ","")&amp;IF(INDEX('Matching Engine'!H$2:H$200,MATCH(A135,'Matching Engine'!A$2:A$200,0))=1,"⚧","")))</f>
        <v/>
      </c>
      <c r="D135" s="28" t="str">
        <f>IF(A135="","",INDEX('Matching Engine'!L$2:L$200,MATCH(A135,'Matching Engine'!A$2:A$200,0)))</f>
        <v/>
      </c>
      <c r="E135" s="28" t="str">
        <f t="shared" si="3"/>
        <v/>
      </c>
    </row>
    <row r="136" spans="1:5" ht="14.25" customHeight="1" x14ac:dyDescent="0.35">
      <c r="A136" s="38" t="str">
        <f>IFERROR(INDEX('Matching Engine'!A$2:A$200,MATCH(ROW()-68,'Matching Engine'!M$2:M$200,0)),"")</f>
        <v/>
      </c>
      <c r="B136" s="28" t="str">
        <f>IF(A136="","",INDEX('Matching Engine'!B$2:B$200,MATCH(A136,'Matching Engine'!A$2:A$200,0)))</f>
        <v/>
      </c>
      <c r="C136" s="28" t="str">
        <f>IF(A136="","",IF(AND(INDEX('Matching Engine'!F$2:F$200,MATCH(A136,'Matching Engine'!A$2:A$200,0))=0,INDEX('Matching Engine'!G$2:G$200,MATCH(A136,'Matching Engine'!A$2:A$200,0))=0,INDEX('Matching Engine'!H$2:H$200,MATCH(A136,'Matching Engine'!A$2:A$200,0))=0),"None",IF(INDEX('Matching Engine'!F$2:F$200,MATCH(A136,'Matching Engine'!A$2:A$200,0))=1,"♂ ","")&amp;IF(INDEX('Matching Engine'!G$2:G$200,MATCH(A136,'Matching Engine'!A$2:A$200,0))=1,"♀ ","")&amp;IF(INDEX('Matching Engine'!H$2:H$200,MATCH(A136,'Matching Engine'!A$2:A$200,0))=1,"⚧","")))</f>
        <v/>
      </c>
      <c r="D136" s="28" t="str">
        <f>IF(A136="","",INDEX('Matching Engine'!L$2:L$200,MATCH(A136,'Matching Engine'!A$2:A$200,0)))</f>
        <v/>
      </c>
      <c r="E136" s="28" t="str">
        <f t="shared" si="3"/>
        <v/>
      </c>
    </row>
    <row r="137" spans="1:5" ht="14.25" customHeight="1" x14ac:dyDescent="0.35">
      <c r="A137" s="38" t="str">
        <f>IFERROR(INDEX('Matching Engine'!A$2:A$200,MATCH(ROW()-68,'Matching Engine'!M$2:M$200,0)),"")</f>
        <v/>
      </c>
      <c r="B137" s="28" t="str">
        <f>IF(A137="","",INDEX('Matching Engine'!B$2:B$200,MATCH(A137,'Matching Engine'!A$2:A$200,0)))</f>
        <v/>
      </c>
      <c r="C137" s="28" t="str">
        <f>IF(A137="","",IF(AND(INDEX('Matching Engine'!F$2:F$200,MATCH(A137,'Matching Engine'!A$2:A$200,0))=0,INDEX('Matching Engine'!G$2:G$200,MATCH(A137,'Matching Engine'!A$2:A$200,0))=0,INDEX('Matching Engine'!H$2:H$200,MATCH(A137,'Matching Engine'!A$2:A$200,0))=0),"None",IF(INDEX('Matching Engine'!F$2:F$200,MATCH(A137,'Matching Engine'!A$2:A$200,0))=1,"♂ ","")&amp;IF(INDEX('Matching Engine'!G$2:G$200,MATCH(A137,'Matching Engine'!A$2:A$200,0))=1,"♀ ","")&amp;IF(INDEX('Matching Engine'!H$2:H$200,MATCH(A137,'Matching Engine'!A$2:A$200,0))=1,"⚧","")))</f>
        <v/>
      </c>
      <c r="D137" s="28" t="str">
        <f>IF(A137="","",INDEX('Matching Engine'!L$2:L$200,MATCH(A137,'Matching Engine'!A$2:A$200,0)))</f>
        <v/>
      </c>
      <c r="E137" s="28" t="str">
        <f t="shared" si="3"/>
        <v/>
      </c>
    </row>
    <row r="138" spans="1:5" ht="14.25" customHeight="1" x14ac:dyDescent="0.35">
      <c r="A138" s="38" t="str">
        <f>IFERROR(INDEX('Matching Engine'!A$2:A$200,MATCH(ROW()-68,'Matching Engine'!M$2:M$200,0)),"")</f>
        <v/>
      </c>
      <c r="B138" s="28" t="str">
        <f>IF(A138="","",INDEX('Matching Engine'!B$2:B$200,MATCH(A138,'Matching Engine'!A$2:A$200,0)))</f>
        <v/>
      </c>
      <c r="C138" s="28" t="str">
        <f>IF(A138="","",IF(AND(INDEX('Matching Engine'!F$2:F$200,MATCH(A138,'Matching Engine'!A$2:A$200,0))=0,INDEX('Matching Engine'!G$2:G$200,MATCH(A138,'Matching Engine'!A$2:A$200,0))=0,INDEX('Matching Engine'!H$2:H$200,MATCH(A138,'Matching Engine'!A$2:A$200,0))=0),"None",IF(INDEX('Matching Engine'!F$2:F$200,MATCH(A138,'Matching Engine'!A$2:A$200,0))=1,"♂ ","")&amp;IF(INDEX('Matching Engine'!G$2:G$200,MATCH(A138,'Matching Engine'!A$2:A$200,0))=1,"♀ ","")&amp;IF(INDEX('Matching Engine'!H$2:H$200,MATCH(A138,'Matching Engine'!A$2:A$200,0))=1,"⚧","")))</f>
        <v/>
      </c>
      <c r="D138" s="28" t="str">
        <f>IF(A138="","",INDEX('Matching Engine'!L$2:L$200,MATCH(A138,'Matching Engine'!A$2:A$200,0)))</f>
        <v/>
      </c>
      <c r="E138" s="28" t="str">
        <f t="shared" si="3"/>
        <v/>
      </c>
    </row>
    <row r="139" spans="1:5" ht="14.25" customHeight="1" x14ac:dyDescent="0.35">
      <c r="A139" s="38" t="str">
        <f>IFERROR(INDEX('Matching Engine'!A$2:A$200,MATCH(ROW()-68,'Matching Engine'!M$2:M$200,0)),"")</f>
        <v/>
      </c>
      <c r="B139" s="28" t="str">
        <f>IF(A139="","",INDEX('Matching Engine'!B$2:B$200,MATCH(A139,'Matching Engine'!A$2:A$200,0)))</f>
        <v/>
      </c>
      <c r="C139" s="28" t="str">
        <f>IF(A139="","",IF(AND(INDEX('Matching Engine'!F$2:F$200,MATCH(A139,'Matching Engine'!A$2:A$200,0))=0,INDEX('Matching Engine'!G$2:G$200,MATCH(A139,'Matching Engine'!A$2:A$200,0))=0,INDEX('Matching Engine'!H$2:H$200,MATCH(A139,'Matching Engine'!A$2:A$200,0))=0),"None",IF(INDEX('Matching Engine'!F$2:F$200,MATCH(A139,'Matching Engine'!A$2:A$200,0))=1,"♂ ","")&amp;IF(INDEX('Matching Engine'!G$2:G$200,MATCH(A139,'Matching Engine'!A$2:A$200,0))=1,"♀ ","")&amp;IF(INDEX('Matching Engine'!H$2:H$200,MATCH(A139,'Matching Engine'!A$2:A$200,0))=1,"⚧","")))</f>
        <v/>
      </c>
      <c r="D139" s="28" t="str">
        <f>IF(A139="","",INDEX('Matching Engine'!L$2:L$200,MATCH(A139,'Matching Engine'!A$2:A$200,0)))</f>
        <v/>
      </c>
      <c r="E139" s="28" t="str">
        <f t="shared" ref="E139:E170" si="4">IF(A139="","",IF(D139=0,"0% — no compatible partners",TEXT(D139/($B$6-1),"0%")&amp;" — "&amp;D139&amp;" of "&amp;($B$6-1)&amp;" compatible"))</f>
        <v/>
      </c>
    </row>
    <row r="140" spans="1:5" ht="14.25" customHeight="1" x14ac:dyDescent="0.35">
      <c r="A140" s="38" t="str">
        <f>IFERROR(INDEX('Matching Engine'!A$2:A$200,MATCH(ROW()-68,'Matching Engine'!M$2:M$200,0)),"")</f>
        <v/>
      </c>
      <c r="B140" s="28" t="str">
        <f>IF(A140="","",INDEX('Matching Engine'!B$2:B$200,MATCH(A140,'Matching Engine'!A$2:A$200,0)))</f>
        <v/>
      </c>
      <c r="C140" s="28" t="str">
        <f>IF(A140="","",IF(AND(INDEX('Matching Engine'!F$2:F$200,MATCH(A140,'Matching Engine'!A$2:A$200,0))=0,INDEX('Matching Engine'!G$2:G$200,MATCH(A140,'Matching Engine'!A$2:A$200,0))=0,INDEX('Matching Engine'!H$2:H$200,MATCH(A140,'Matching Engine'!A$2:A$200,0))=0),"None",IF(INDEX('Matching Engine'!F$2:F$200,MATCH(A140,'Matching Engine'!A$2:A$200,0))=1,"♂ ","")&amp;IF(INDEX('Matching Engine'!G$2:G$200,MATCH(A140,'Matching Engine'!A$2:A$200,0))=1,"♀ ","")&amp;IF(INDEX('Matching Engine'!H$2:H$200,MATCH(A140,'Matching Engine'!A$2:A$200,0))=1,"⚧","")))</f>
        <v/>
      </c>
      <c r="D140" s="28" t="str">
        <f>IF(A140="","",INDEX('Matching Engine'!L$2:L$200,MATCH(A140,'Matching Engine'!A$2:A$200,0)))</f>
        <v/>
      </c>
      <c r="E140" s="28" t="str">
        <f t="shared" si="4"/>
        <v/>
      </c>
    </row>
    <row r="141" spans="1:5" ht="14.25" customHeight="1" x14ac:dyDescent="0.35">
      <c r="A141" s="38" t="str">
        <f>IFERROR(INDEX('Matching Engine'!A$2:A$200,MATCH(ROW()-68,'Matching Engine'!M$2:M$200,0)),"")</f>
        <v/>
      </c>
      <c r="B141" s="28" t="str">
        <f>IF(A141="","",INDEX('Matching Engine'!B$2:B$200,MATCH(A141,'Matching Engine'!A$2:A$200,0)))</f>
        <v/>
      </c>
      <c r="C141" s="28" t="str">
        <f>IF(A141="","",IF(AND(INDEX('Matching Engine'!F$2:F$200,MATCH(A141,'Matching Engine'!A$2:A$200,0))=0,INDEX('Matching Engine'!G$2:G$200,MATCH(A141,'Matching Engine'!A$2:A$200,0))=0,INDEX('Matching Engine'!H$2:H$200,MATCH(A141,'Matching Engine'!A$2:A$200,0))=0),"None",IF(INDEX('Matching Engine'!F$2:F$200,MATCH(A141,'Matching Engine'!A$2:A$200,0))=1,"♂ ","")&amp;IF(INDEX('Matching Engine'!G$2:G$200,MATCH(A141,'Matching Engine'!A$2:A$200,0))=1,"♀ ","")&amp;IF(INDEX('Matching Engine'!H$2:H$200,MATCH(A141,'Matching Engine'!A$2:A$200,0))=1,"⚧","")))</f>
        <v/>
      </c>
      <c r="D141" s="28" t="str">
        <f>IF(A141="","",INDEX('Matching Engine'!L$2:L$200,MATCH(A141,'Matching Engine'!A$2:A$200,0)))</f>
        <v/>
      </c>
      <c r="E141" s="28" t="str">
        <f t="shared" si="4"/>
        <v/>
      </c>
    </row>
    <row r="142" spans="1:5" ht="14.25" customHeight="1" x14ac:dyDescent="0.35">
      <c r="A142" s="38" t="str">
        <f>IFERROR(INDEX('Matching Engine'!A$2:A$200,MATCH(ROW()-68,'Matching Engine'!M$2:M$200,0)),"")</f>
        <v/>
      </c>
      <c r="B142" s="28" t="str">
        <f>IF(A142="","",INDEX('Matching Engine'!B$2:B$200,MATCH(A142,'Matching Engine'!A$2:A$200,0)))</f>
        <v/>
      </c>
      <c r="C142" s="28" t="str">
        <f>IF(A142="","",IF(AND(INDEX('Matching Engine'!F$2:F$200,MATCH(A142,'Matching Engine'!A$2:A$200,0))=0,INDEX('Matching Engine'!G$2:G$200,MATCH(A142,'Matching Engine'!A$2:A$200,0))=0,INDEX('Matching Engine'!H$2:H$200,MATCH(A142,'Matching Engine'!A$2:A$200,0))=0),"None",IF(INDEX('Matching Engine'!F$2:F$200,MATCH(A142,'Matching Engine'!A$2:A$200,0))=1,"♂ ","")&amp;IF(INDEX('Matching Engine'!G$2:G$200,MATCH(A142,'Matching Engine'!A$2:A$200,0))=1,"♀ ","")&amp;IF(INDEX('Matching Engine'!H$2:H$200,MATCH(A142,'Matching Engine'!A$2:A$200,0))=1,"⚧","")))</f>
        <v/>
      </c>
      <c r="D142" s="28" t="str">
        <f>IF(A142="","",INDEX('Matching Engine'!L$2:L$200,MATCH(A142,'Matching Engine'!A$2:A$200,0)))</f>
        <v/>
      </c>
      <c r="E142" s="28" t="str">
        <f t="shared" si="4"/>
        <v/>
      </c>
    </row>
    <row r="143" spans="1:5" ht="14.25" customHeight="1" x14ac:dyDescent="0.35">
      <c r="A143" s="38" t="str">
        <f>IFERROR(INDEX('Matching Engine'!A$2:A$200,MATCH(ROW()-68,'Matching Engine'!M$2:M$200,0)),"")</f>
        <v/>
      </c>
      <c r="B143" s="28" t="str">
        <f>IF(A143="","",INDEX('Matching Engine'!B$2:B$200,MATCH(A143,'Matching Engine'!A$2:A$200,0)))</f>
        <v/>
      </c>
      <c r="C143" s="28" t="str">
        <f>IF(A143="","",IF(AND(INDEX('Matching Engine'!F$2:F$200,MATCH(A143,'Matching Engine'!A$2:A$200,0))=0,INDEX('Matching Engine'!G$2:G$200,MATCH(A143,'Matching Engine'!A$2:A$200,0))=0,INDEX('Matching Engine'!H$2:H$200,MATCH(A143,'Matching Engine'!A$2:A$200,0))=0),"None",IF(INDEX('Matching Engine'!F$2:F$200,MATCH(A143,'Matching Engine'!A$2:A$200,0))=1,"♂ ","")&amp;IF(INDEX('Matching Engine'!G$2:G$200,MATCH(A143,'Matching Engine'!A$2:A$200,0))=1,"♀ ","")&amp;IF(INDEX('Matching Engine'!H$2:H$200,MATCH(A143,'Matching Engine'!A$2:A$200,0))=1,"⚧","")))</f>
        <v/>
      </c>
      <c r="D143" s="28" t="str">
        <f>IF(A143="","",INDEX('Matching Engine'!L$2:L$200,MATCH(A143,'Matching Engine'!A$2:A$200,0)))</f>
        <v/>
      </c>
      <c r="E143" s="28" t="str">
        <f t="shared" si="4"/>
        <v/>
      </c>
    </row>
    <row r="144" spans="1:5" ht="14.25" customHeight="1" x14ac:dyDescent="0.35">
      <c r="A144" s="38" t="str">
        <f>IFERROR(INDEX('Matching Engine'!A$2:A$200,MATCH(ROW()-68,'Matching Engine'!M$2:M$200,0)),"")</f>
        <v/>
      </c>
      <c r="B144" s="28" t="str">
        <f>IF(A144="","",INDEX('Matching Engine'!B$2:B$200,MATCH(A144,'Matching Engine'!A$2:A$200,0)))</f>
        <v/>
      </c>
      <c r="C144" s="28" t="str">
        <f>IF(A144="","",IF(AND(INDEX('Matching Engine'!F$2:F$200,MATCH(A144,'Matching Engine'!A$2:A$200,0))=0,INDEX('Matching Engine'!G$2:G$200,MATCH(A144,'Matching Engine'!A$2:A$200,0))=0,INDEX('Matching Engine'!H$2:H$200,MATCH(A144,'Matching Engine'!A$2:A$200,0))=0),"None",IF(INDEX('Matching Engine'!F$2:F$200,MATCH(A144,'Matching Engine'!A$2:A$200,0))=1,"♂ ","")&amp;IF(INDEX('Matching Engine'!G$2:G$200,MATCH(A144,'Matching Engine'!A$2:A$200,0))=1,"♀ ","")&amp;IF(INDEX('Matching Engine'!H$2:H$200,MATCH(A144,'Matching Engine'!A$2:A$200,0))=1,"⚧","")))</f>
        <v/>
      </c>
      <c r="D144" s="28" t="str">
        <f>IF(A144="","",INDEX('Matching Engine'!L$2:L$200,MATCH(A144,'Matching Engine'!A$2:A$200,0)))</f>
        <v/>
      </c>
      <c r="E144" s="28" t="str">
        <f t="shared" si="4"/>
        <v/>
      </c>
    </row>
    <row r="145" spans="1:5" ht="14.25" customHeight="1" x14ac:dyDescent="0.35">
      <c r="A145" s="38" t="str">
        <f>IFERROR(INDEX('Matching Engine'!A$2:A$200,MATCH(ROW()-68,'Matching Engine'!M$2:M$200,0)),"")</f>
        <v/>
      </c>
      <c r="B145" s="28" t="str">
        <f>IF(A145="","",INDEX('Matching Engine'!B$2:B$200,MATCH(A145,'Matching Engine'!A$2:A$200,0)))</f>
        <v/>
      </c>
      <c r="C145" s="28" t="str">
        <f>IF(A145="","",IF(AND(INDEX('Matching Engine'!F$2:F$200,MATCH(A145,'Matching Engine'!A$2:A$200,0))=0,INDEX('Matching Engine'!G$2:G$200,MATCH(A145,'Matching Engine'!A$2:A$200,0))=0,INDEX('Matching Engine'!H$2:H$200,MATCH(A145,'Matching Engine'!A$2:A$200,0))=0),"None",IF(INDEX('Matching Engine'!F$2:F$200,MATCH(A145,'Matching Engine'!A$2:A$200,0))=1,"♂ ","")&amp;IF(INDEX('Matching Engine'!G$2:G$200,MATCH(A145,'Matching Engine'!A$2:A$200,0))=1,"♀ ","")&amp;IF(INDEX('Matching Engine'!H$2:H$200,MATCH(A145,'Matching Engine'!A$2:A$200,0))=1,"⚧","")))</f>
        <v/>
      </c>
      <c r="D145" s="28" t="str">
        <f>IF(A145="","",INDEX('Matching Engine'!L$2:L$200,MATCH(A145,'Matching Engine'!A$2:A$200,0)))</f>
        <v/>
      </c>
      <c r="E145" s="28" t="str">
        <f t="shared" si="4"/>
        <v/>
      </c>
    </row>
    <row r="146" spans="1:5" ht="14.25" customHeight="1" x14ac:dyDescent="0.35">
      <c r="A146" s="38" t="str">
        <f>IFERROR(INDEX('Matching Engine'!A$2:A$200,MATCH(ROW()-68,'Matching Engine'!M$2:M$200,0)),"")</f>
        <v/>
      </c>
      <c r="B146" s="28" t="str">
        <f>IF(A146="","",INDEX('Matching Engine'!B$2:B$200,MATCH(A146,'Matching Engine'!A$2:A$200,0)))</f>
        <v/>
      </c>
      <c r="C146" s="28" t="str">
        <f>IF(A146="","",IF(AND(INDEX('Matching Engine'!F$2:F$200,MATCH(A146,'Matching Engine'!A$2:A$200,0))=0,INDEX('Matching Engine'!G$2:G$200,MATCH(A146,'Matching Engine'!A$2:A$200,0))=0,INDEX('Matching Engine'!H$2:H$200,MATCH(A146,'Matching Engine'!A$2:A$200,0))=0),"None",IF(INDEX('Matching Engine'!F$2:F$200,MATCH(A146,'Matching Engine'!A$2:A$200,0))=1,"♂ ","")&amp;IF(INDEX('Matching Engine'!G$2:G$200,MATCH(A146,'Matching Engine'!A$2:A$200,0))=1,"♀ ","")&amp;IF(INDEX('Matching Engine'!H$2:H$200,MATCH(A146,'Matching Engine'!A$2:A$200,0))=1,"⚧","")))</f>
        <v/>
      </c>
      <c r="D146" s="28" t="str">
        <f>IF(A146="","",INDEX('Matching Engine'!L$2:L$200,MATCH(A146,'Matching Engine'!A$2:A$200,0)))</f>
        <v/>
      </c>
      <c r="E146" s="28" t="str">
        <f t="shared" si="4"/>
        <v/>
      </c>
    </row>
    <row r="147" spans="1:5" ht="14.25" customHeight="1" x14ac:dyDescent="0.35">
      <c r="A147" s="38" t="str">
        <f>IFERROR(INDEX('Matching Engine'!A$2:A$200,MATCH(ROW()-68,'Matching Engine'!M$2:M$200,0)),"")</f>
        <v/>
      </c>
      <c r="B147" s="28" t="str">
        <f>IF(A147="","",INDEX('Matching Engine'!B$2:B$200,MATCH(A147,'Matching Engine'!A$2:A$200,0)))</f>
        <v/>
      </c>
      <c r="C147" s="28" t="str">
        <f>IF(A147="","",IF(AND(INDEX('Matching Engine'!F$2:F$200,MATCH(A147,'Matching Engine'!A$2:A$200,0))=0,INDEX('Matching Engine'!G$2:G$200,MATCH(A147,'Matching Engine'!A$2:A$200,0))=0,INDEX('Matching Engine'!H$2:H$200,MATCH(A147,'Matching Engine'!A$2:A$200,0))=0),"None",IF(INDEX('Matching Engine'!F$2:F$200,MATCH(A147,'Matching Engine'!A$2:A$200,0))=1,"♂ ","")&amp;IF(INDEX('Matching Engine'!G$2:G$200,MATCH(A147,'Matching Engine'!A$2:A$200,0))=1,"♀ ","")&amp;IF(INDEX('Matching Engine'!H$2:H$200,MATCH(A147,'Matching Engine'!A$2:A$200,0))=1,"⚧","")))</f>
        <v/>
      </c>
      <c r="D147" s="28" t="str">
        <f>IF(A147="","",INDEX('Matching Engine'!L$2:L$200,MATCH(A147,'Matching Engine'!A$2:A$200,0)))</f>
        <v/>
      </c>
      <c r="E147" s="28" t="str">
        <f t="shared" si="4"/>
        <v/>
      </c>
    </row>
    <row r="148" spans="1:5" ht="14.25" customHeight="1" x14ac:dyDescent="0.35">
      <c r="A148" s="38" t="str">
        <f>IFERROR(INDEX('Matching Engine'!A$2:A$200,MATCH(ROW()-68,'Matching Engine'!M$2:M$200,0)),"")</f>
        <v/>
      </c>
      <c r="B148" s="28" t="str">
        <f>IF(A148="","",INDEX('Matching Engine'!B$2:B$200,MATCH(A148,'Matching Engine'!A$2:A$200,0)))</f>
        <v/>
      </c>
      <c r="C148" s="28" t="str">
        <f>IF(A148="","",IF(AND(INDEX('Matching Engine'!F$2:F$200,MATCH(A148,'Matching Engine'!A$2:A$200,0))=0,INDEX('Matching Engine'!G$2:G$200,MATCH(A148,'Matching Engine'!A$2:A$200,0))=0,INDEX('Matching Engine'!H$2:H$200,MATCH(A148,'Matching Engine'!A$2:A$200,0))=0),"None",IF(INDEX('Matching Engine'!F$2:F$200,MATCH(A148,'Matching Engine'!A$2:A$200,0))=1,"♂ ","")&amp;IF(INDEX('Matching Engine'!G$2:G$200,MATCH(A148,'Matching Engine'!A$2:A$200,0))=1,"♀ ","")&amp;IF(INDEX('Matching Engine'!H$2:H$200,MATCH(A148,'Matching Engine'!A$2:A$200,0))=1,"⚧","")))</f>
        <v/>
      </c>
      <c r="D148" s="28" t="str">
        <f>IF(A148="","",INDEX('Matching Engine'!L$2:L$200,MATCH(A148,'Matching Engine'!A$2:A$200,0)))</f>
        <v/>
      </c>
      <c r="E148" s="28" t="str">
        <f t="shared" si="4"/>
        <v/>
      </c>
    </row>
    <row r="149" spans="1:5" ht="14.25" customHeight="1" x14ac:dyDescent="0.35">
      <c r="A149" s="38" t="str">
        <f>IFERROR(INDEX('Matching Engine'!A$2:A$200,MATCH(ROW()-68,'Matching Engine'!M$2:M$200,0)),"")</f>
        <v/>
      </c>
      <c r="B149" s="28" t="str">
        <f>IF(A149="","",INDEX('Matching Engine'!B$2:B$200,MATCH(A149,'Matching Engine'!A$2:A$200,0)))</f>
        <v/>
      </c>
      <c r="C149" s="28" t="str">
        <f>IF(A149="","",IF(AND(INDEX('Matching Engine'!F$2:F$200,MATCH(A149,'Matching Engine'!A$2:A$200,0))=0,INDEX('Matching Engine'!G$2:G$200,MATCH(A149,'Matching Engine'!A$2:A$200,0))=0,INDEX('Matching Engine'!H$2:H$200,MATCH(A149,'Matching Engine'!A$2:A$200,0))=0),"None",IF(INDEX('Matching Engine'!F$2:F$200,MATCH(A149,'Matching Engine'!A$2:A$200,0))=1,"♂ ","")&amp;IF(INDEX('Matching Engine'!G$2:G$200,MATCH(A149,'Matching Engine'!A$2:A$200,0))=1,"♀ ","")&amp;IF(INDEX('Matching Engine'!H$2:H$200,MATCH(A149,'Matching Engine'!A$2:A$200,0))=1,"⚧","")))</f>
        <v/>
      </c>
      <c r="D149" s="28" t="str">
        <f>IF(A149="","",INDEX('Matching Engine'!L$2:L$200,MATCH(A149,'Matching Engine'!A$2:A$200,0)))</f>
        <v/>
      </c>
      <c r="E149" s="28" t="str">
        <f t="shared" si="4"/>
        <v/>
      </c>
    </row>
    <row r="150" spans="1:5" ht="14.25" customHeight="1" x14ac:dyDescent="0.35">
      <c r="A150" s="38" t="str">
        <f>IFERROR(INDEX('Matching Engine'!A$2:A$200,MATCH(ROW()-68,'Matching Engine'!M$2:M$200,0)),"")</f>
        <v/>
      </c>
      <c r="B150" s="28" t="str">
        <f>IF(A150="","",INDEX('Matching Engine'!B$2:B$200,MATCH(A150,'Matching Engine'!A$2:A$200,0)))</f>
        <v/>
      </c>
      <c r="C150" s="28" t="str">
        <f>IF(A150="","",IF(AND(INDEX('Matching Engine'!F$2:F$200,MATCH(A150,'Matching Engine'!A$2:A$200,0))=0,INDEX('Matching Engine'!G$2:G$200,MATCH(A150,'Matching Engine'!A$2:A$200,0))=0,INDEX('Matching Engine'!H$2:H$200,MATCH(A150,'Matching Engine'!A$2:A$200,0))=0),"None",IF(INDEX('Matching Engine'!F$2:F$200,MATCH(A150,'Matching Engine'!A$2:A$200,0))=1,"♂ ","")&amp;IF(INDEX('Matching Engine'!G$2:G$200,MATCH(A150,'Matching Engine'!A$2:A$200,0))=1,"♀ ","")&amp;IF(INDEX('Matching Engine'!H$2:H$200,MATCH(A150,'Matching Engine'!A$2:A$200,0))=1,"⚧","")))</f>
        <v/>
      </c>
      <c r="D150" s="28" t="str">
        <f>IF(A150="","",INDEX('Matching Engine'!L$2:L$200,MATCH(A150,'Matching Engine'!A$2:A$200,0)))</f>
        <v/>
      </c>
      <c r="E150" s="28" t="str">
        <f t="shared" si="4"/>
        <v/>
      </c>
    </row>
    <row r="151" spans="1:5" ht="14.25" customHeight="1" x14ac:dyDescent="0.35">
      <c r="A151" s="38" t="str">
        <f>IFERROR(INDEX('Matching Engine'!A$2:A$200,MATCH(ROW()-68,'Matching Engine'!M$2:M$200,0)),"")</f>
        <v/>
      </c>
      <c r="B151" s="28" t="str">
        <f>IF(A151="","",INDEX('Matching Engine'!B$2:B$200,MATCH(A151,'Matching Engine'!A$2:A$200,0)))</f>
        <v/>
      </c>
      <c r="C151" s="28" t="str">
        <f>IF(A151="","",IF(AND(INDEX('Matching Engine'!F$2:F$200,MATCH(A151,'Matching Engine'!A$2:A$200,0))=0,INDEX('Matching Engine'!G$2:G$200,MATCH(A151,'Matching Engine'!A$2:A$200,0))=0,INDEX('Matching Engine'!H$2:H$200,MATCH(A151,'Matching Engine'!A$2:A$200,0))=0),"None",IF(INDEX('Matching Engine'!F$2:F$200,MATCH(A151,'Matching Engine'!A$2:A$200,0))=1,"♂ ","")&amp;IF(INDEX('Matching Engine'!G$2:G$200,MATCH(A151,'Matching Engine'!A$2:A$200,0))=1,"♀ ","")&amp;IF(INDEX('Matching Engine'!H$2:H$200,MATCH(A151,'Matching Engine'!A$2:A$200,0))=1,"⚧","")))</f>
        <v/>
      </c>
      <c r="D151" s="28" t="str">
        <f>IF(A151="","",INDEX('Matching Engine'!L$2:L$200,MATCH(A151,'Matching Engine'!A$2:A$200,0)))</f>
        <v/>
      </c>
      <c r="E151" s="28" t="str">
        <f t="shared" si="4"/>
        <v/>
      </c>
    </row>
    <row r="152" spans="1:5" ht="14.25" customHeight="1" x14ac:dyDescent="0.35">
      <c r="A152" s="38" t="str">
        <f>IFERROR(INDEX('Matching Engine'!A$2:A$200,MATCH(ROW()-68,'Matching Engine'!M$2:M$200,0)),"")</f>
        <v/>
      </c>
      <c r="B152" s="28" t="str">
        <f>IF(A152="","",INDEX('Matching Engine'!B$2:B$200,MATCH(A152,'Matching Engine'!A$2:A$200,0)))</f>
        <v/>
      </c>
      <c r="C152" s="28" t="str">
        <f>IF(A152="","",IF(AND(INDEX('Matching Engine'!F$2:F$200,MATCH(A152,'Matching Engine'!A$2:A$200,0))=0,INDEX('Matching Engine'!G$2:G$200,MATCH(A152,'Matching Engine'!A$2:A$200,0))=0,INDEX('Matching Engine'!H$2:H$200,MATCH(A152,'Matching Engine'!A$2:A$200,0))=0),"None",IF(INDEX('Matching Engine'!F$2:F$200,MATCH(A152,'Matching Engine'!A$2:A$200,0))=1,"♂ ","")&amp;IF(INDEX('Matching Engine'!G$2:G$200,MATCH(A152,'Matching Engine'!A$2:A$200,0))=1,"♀ ","")&amp;IF(INDEX('Matching Engine'!H$2:H$200,MATCH(A152,'Matching Engine'!A$2:A$200,0))=1,"⚧","")))</f>
        <v/>
      </c>
      <c r="D152" s="28" t="str">
        <f>IF(A152="","",INDEX('Matching Engine'!L$2:L$200,MATCH(A152,'Matching Engine'!A$2:A$200,0)))</f>
        <v/>
      </c>
      <c r="E152" s="28" t="str">
        <f t="shared" si="4"/>
        <v/>
      </c>
    </row>
    <row r="153" spans="1:5" ht="14.25" customHeight="1" x14ac:dyDescent="0.35">
      <c r="A153" s="38" t="str">
        <f>IFERROR(INDEX('Matching Engine'!A$2:A$200,MATCH(ROW()-68,'Matching Engine'!M$2:M$200,0)),"")</f>
        <v/>
      </c>
      <c r="B153" s="28" t="str">
        <f>IF(A153="","",INDEX('Matching Engine'!B$2:B$200,MATCH(A153,'Matching Engine'!A$2:A$200,0)))</f>
        <v/>
      </c>
      <c r="C153" s="28" t="str">
        <f>IF(A153="","",IF(AND(INDEX('Matching Engine'!F$2:F$200,MATCH(A153,'Matching Engine'!A$2:A$200,0))=0,INDEX('Matching Engine'!G$2:G$200,MATCH(A153,'Matching Engine'!A$2:A$200,0))=0,INDEX('Matching Engine'!H$2:H$200,MATCH(A153,'Matching Engine'!A$2:A$200,0))=0),"None",IF(INDEX('Matching Engine'!F$2:F$200,MATCH(A153,'Matching Engine'!A$2:A$200,0))=1,"♂ ","")&amp;IF(INDEX('Matching Engine'!G$2:G$200,MATCH(A153,'Matching Engine'!A$2:A$200,0))=1,"♀ ","")&amp;IF(INDEX('Matching Engine'!H$2:H$200,MATCH(A153,'Matching Engine'!A$2:A$200,0))=1,"⚧","")))</f>
        <v/>
      </c>
      <c r="D153" s="28" t="str">
        <f>IF(A153="","",INDEX('Matching Engine'!L$2:L$200,MATCH(A153,'Matching Engine'!A$2:A$200,0)))</f>
        <v/>
      </c>
      <c r="E153" s="28" t="str">
        <f t="shared" si="4"/>
        <v/>
      </c>
    </row>
    <row r="154" spans="1:5" ht="14.25" customHeight="1" x14ac:dyDescent="0.35">
      <c r="A154" s="38" t="str">
        <f>IFERROR(INDEX('Matching Engine'!A$2:A$200,MATCH(ROW()-68,'Matching Engine'!M$2:M$200,0)),"")</f>
        <v/>
      </c>
      <c r="B154" s="28" t="str">
        <f>IF(A154="","",INDEX('Matching Engine'!B$2:B$200,MATCH(A154,'Matching Engine'!A$2:A$200,0)))</f>
        <v/>
      </c>
      <c r="C154" s="28" t="str">
        <f>IF(A154="","",IF(AND(INDEX('Matching Engine'!F$2:F$200,MATCH(A154,'Matching Engine'!A$2:A$200,0))=0,INDEX('Matching Engine'!G$2:G$200,MATCH(A154,'Matching Engine'!A$2:A$200,0))=0,INDEX('Matching Engine'!H$2:H$200,MATCH(A154,'Matching Engine'!A$2:A$200,0))=0),"None",IF(INDEX('Matching Engine'!F$2:F$200,MATCH(A154,'Matching Engine'!A$2:A$200,0))=1,"♂ ","")&amp;IF(INDEX('Matching Engine'!G$2:G$200,MATCH(A154,'Matching Engine'!A$2:A$200,0))=1,"♀ ","")&amp;IF(INDEX('Matching Engine'!H$2:H$200,MATCH(A154,'Matching Engine'!A$2:A$200,0))=1,"⚧","")))</f>
        <v/>
      </c>
      <c r="D154" s="28" t="str">
        <f>IF(A154="","",INDEX('Matching Engine'!L$2:L$200,MATCH(A154,'Matching Engine'!A$2:A$200,0)))</f>
        <v/>
      </c>
      <c r="E154" s="28" t="str">
        <f t="shared" si="4"/>
        <v/>
      </c>
    </row>
    <row r="155" spans="1:5" ht="14.25" customHeight="1" x14ac:dyDescent="0.35">
      <c r="A155" s="38" t="str">
        <f>IFERROR(INDEX('Matching Engine'!A$2:A$200,MATCH(ROW()-68,'Matching Engine'!M$2:M$200,0)),"")</f>
        <v/>
      </c>
      <c r="B155" s="28" t="str">
        <f>IF(A155="","",INDEX('Matching Engine'!B$2:B$200,MATCH(A155,'Matching Engine'!A$2:A$200,0)))</f>
        <v/>
      </c>
      <c r="C155" s="28" t="str">
        <f>IF(A155="","",IF(AND(INDEX('Matching Engine'!F$2:F$200,MATCH(A155,'Matching Engine'!A$2:A$200,0))=0,INDEX('Matching Engine'!G$2:G$200,MATCH(A155,'Matching Engine'!A$2:A$200,0))=0,INDEX('Matching Engine'!H$2:H$200,MATCH(A155,'Matching Engine'!A$2:A$200,0))=0),"None",IF(INDEX('Matching Engine'!F$2:F$200,MATCH(A155,'Matching Engine'!A$2:A$200,0))=1,"♂ ","")&amp;IF(INDEX('Matching Engine'!G$2:G$200,MATCH(A155,'Matching Engine'!A$2:A$200,0))=1,"♀ ","")&amp;IF(INDEX('Matching Engine'!H$2:H$200,MATCH(A155,'Matching Engine'!A$2:A$200,0))=1,"⚧","")))</f>
        <v/>
      </c>
      <c r="D155" s="28" t="str">
        <f>IF(A155="","",INDEX('Matching Engine'!L$2:L$200,MATCH(A155,'Matching Engine'!A$2:A$200,0)))</f>
        <v/>
      </c>
      <c r="E155" s="28" t="str">
        <f t="shared" si="4"/>
        <v/>
      </c>
    </row>
    <row r="156" spans="1:5" ht="14.25" customHeight="1" x14ac:dyDescent="0.35">
      <c r="A156" s="38" t="str">
        <f>IFERROR(INDEX('Matching Engine'!A$2:A$200,MATCH(ROW()-68,'Matching Engine'!M$2:M$200,0)),"")</f>
        <v/>
      </c>
      <c r="B156" s="28" t="str">
        <f>IF(A156="","",INDEX('Matching Engine'!B$2:B$200,MATCH(A156,'Matching Engine'!A$2:A$200,0)))</f>
        <v/>
      </c>
      <c r="C156" s="28" t="str">
        <f>IF(A156="","",IF(AND(INDEX('Matching Engine'!F$2:F$200,MATCH(A156,'Matching Engine'!A$2:A$200,0))=0,INDEX('Matching Engine'!G$2:G$200,MATCH(A156,'Matching Engine'!A$2:A$200,0))=0,INDEX('Matching Engine'!H$2:H$200,MATCH(A156,'Matching Engine'!A$2:A$200,0))=0),"None",IF(INDEX('Matching Engine'!F$2:F$200,MATCH(A156,'Matching Engine'!A$2:A$200,0))=1,"♂ ","")&amp;IF(INDEX('Matching Engine'!G$2:G$200,MATCH(A156,'Matching Engine'!A$2:A$200,0))=1,"♀ ","")&amp;IF(INDEX('Matching Engine'!H$2:H$200,MATCH(A156,'Matching Engine'!A$2:A$200,0))=1,"⚧","")))</f>
        <v/>
      </c>
      <c r="D156" s="28" t="str">
        <f>IF(A156="","",INDEX('Matching Engine'!L$2:L$200,MATCH(A156,'Matching Engine'!A$2:A$200,0)))</f>
        <v/>
      </c>
      <c r="E156" s="28" t="str">
        <f t="shared" si="4"/>
        <v/>
      </c>
    </row>
    <row r="157" spans="1:5" ht="14.25" customHeight="1" x14ac:dyDescent="0.35">
      <c r="A157" s="38" t="str">
        <f>IFERROR(INDEX('Matching Engine'!A$2:A$200,MATCH(ROW()-68,'Matching Engine'!M$2:M$200,0)),"")</f>
        <v/>
      </c>
      <c r="B157" s="28" t="str">
        <f>IF(A157="","",INDEX('Matching Engine'!B$2:B$200,MATCH(A157,'Matching Engine'!A$2:A$200,0)))</f>
        <v/>
      </c>
      <c r="C157" s="28" t="str">
        <f>IF(A157="","",IF(AND(INDEX('Matching Engine'!F$2:F$200,MATCH(A157,'Matching Engine'!A$2:A$200,0))=0,INDEX('Matching Engine'!G$2:G$200,MATCH(A157,'Matching Engine'!A$2:A$200,0))=0,INDEX('Matching Engine'!H$2:H$200,MATCH(A157,'Matching Engine'!A$2:A$200,0))=0),"None",IF(INDEX('Matching Engine'!F$2:F$200,MATCH(A157,'Matching Engine'!A$2:A$200,0))=1,"♂ ","")&amp;IF(INDEX('Matching Engine'!G$2:G$200,MATCH(A157,'Matching Engine'!A$2:A$200,0))=1,"♀ ","")&amp;IF(INDEX('Matching Engine'!H$2:H$200,MATCH(A157,'Matching Engine'!A$2:A$200,0))=1,"⚧","")))</f>
        <v/>
      </c>
      <c r="D157" s="28" t="str">
        <f>IF(A157="","",INDEX('Matching Engine'!L$2:L$200,MATCH(A157,'Matching Engine'!A$2:A$200,0)))</f>
        <v/>
      </c>
      <c r="E157" s="28" t="str">
        <f t="shared" si="4"/>
        <v/>
      </c>
    </row>
    <row r="158" spans="1:5" ht="14.25" customHeight="1" x14ac:dyDescent="0.35">
      <c r="A158" s="38" t="str">
        <f>IFERROR(INDEX('Matching Engine'!A$2:A$200,MATCH(ROW()-68,'Matching Engine'!M$2:M$200,0)),"")</f>
        <v/>
      </c>
      <c r="B158" s="28" t="str">
        <f>IF(A158="","",INDEX('Matching Engine'!B$2:B$200,MATCH(A158,'Matching Engine'!A$2:A$200,0)))</f>
        <v/>
      </c>
      <c r="C158" s="28" t="str">
        <f>IF(A158="","",IF(AND(INDEX('Matching Engine'!F$2:F$200,MATCH(A158,'Matching Engine'!A$2:A$200,0))=0,INDEX('Matching Engine'!G$2:G$200,MATCH(A158,'Matching Engine'!A$2:A$200,0))=0,INDEX('Matching Engine'!H$2:H$200,MATCH(A158,'Matching Engine'!A$2:A$200,0))=0),"None",IF(INDEX('Matching Engine'!F$2:F$200,MATCH(A158,'Matching Engine'!A$2:A$200,0))=1,"♂ ","")&amp;IF(INDEX('Matching Engine'!G$2:G$200,MATCH(A158,'Matching Engine'!A$2:A$200,0))=1,"♀ ","")&amp;IF(INDEX('Matching Engine'!H$2:H$200,MATCH(A158,'Matching Engine'!A$2:A$200,0))=1,"⚧","")))</f>
        <v/>
      </c>
      <c r="D158" s="28" t="str">
        <f>IF(A158="","",INDEX('Matching Engine'!L$2:L$200,MATCH(A158,'Matching Engine'!A$2:A$200,0)))</f>
        <v/>
      </c>
      <c r="E158" s="28" t="str">
        <f t="shared" si="4"/>
        <v/>
      </c>
    </row>
    <row r="159" spans="1:5" ht="14.25" customHeight="1" x14ac:dyDescent="0.35">
      <c r="A159" s="38" t="str">
        <f>IFERROR(INDEX('Matching Engine'!A$2:A$200,MATCH(ROW()-68,'Matching Engine'!M$2:M$200,0)),"")</f>
        <v/>
      </c>
      <c r="B159" s="28" t="str">
        <f>IF(A159="","",INDEX('Matching Engine'!B$2:B$200,MATCH(A159,'Matching Engine'!A$2:A$200,0)))</f>
        <v/>
      </c>
      <c r="C159" s="28" t="str">
        <f>IF(A159="","",IF(AND(INDEX('Matching Engine'!F$2:F$200,MATCH(A159,'Matching Engine'!A$2:A$200,0))=0,INDEX('Matching Engine'!G$2:G$200,MATCH(A159,'Matching Engine'!A$2:A$200,0))=0,INDEX('Matching Engine'!H$2:H$200,MATCH(A159,'Matching Engine'!A$2:A$200,0))=0),"None",IF(INDEX('Matching Engine'!F$2:F$200,MATCH(A159,'Matching Engine'!A$2:A$200,0))=1,"♂ ","")&amp;IF(INDEX('Matching Engine'!G$2:G$200,MATCH(A159,'Matching Engine'!A$2:A$200,0))=1,"♀ ","")&amp;IF(INDEX('Matching Engine'!H$2:H$200,MATCH(A159,'Matching Engine'!A$2:A$200,0))=1,"⚧","")))</f>
        <v/>
      </c>
      <c r="D159" s="28" t="str">
        <f>IF(A159="","",INDEX('Matching Engine'!L$2:L$200,MATCH(A159,'Matching Engine'!A$2:A$200,0)))</f>
        <v/>
      </c>
      <c r="E159" s="28" t="str">
        <f t="shared" si="4"/>
        <v/>
      </c>
    </row>
    <row r="160" spans="1:5" ht="14.25" customHeight="1" x14ac:dyDescent="0.35">
      <c r="A160" s="38" t="str">
        <f>IFERROR(INDEX('Matching Engine'!A$2:A$200,MATCH(ROW()-68,'Matching Engine'!M$2:M$200,0)),"")</f>
        <v/>
      </c>
      <c r="B160" s="28" t="str">
        <f>IF(A160="","",INDEX('Matching Engine'!B$2:B$200,MATCH(A160,'Matching Engine'!A$2:A$200,0)))</f>
        <v/>
      </c>
      <c r="C160" s="28" t="str">
        <f>IF(A160="","",IF(AND(INDEX('Matching Engine'!F$2:F$200,MATCH(A160,'Matching Engine'!A$2:A$200,0))=0,INDEX('Matching Engine'!G$2:G$200,MATCH(A160,'Matching Engine'!A$2:A$200,0))=0,INDEX('Matching Engine'!H$2:H$200,MATCH(A160,'Matching Engine'!A$2:A$200,0))=0),"None",IF(INDEX('Matching Engine'!F$2:F$200,MATCH(A160,'Matching Engine'!A$2:A$200,0))=1,"♂ ","")&amp;IF(INDEX('Matching Engine'!G$2:G$200,MATCH(A160,'Matching Engine'!A$2:A$200,0))=1,"♀ ","")&amp;IF(INDEX('Matching Engine'!H$2:H$200,MATCH(A160,'Matching Engine'!A$2:A$200,0))=1,"⚧","")))</f>
        <v/>
      </c>
      <c r="D160" s="28" t="str">
        <f>IF(A160="","",INDEX('Matching Engine'!L$2:L$200,MATCH(A160,'Matching Engine'!A$2:A$200,0)))</f>
        <v/>
      </c>
      <c r="E160" s="28" t="str">
        <f t="shared" si="4"/>
        <v/>
      </c>
    </row>
    <row r="161" spans="1:5" ht="14.25" customHeight="1" x14ac:dyDescent="0.35">
      <c r="A161" s="38" t="str">
        <f>IFERROR(INDEX('Matching Engine'!A$2:A$200,MATCH(ROW()-68,'Matching Engine'!M$2:M$200,0)),"")</f>
        <v/>
      </c>
      <c r="B161" s="28" t="str">
        <f>IF(A161="","",INDEX('Matching Engine'!B$2:B$200,MATCH(A161,'Matching Engine'!A$2:A$200,0)))</f>
        <v/>
      </c>
      <c r="C161" s="28" t="str">
        <f>IF(A161="","",IF(AND(INDEX('Matching Engine'!F$2:F$200,MATCH(A161,'Matching Engine'!A$2:A$200,0))=0,INDEX('Matching Engine'!G$2:G$200,MATCH(A161,'Matching Engine'!A$2:A$200,0))=0,INDEX('Matching Engine'!H$2:H$200,MATCH(A161,'Matching Engine'!A$2:A$200,0))=0),"None",IF(INDEX('Matching Engine'!F$2:F$200,MATCH(A161,'Matching Engine'!A$2:A$200,0))=1,"♂ ","")&amp;IF(INDEX('Matching Engine'!G$2:G$200,MATCH(A161,'Matching Engine'!A$2:A$200,0))=1,"♀ ","")&amp;IF(INDEX('Matching Engine'!H$2:H$200,MATCH(A161,'Matching Engine'!A$2:A$200,0))=1,"⚧","")))</f>
        <v/>
      </c>
      <c r="D161" s="28" t="str">
        <f>IF(A161="","",INDEX('Matching Engine'!L$2:L$200,MATCH(A161,'Matching Engine'!A$2:A$200,0)))</f>
        <v/>
      </c>
      <c r="E161" s="28" t="str">
        <f t="shared" si="4"/>
        <v/>
      </c>
    </row>
    <row r="162" spans="1:5" ht="14.25" customHeight="1" x14ac:dyDescent="0.35">
      <c r="A162" s="38" t="str">
        <f>IFERROR(INDEX('Matching Engine'!A$2:A$200,MATCH(ROW()-68,'Matching Engine'!M$2:M$200,0)),"")</f>
        <v/>
      </c>
      <c r="B162" s="28" t="str">
        <f>IF(A162="","",INDEX('Matching Engine'!B$2:B$200,MATCH(A162,'Matching Engine'!A$2:A$200,0)))</f>
        <v/>
      </c>
      <c r="C162" s="28" t="str">
        <f>IF(A162="","",IF(AND(INDEX('Matching Engine'!F$2:F$200,MATCH(A162,'Matching Engine'!A$2:A$200,0))=0,INDEX('Matching Engine'!G$2:G$200,MATCH(A162,'Matching Engine'!A$2:A$200,0))=0,INDEX('Matching Engine'!H$2:H$200,MATCH(A162,'Matching Engine'!A$2:A$200,0))=0),"None",IF(INDEX('Matching Engine'!F$2:F$200,MATCH(A162,'Matching Engine'!A$2:A$200,0))=1,"♂ ","")&amp;IF(INDEX('Matching Engine'!G$2:G$200,MATCH(A162,'Matching Engine'!A$2:A$200,0))=1,"♀ ","")&amp;IF(INDEX('Matching Engine'!H$2:H$200,MATCH(A162,'Matching Engine'!A$2:A$200,0))=1,"⚧","")))</f>
        <v/>
      </c>
      <c r="D162" s="28" t="str">
        <f>IF(A162="","",INDEX('Matching Engine'!L$2:L$200,MATCH(A162,'Matching Engine'!A$2:A$200,0)))</f>
        <v/>
      </c>
      <c r="E162" s="28" t="str">
        <f t="shared" si="4"/>
        <v/>
      </c>
    </row>
    <row r="163" spans="1:5" ht="14.25" customHeight="1" x14ac:dyDescent="0.35">
      <c r="A163" s="38" t="str">
        <f>IFERROR(INDEX('Matching Engine'!A$2:A$200,MATCH(ROW()-68,'Matching Engine'!M$2:M$200,0)),"")</f>
        <v/>
      </c>
      <c r="B163" s="28" t="str">
        <f>IF(A163="","",INDEX('Matching Engine'!B$2:B$200,MATCH(A163,'Matching Engine'!A$2:A$200,0)))</f>
        <v/>
      </c>
      <c r="C163" s="28" t="str">
        <f>IF(A163="","",IF(AND(INDEX('Matching Engine'!F$2:F$200,MATCH(A163,'Matching Engine'!A$2:A$200,0))=0,INDEX('Matching Engine'!G$2:G$200,MATCH(A163,'Matching Engine'!A$2:A$200,0))=0,INDEX('Matching Engine'!H$2:H$200,MATCH(A163,'Matching Engine'!A$2:A$200,0))=0),"None",IF(INDEX('Matching Engine'!F$2:F$200,MATCH(A163,'Matching Engine'!A$2:A$200,0))=1,"♂ ","")&amp;IF(INDEX('Matching Engine'!G$2:G$200,MATCH(A163,'Matching Engine'!A$2:A$200,0))=1,"♀ ","")&amp;IF(INDEX('Matching Engine'!H$2:H$200,MATCH(A163,'Matching Engine'!A$2:A$200,0))=1,"⚧","")))</f>
        <v/>
      </c>
      <c r="D163" s="28" t="str">
        <f>IF(A163="","",INDEX('Matching Engine'!L$2:L$200,MATCH(A163,'Matching Engine'!A$2:A$200,0)))</f>
        <v/>
      </c>
      <c r="E163" s="28" t="str">
        <f t="shared" si="4"/>
        <v/>
      </c>
    </row>
    <row r="164" spans="1:5" ht="14.25" customHeight="1" x14ac:dyDescent="0.35">
      <c r="A164" s="38" t="str">
        <f>IFERROR(INDEX('Matching Engine'!A$2:A$200,MATCH(ROW()-68,'Matching Engine'!M$2:M$200,0)),"")</f>
        <v/>
      </c>
      <c r="B164" s="28" t="str">
        <f>IF(A164="","",INDEX('Matching Engine'!B$2:B$200,MATCH(A164,'Matching Engine'!A$2:A$200,0)))</f>
        <v/>
      </c>
      <c r="C164" s="28" t="str">
        <f>IF(A164="","",IF(AND(INDEX('Matching Engine'!F$2:F$200,MATCH(A164,'Matching Engine'!A$2:A$200,0))=0,INDEX('Matching Engine'!G$2:G$200,MATCH(A164,'Matching Engine'!A$2:A$200,0))=0,INDEX('Matching Engine'!H$2:H$200,MATCH(A164,'Matching Engine'!A$2:A$200,0))=0),"None",IF(INDEX('Matching Engine'!F$2:F$200,MATCH(A164,'Matching Engine'!A$2:A$200,0))=1,"♂ ","")&amp;IF(INDEX('Matching Engine'!G$2:G$200,MATCH(A164,'Matching Engine'!A$2:A$200,0))=1,"♀ ","")&amp;IF(INDEX('Matching Engine'!H$2:H$200,MATCH(A164,'Matching Engine'!A$2:A$200,0))=1,"⚧","")))</f>
        <v/>
      </c>
      <c r="D164" s="28" t="str">
        <f>IF(A164="","",INDEX('Matching Engine'!L$2:L$200,MATCH(A164,'Matching Engine'!A$2:A$200,0)))</f>
        <v/>
      </c>
      <c r="E164" s="28" t="str">
        <f t="shared" si="4"/>
        <v/>
      </c>
    </row>
    <row r="165" spans="1:5" ht="14.25" customHeight="1" x14ac:dyDescent="0.35">
      <c r="A165" s="38" t="str">
        <f>IFERROR(INDEX('Matching Engine'!A$2:A$200,MATCH(ROW()-68,'Matching Engine'!M$2:M$200,0)),"")</f>
        <v/>
      </c>
      <c r="B165" s="28" t="str">
        <f>IF(A165="","",INDEX('Matching Engine'!B$2:B$200,MATCH(A165,'Matching Engine'!A$2:A$200,0)))</f>
        <v/>
      </c>
      <c r="C165" s="28" t="str">
        <f>IF(A165="","",IF(AND(INDEX('Matching Engine'!F$2:F$200,MATCH(A165,'Matching Engine'!A$2:A$200,0))=0,INDEX('Matching Engine'!G$2:G$200,MATCH(A165,'Matching Engine'!A$2:A$200,0))=0,INDEX('Matching Engine'!H$2:H$200,MATCH(A165,'Matching Engine'!A$2:A$200,0))=0),"None",IF(INDEX('Matching Engine'!F$2:F$200,MATCH(A165,'Matching Engine'!A$2:A$200,0))=1,"♂ ","")&amp;IF(INDEX('Matching Engine'!G$2:G$200,MATCH(A165,'Matching Engine'!A$2:A$200,0))=1,"♀ ","")&amp;IF(INDEX('Matching Engine'!H$2:H$200,MATCH(A165,'Matching Engine'!A$2:A$200,0))=1,"⚧","")))</f>
        <v/>
      </c>
      <c r="D165" s="28" t="str">
        <f>IF(A165="","",INDEX('Matching Engine'!L$2:L$200,MATCH(A165,'Matching Engine'!A$2:A$200,0)))</f>
        <v/>
      </c>
      <c r="E165" s="28" t="str">
        <f t="shared" si="4"/>
        <v/>
      </c>
    </row>
    <row r="166" spans="1:5" ht="14.25" customHeight="1" x14ac:dyDescent="0.35">
      <c r="A166" s="38" t="str">
        <f>IFERROR(INDEX('Matching Engine'!A$2:A$200,MATCH(ROW()-68,'Matching Engine'!M$2:M$200,0)),"")</f>
        <v/>
      </c>
      <c r="B166" s="28" t="str">
        <f>IF(A166="","",INDEX('Matching Engine'!B$2:B$200,MATCH(A166,'Matching Engine'!A$2:A$200,0)))</f>
        <v/>
      </c>
      <c r="C166" s="28" t="str">
        <f>IF(A166="","",IF(AND(INDEX('Matching Engine'!F$2:F$200,MATCH(A166,'Matching Engine'!A$2:A$200,0))=0,INDEX('Matching Engine'!G$2:G$200,MATCH(A166,'Matching Engine'!A$2:A$200,0))=0,INDEX('Matching Engine'!H$2:H$200,MATCH(A166,'Matching Engine'!A$2:A$200,0))=0),"None",IF(INDEX('Matching Engine'!F$2:F$200,MATCH(A166,'Matching Engine'!A$2:A$200,0))=1,"♂ ","")&amp;IF(INDEX('Matching Engine'!G$2:G$200,MATCH(A166,'Matching Engine'!A$2:A$200,0))=1,"♀ ","")&amp;IF(INDEX('Matching Engine'!H$2:H$200,MATCH(A166,'Matching Engine'!A$2:A$200,0))=1,"⚧","")))</f>
        <v/>
      </c>
      <c r="D166" s="28" t="str">
        <f>IF(A166="","",INDEX('Matching Engine'!L$2:L$200,MATCH(A166,'Matching Engine'!A$2:A$200,0)))</f>
        <v/>
      </c>
      <c r="E166" s="28" t="str">
        <f t="shared" si="4"/>
        <v/>
      </c>
    </row>
    <row r="167" spans="1:5" ht="14.25" customHeight="1" x14ac:dyDescent="0.35">
      <c r="A167" s="38" t="str">
        <f>IFERROR(INDEX('Matching Engine'!A$2:A$200,MATCH(ROW()-68,'Matching Engine'!M$2:M$200,0)),"")</f>
        <v/>
      </c>
      <c r="B167" s="28" t="str">
        <f>IF(A167="","",INDEX('Matching Engine'!B$2:B$200,MATCH(A167,'Matching Engine'!A$2:A$200,0)))</f>
        <v/>
      </c>
      <c r="C167" s="28" t="str">
        <f>IF(A167="","",IF(AND(INDEX('Matching Engine'!F$2:F$200,MATCH(A167,'Matching Engine'!A$2:A$200,0))=0,INDEX('Matching Engine'!G$2:G$200,MATCH(A167,'Matching Engine'!A$2:A$200,0))=0,INDEX('Matching Engine'!H$2:H$200,MATCH(A167,'Matching Engine'!A$2:A$200,0))=0),"None",IF(INDEX('Matching Engine'!F$2:F$200,MATCH(A167,'Matching Engine'!A$2:A$200,0))=1,"♂ ","")&amp;IF(INDEX('Matching Engine'!G$2:G$200,MATCH(A167,'Matching Engine'!A$2:A$200,0))=1,"♀ ","")&amp;IF(INDEX('Matching Engine'!H$2:H$200,MATCH(A167,'Matching Engine'!A$2:A$200,0))=1,"⚧","")))</f>
        <v/>
      </c>
      <c r="D167" s="28" t="str">
        <f>IF(A167="","",INDEX('Matching Engine'!L$2:L$200,MATCH(A167,'Matching Engine'!A$2:A$200,0)))</f>
        <v/>
      </c>
      <c r="E167" s="28" t="str">
        <f t="shared" si="4"/>
        <v/>
      </c>
    </row>
    <row r="168" spans="1:5" ht="14.25" customHeight="1" x14ac:dyDescent="0.35">
      <c r="A168" s="38" t="str">
        <f>IFERROR(INDEX('Matching Engine'!A$2:A$200,MATCH(ROW()-68,'Matching Engine'!M$2:M$200,0)),"")</f>
        <v/>
      </c>
      <c r="B168" s="28" t="str">
        <f>IF(A168="","",INDEX('Matching Engine'!B$2:B$200,MATCH(A168,'Matching Engine'!A$2:A$200,0)))</f>
        <v/>
      </c>
      <c r="C168" s="28" t="str">
        <f>IF(A168="","",IF(AND(INDEX('Matching Engine'!F$2:F$200,MATCH(A168,'Matching Engine'!A$2:A$200,0))=0,INDEX('Matching Engine'!G$2:G$200,MATCH(A168,'Matching Engine'!A$2:A$200,0))=0,INDEX('Matching Engine'!H$2:H$200,MATCH(A168,'Matching Engine'!A$2:A$200,0))=0),"None",IF(INDEX('Matching Engine'!F$2:F$200,MATCH(A168,'Matching Engine'!A$2:A$200,0))=1,"♂ ","")&amp;IF(INDEX('Matching Engine'!G$2:G$200,MATCH(A168,'Matching Engine'!A$2:A$200,0))=1,"♀ ","")&amp;IF(INDEX('Matching Engine'!H$2:H$200,MATCH(A168,'Matching Engine'!A$2:A$200,0))=1,"⚧","")))</f>
        <v/>
      </c>
      <c r="D168" s="28" t="str">
        <f>IF(A168="","",INDEX('Matching Engine'!L$2:L$200,MATCH(A168,'Matching Engine'!A$2:A$200,0)))</f>
        <v/>
      </c>
      <c r="E168" s="28" t="str">
        <f t="shared" si="4"/>
        <v/>
      </c>
    </row>
    <row r="169" spans="1:5" ht="14.25" customHeight="1" x14ac:dyDescent="0.35">
      <c r="A169" s="38" t="str">
        <f>IFERROR(INDEX('Matching Engine'!A$2:A$200,MATCH(ROW()-68,'Matching Engine'!M$2:M$200,0)),"")</f>
        <v/>
      </c>
      <c r="B169" s="28" t="str">
        <f>IF(A169="","",INDEX('Matching Engine'!B$2:B$200,MATCH(A169,'Matching Engine'!A$2:A$200,0)))</f>
        <v/>
      </c>
      <c r="C169" s="28" t="str">
        <f>IF(A169="","",IF(AND(INDEX('Matching Engine'!F$2:F$200,MATCH(A169,'Matching Engine'!A$2:A$200,0))=0,INDEX('Matching Engine'!G$2:G$200,MATCH(A169,'Matching Engine'!A$2:A$200,0))=0,INDEX('Matching Engine'!H$2:H$200,MATCH(A169,'Matching Engine'!A$2:A$200,0))=0),"None",IF(INDEX('Matching Engine'!F$2:F$200,MATCH(A169,'Matching Engine'!A$2:A$200,0))=1,"♂ ","")&amp;IF(INDEX('Matching Engine'!G$2:G$200,MATCH(A169,'Matching Engine'!A$2:A$200,0))=1,"♀ ","")&amp;IF(INDEX('Matching Engine'!H$2:H$200,MATCH(A169,'Matching Engine'!A$2:A$200,0))=1,"⚧","")))</f>
        <v/>
      </c>
      <c r="D169" s="28" t="str">
        <f>IF(A169="","",INDEX('Matching Engine'!L$2:L$200,MATCH(A169,'Matching Engine'!A$2:A$200,0)))</f>
        <v/>
      </c>
      <c r="E169" s="28" t="str">
        <f t="shared" si="4"/>
        <v/>
      </c>
    </row>
    <row r="170" spans="1:5" ht="14.25" customHeight="1" x14ac:dyDescent="0.35">
      <c r="A170" s="38" t="str">
        <f>IFERROR(INDEX('Matching Engine'!A$2:A$200,MATCH(ROW()-68,'Matching Engine'!M$2:M$200,0)),"")</f>
        <v/>
      </c>
      <c r="B170" s="28" t="str">
        <f>IF(A170="","",INDEX('Matching Engine'!B$2:B$200,MATCH(A170,'Matching Engine'!A$2:A$200,0)))</f>
        <v/>
      </c>
      <c r="C170" s="28" t="str">
        <f>IF(A170="","",IF(AND(INDEX('Matching Engine'!F$2:F$200,MATCH(A170,'Matching Engine'!A$2:A$200,0))=0,INDEX('Matching Engine'!G$2:G$200,MATCH(A170,'Matching Engine'!A$2:A$200,0))=0,INDEX('Matching Engine'!H$2:H$200,MATCH(A170,'Matching Engine'!A$2:A$200,0))=0),"None",IF(INDEX('Matching Engine'!F$2:F$200,MATCH(A170,'Matching Engine'!A$2:A$200,0))=1,"♂ ","")&amp;IF(INDEX('Matching Engine'!G$2:G$200,MATCH(A170,'Matching Engine'!A$2:A$200,0))=1,"♀ ","")&amp;IF(INDEX('Matching Engine'!H$2:H$200,MATCH(A170,'Matching Engine'!A$2:A$200,0))=1,"⚧","")))</f>
        <v/>
      </c>
      <c r="D170" s="28" t="str">
        <f>IF(A170="","",INDEX('Matching Engine'!L$2:L$200,MATCH(A170,'Matching Engine'!A$2:A$200,0)))</f>
        <v/>
      </c>
      <c r="E170" s="28" t="str">
        <f t="shared" si="4"/>
        <v/>
      </c>
    </row>
    <row r="171" spans="1:5" ht="14.25" customHeight="1" x14ac:dyDescent="0.35">
      <c r="A171" s="38" t="str">
        <f>IFERROR(INDEX('Matching Engine'!A$2:A$200,MATCH(ROW()-68,'Matching Engine'!M$2:M$200,0)),"")</f>
        <v/>
      </c>
      <c r="B171" s="28" t="str">
        <f>IF(A171="","",INDEX('Matching Engine'!B$2:B$200,MATCH(A171,'Matching Engine'!A$2:A$200,0)))</f>
        <v/>
      </c>
      <c r="C171" s="28" t="str">
        <f>IF(A171="","",IF(AND(INDEX('Matching Engine'!F$2:F$200,MATCH(A171,'Matching Engine'!A$2:A$200,0))=0,INDEX('Matching Engine'!G$2:G$200,MATCH(A171,'Matching Engine'!A$2:A$200,0))=0,INDEX('Matching Engine'!H$2:H$200,MATCH(A171,'Matching Engine'!A$2:A$200,0))=0),"None",IF(INDEX('Matching Engine'!F$2:F$200,MATCH(A171,'Matching Engine'!A$2:A$200,0))=1,"♂ ","")&amp;IF(INDEX('Matching Engine'!G$2:G$200,MATCH(A171,'Matching Engine'!A$2:A$200,0))=1,"♀ ","")&amp;IF(INDEX('Matching Engine'!H$2:H$200,MATCH(A171,'Matching Engine'!A$2:A$200,0))=1,"⚧","")))</f>
        <v/>
      </c>
      <c r="D171" s="28" t="str">
        <f>IF(A171="","",INDEX('Matching Engine'!L$2:L$200,MATCH(A171,'Matching Engine'!A$2:A$200,0)))</f>
        <v/>
      </c>
      <c r="E171" s="28" t="str">
        <f t="shared" ref="E171:E202" si="5">IF(A171="","",IF(D171=0,"0% — no compatible partners",TEXT(D171/($B$6-1),"0%")&amp;" — "&amp;D171&amp;" of "&amp;($B$6-1)&amp;" compatible"))</f>
        <v/>
      </c>
    </row>
    <row r="172" spans="1:5" ht="14.25" customHeight="1" x14ac:dyDescent="0.35">
      <c r="A172" s="38" t="str">
        <f>IFERROR(INDEX('Matching Engine'!A$2:A$200,MATCH(ROW()-68,'Matching Engine'!M$2:M$200,0)),"")</f>
        <v/>
      </c>
      <c r="B172" s="28" t="str">
        <f>IF(A172="","",INDEX('Matching Engine'!B$2:B$200,MATCH(A172,'Matching Engine'!A$2:A$200,0)))</f>
        <v/>
      </c>
      <c r="C172" s="28" t="str">
        <f>IF(A172="","",IF(AND(INDEX('Matching Engine'!F$2:F$200,MATCH(A172,'Matching Engine'!A$2:A$200,0))=0,INDEX('Matching Engine'!G$2:G$200,MATCH(A172,'Matching Engine'!A$2:A$200,0))=0,INDEX('Matching Engine'!H$2:H$200,MATCH(A172,'Matching Engine'!A$2:A$200,0))=0),"None",IF(INDEX('Matching Engine'!F$2:F$200,MATCH(A172,'Matching Engine'!A$2:A$200,0))=1,"♂ ","")&amp;IF(INDEX('Matching Engine'!G$2:G$200,MATCH(A172,'Matching Engine'!A$2:A$200,0))=1,"♀ ","")&amp;IF(INDEX('Matching Engine'!H$2:H$200,MATCH(A172,'Matching Engine'!A$2:A$200,0))=1,"⚧","")))</f>
        <v/>
      </c>
      <c r="D172" s="28" t="str">
        <f>IF(A172="","",INDEX('Matching Engine'!L$2:L$200,MATCH(A172,'Matching Engine'!A$2:A$200,0)))</f>
        <v/>
      </c>
      <c r="E172" s="28" t="str">
        <f t="shared" si="5"/>
        <v/>
      </c>
    </row>
    <row r="173" spans="1:5" ht="14.25" customHeight="1" x14ac:dyDescent="0.35">
      <c r="A173" s="38" t="str">
        <f>IFERROR(INDEX('Matching Engine'!A$2:A$200,MATCH(ROW()-68,'Matching Engine'!M$2:M$200,0)),"")</f>
        <v/>
      </c>
      <c r="B173" s="28" t="str">
        <f>IF(A173="","",INDEX('Matching Engine'!B$2:B$200,MATCH(A173,'Matching Engine'!A$2:A$200,0)))</f>
        <v/>
      </c>
      <c r="C173" s="28" t="str">
        <f>IF(A173="","",IF(AND(INDEX('Matching Engine'!F$2:F$200,MATCH(A173,'Matching Engine'!A$2:A$200,0))=0,INDEX('Matching Engine'!G$2:G$200,MATCH(A173,'Matching Engine'!A$2:A$200,0))=0,INDEX('Matching Engine'!H$2:H$200,MATCH(A173,'Matching Engine'!A$2:A$200,0))=0),"None",IF(INDEX('Matching Engine'!F$2:F$200,MATCH(A173,'Matching Engine'!A$2:A$200,0))=1,"♂ ","")&amp;IF(INDEX('Matching Engine'!G$2:G$200,MATCH(A173,'Matching Engine'!A$2:A$200,0))=1,"♀ ","")&amp;IF(INDEX('Matching Engine'!H$2:H$200,MATCH(A173,'Matching Engine'!A$2:A$200,0))=1,"⚧","")))</f>
        <v/>
      </c>
      <c r="D173" s="28" t="str">
        <f>IF(A173="","",INDEX('Matching Engine'!L$2:L$200,MATCH(A173,'Matching Engine'!A$2:A$200,0)))</f>
        <v/>
      </c>
      <c r="E173" s="28" t="str">
        <f t="shared" si="5"/>
        <v/>
      </c>
    </row>
    <row r="174" spans="1:5" ht="14.25" customHeight="1" x14ac:dyDescent="0.35">
      <c r="A174" s="38" t="str">
        <f>IFERROR(INDEX('Matching Engine'!A$2:A$200,MATCH(ROW()-68,'Matching Engine'!M$2:M$200,0)),"")</f>
        <v/>
      </c>
      <c r="B174" s="28" t="str">
        <f>IF(A174="","",INDEX('Matching Engine'!B$2:B$200,MATCH(A174,'Matching Engine'!A$2:A$200,0)))</f>
        <v/>
      </c>
      <c r="C174" s="28" t="str">
        <f>IF(A174="","",IF(AND(INDEX('Matching Engine'!F$2:F$200,MATCH(A174,'Matching Engine'!A$2:A$200,0))=0,INDEX('Matching Engine'!G$2:G$200,MATCH(A174,'Matching Engine'!A$2:A$200,0))=0,INDEX('Matching Engine'!H$2:H$200,MATCH(A174,'Matching Engine'!A$2:A$200,0))=0),"None",IF(INDEX('Matching Engine'!F$2:F$200,MATCH(A174,'Matching Engine'!A$2:A$200,0))=1,"♂ ","")&amp;IF(INDEX('Matching Engine'!G$2:G$200,MATCH(A174,'Matching Engine'!A$2:A$200,0))=1,"♀ ","")&amp;IF(INDEX('Matching Engine'!H$2:H$200,MATCH(A174,'Matching Engine'!A$2:A$200,0))=1,"⚧","")))</f>
        <v/>
      </c>
      <c r="D174" s="28" t="str">
        <f>IF(A174="","",INDEX('Matching Engine'!L$2:L$200,MATCH(A174,'Matching Engine'!A$2:A$200,0)))</f>
        <v/>
      </c>
      <c r="E174" s="28" t="str">
        <f t="shared" si="5"/>
        <v/>
      </c>
    </row>
    <row r="175" spans="1:5" x14ac:dyDescent="0.35">
      <c r="A175" s="38"/>
    </row>
    <row r="176" spans="1:5" x14ac:dyDescent="0.35">
      <c r="A176" s="38"/>
    </row>
    <row r="177" spans="1:1" x14ac:dyDescent="0.35">
      <c r="A177" s="38"/>
    </row>
    <row r="178" spans="1:1" x14ac:dyDescent="0.35">
      <c r="A178" s="38"/>
    </row>
    <row r="179" spans="1:1" x14ac:dyDescent="0.35">
      <c r="A179" s="38"/>
    </row>
    <row r="180" spans="1:1" x14ac:dyDescent="0.35">
      <c r="A180" s="38"/>
    </row>
    <row r="181" spans="1:1" x14ac:dyDescent="0.35">
      <c r="A181" s="38"/>
    </row>
    <row r="182" spans="1:1" x14ac:dyDescent="0.35">
      <c r="A182" s="38"/>
    </row>
    <row r="183" spans="1:1" x14ac:dyDescent="0.35">
      <c r="A183" s="38"/>
    </row>
    <row r="184" spans="1:1" x14ac:dyDescent="0.35">
      <c r="A184" s="38"/>
    </row>
    <row r="185" spans="1:1" x14ac:dyDescent="0.35">
      <c r="A185" s="38"/>
    </row>
    <row r="186" spans="1:1" x14ac:dyDescent="0.35">
      <c r="A186" s="38"/>
    </row>
    <row r="187" spans="1:1" x14ac:dyDescent="0.35">
      <c r="A187" s="38"/>
    </row>
    <row r="188" spans="1:1" x14ac:dyDescent="0.35">
      <c r="A188" s="38"/>
    </row>
    <row r="189" spans="1:1" x14ac:dyDescent="0.35">
      <c r="A189" s="38"/>
    </row>
    <row r="190" spans="1:1" x14ac:dyDescent="0.35">
      <c r="A190" s="38"/>
    </row>
    <row r="191" spans="1:1" x14ac:dyDescent="0.35">
      <c r="A191" s="38"/>
    </row>
    <row r="192" spans="1:1" x14ac:dyDescent="0.35">
      <c r="A192" s="38"/>
    </row>
    <row r="193" spans="1:1" x14ac:dyDescent="0.35">
      <c r="A193" s="38"/>
    </row>
    <row r="194" spans="1:1" x14ac:dyDescent="0.35">
      <c r="A194" s="38"/>
    </row>
    <row r="195" spans="1:1" x14ac:dyDescent="0.35">
      <c r="A195" s="38"/>
    </row>
    <row r="196" spans="1:1" x14ac:dyDescent="0.35">
      <c r="A196" s="38"/>
    </row>
    <row r="197" spans="1:1" x14ac:dyDescent="0.35">
      <c r="A197" s="38"/>
    </row>
    <row r="198" spans="1:1" x14ac:dyDescent="0.35">
      <c r="A198" s="38"/>
    </row>
    <row r="199" spans="1:1" x14ac:dyDescent="0.35">
      <c r="A199" s="38"/>
    </row>
    <row r="200" spans="1:1" x14ac:dyDescent="0.35">
      <c r="A200" s="38"/>
    </row>
    <row r="201" spans="1:1" x14ac:dyDescent="0.35">
      <c r="A201" s="38"/>
    </row>
    <row r="202" spans="1:1" x14ac:dyDescent="0.35">
      <c r="A202" s="38"/>
    </row>
    <row r="203" spans="1:1" x14ac:dyDescent="0.35">
      <c r="A203" s="38"/>
    </row>
    <row r="204" spans="1:1" x14ac:dyDescent="0.35">
      <c r="A204" s="38"/>
    </row>
    <row r="205" spans="1:1" x14ac:dyDescent="0.35">
      <c r="A205" s="38"/>
    </row>
    <row r="206" spans="1:1" x14ac:dyDescent="0.35">
      <c r="A206" s="38"/>
    </row>
    <row r="207" spans="1:1" x14ac:dyDescent="0.35">
      <c r="A207" s="38"/>
    </row>
    <row r="208" spans="1:1" x14ac:dyDescent="0.35">
      <c r="A208" s="38"/>
    </row>
    <row r="209" spans="1:1" x14ac:dyDescent="0.35">
      <c r="A209" s="38"/>
    </row>
    <row r="210" spans="1:1" x14ac:dyDescent="0.35">
      <c r="A210" s="38"/>
    </row>
    <row r="211" spans="1:1" x14ac:dyDescent="0.35">
      <c r="A211" s="38"/>
    </row>
    <row r="212" spans="1:1" x14ac:dyDescent="0.35">
      <c r="A212" s="38"/>
    </row>
    <row r="213" spans="1:1" x14ac:dyDescent="0.35">
      <c r="A213" s="38"/>
    </row>
    <row r="214" spans="1:1" x14ac:dyDescent="0.35">
      <c r="A214" s="38"/>
    </row>
    <row r="215" spans="1:1" x14ac:dyDescent="0.35">
      <c r="A215" s="38"/>
    </row>
    <row r="216" spans="1:1" x14ac:dyDescent="0.35">
      <c r="A216" s="38"/>
    </row>
    <row r="217" spans="1:1" x14ac:dyDescent="0.35">
      <c r="A217" s="38"/>
    </row>
    <row r="218" spans="1:1" x14ac:dyDescent="0.35">
      <c r="A218" s="38"/>
    </row>
    <row r="219" spans="1:1" x14ac:dyDescent="0.35">
      <c r="A219" s="38"/>
    </row>
    <row r="220" spans="1:1" x14ac:dyDescent="0.35">
      <c r="A220" s="38"/>
    </row>
    <row r="221" spans="1:1" x14ac:dyDescent="0.35">
      <c r="A221" s="38"/>
    </row>
    <row r="222" spans="1:1" x14ac:dyDescent="0.35">
      <c r="A222" s="38"/>
    </row>
    <row r="223" spans="1:1" x14ac:dyDescent="0.35">
      <c r="A223" s="38"/>
    </row>
    <row r="224" spans="1:1" x14ac:dyDescent="0.35">
      <c r="A224" s="38"/>
    </row>
    <row r="225" spans="1:1" x14ac:dyDescent="0.35">
      <c r="A225" s="38"/>
    </row>
    <row r="226" spans="1:1" x14ac:dyDescent="0.35">
      <c r="A226" s="38"/>
    </row>
    <row r="227" spans="1:1" x14ac:dyDescent="0.35">
      <c r="A227" s="38"/>
    </row>
    <row r="228" spans="1:1" x14ac:dyDescent="0.35">
      <c r="A228" s="38"/>
    </row>
    <row r="229" spans="1:1" x14ac:dyDescent="0.35">
      <c r="A229" s="38"/>
    </row>
    <row r="230" spans="1:1" x14ac:dyDescent="0.35">
      <c r="A230" s="38"/>
    </row>
    <row r="231" spans="1:1" x14ac:dyDescent="0.35">
      <c r="A231" s="38"/>
    </row>
    <row r="232" spans="1:1" x14ac:dyDescent="0.35">
      <c r="A232" s="38"/>
    </row>
    <row r="233" spans="1:1" x14ac:dyDescent="0.35">
      <c r="A233" s="38"/>
    </row>
    <row r="234" spans="1:1" x14ac:dyDescent="0.35">
      <c r="A234" s="38"/>
    </row>
    <row r="235" spans="1:1" x14ac:dyDescent="0.35">
      <c r="A235" s="38"/>
    </row>
    <row r="236" spans="1:1" x14ac:dyDescent="0.35">
      <c r="A236" s="38"/>
    </row>
    <row r="237" spans="1:1" x14ac:dyDescent="0.35">
      <c r="A237" s="38"/>
    </row>
    <row r="238" spans="1:1" x14ac:dyDescent="0.35">
      <c r="A238" s="38"/>
    </row>
    <row r="239" spans="1:1" x14ac:dyDescent="0.35">
      <c r="A239" s="38"/>
    </row>
    <row r="240" spans="1:1" x14ac:dyDescent="0.35">
      <c r="A240" s="38"/>
    </row>
    <row r="241" spans="1:1" x14ac:dyDescent="0.35">
      <c r="A241" s="38"/>
    </row>
    <row r="242" spans="1:1" x14ac:dyDescent="0.35">
      <c r="A242" s="38"/>
    </row>
    <row r="243" spans="1:1" x14ac:dyDescent="0.35">
      <c r="A243" s="38"/>
    </row>
    <row r="244" spans="1:1" x14ac:dyDescent="0.35">
      <c r="A244" s="38"/>
    </row>
    <row r="245" spans="1:1" x14ac:dyDescent="0.35">
      <c r="A245" s="38"/>
    </row>
    <row r="246" spans="1:1" x14ac:dyDescent="0.35">
      <c r="A246" s="38"/>
    </row>
    <row r="247" spans="1:1" x14ac:dyDescent="0.35">
      <c r="A247" s="38"/>
    </row>
    <row r="248" spans="1:1" x14ac:dyDescent="0.35">
      <c r="A248" s="38"/>
    </row>
    <row r="249" spans="1:1" x14ac:dyDescent="0.35">
      <c r="A249" s="38"/>
    </row>
    <row r="250" spans="1:1" x14ac:dyDescent="0.35">
      <c r="A250" s="38"/>
    </row>
    <row r="251" spans="1:1" x14ac:dyDescent="0.35">
      <c r="A251" s="38"/>
    </row>
    <row r="252" spans="1:1" x14ac:dyDescent="0.35">
      <c r="A252" s="38"/>
    </row>
    <row r="253" spans="1:1" x14ac:dyDescent="0.35">
      <c r="A253" s="38"/>
    </row>
    <row r="254" spans="1:1" x14ac:dyDescent="0.35">
      <c r="A254" s="38"/>
    </row>
    <row r="255" spans="1:1" x14ac:dyDescent="0.35">
      <c r="A255" s="38"/>
    </row>
    <row r="256" spans="1:1" x14ac:dyDescent="0.35">
      <c r="A256" s="38"/>
    </row>
    <row r="257" spans="1:1" x14ac:dyDescent="0.35">
      <c r="A257" s="38"/>
    </row>
    <row r="258" spans="1:1" x14ac:dyDescent="0.35">
      <c r="A258" s="38"/>
    </row>
    <row r="259" spans="1:1" x14ac:dyDescent="0.35">
      <c r="A259" s="38"/>
    </row>
    <row r="260" spans="1:1" x14ac:dyDescent="0.35">
      <c r="A260" s="38"/>
    </row>
    <row r="261" spans="1:1" x14ac:dyDescent="0.35">
      <c r="A261" s="38"/>
    </row>
    <row r="262" spans="1:1" x14ac:dyDescent="0.35">
      <c r="A262" s="38"/>
    </row>
    <row r="263" spans="1:1" x14ac:dyDescent="0.35">
      <c r="A263" s="38"/>
    </row>
    <row r="264" spans="1:1" x14ac:dyDescent="0.35">
      <c r="A264" s="38"/>
    </row>
    <row r="265" spans="1:1" x14ac:dyDescent="0.35">
      <c r="A265" s="38"/>
    </row>
    <row r="266" spans="1:1" x14ac:dyDescent="0.35">
      <c r="A266" s="38"/>
    </row>
    <row r="267" spans="1:1" x14ac:dyDescent="0.35">
      <c r="A267" s="38"/>
    </row>
    <row r="268" spans="1:1" x14ac:dyDescent="0.35">
      <c r="A268" s="38"/>
    </row>
    <row r="269" spans="1:1" x14ac:dyDescent="0.35">
      <c r="A269" s="38"/>
    </row>
    <row r="270" spans="1:1" x14ac:dyDescent="0.35">
      <c r="A270" s="38"/>
    </row>
    <row r="271" spans="1:1" x14ac:dyDescent="0.35">
      <c r="A271" s="38"/>
    </row>
    <row r="272" spans="1:1" x14ac:dyDescent="0.35">
      <c r="A272" s="38"/>
    </row>
    <row r="273" spans="1:1" x14ac:dyDescent="0.35">
      <c r="A273" s="38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200"/>
  <sheetViews>
    <sheetView zoomScaleNormal="100" workbookViewId="0">
      <selection activeCell="N9" sqref="N9"/>
    </sheetView>
  </sheetViews>
  <sheetFormatPr defaultColWidth="8.54296875" defaultRowHeight="14.5" x14ac:dyDescent="0.35"/>
  <cols>
    <col min="1" max="1" width="18.453125" bestFit="1" customWidth="1"/>
    <col min="2" max="2" width="10.6328125" bestFit="1" customWidth="1"/>
    <col min="3" max="4" width="3" bestFit="1" customWidth="1"/>
    <col min="5" max="5" width="3.54296875" bestFit="1" customWidth="1"/>
    <col min="6" max="7" width="8.453125" bestFit="1" customWidth="1"/>
    <col min="8" max="8" width="9.54296875" bestFit="1" customWidth="1"/>
    <col min="9" max="10" width="5.1796875" bestFit="1" customWidth="1"/>
    <col min="11" max="11" width="6.26953125" bestFit="1" customWidth="1"/>
    <col min="12" max="12" width="14" bestFit="1" customWidth="1"/>
    <col min="13" max="13" width="5.1796875" bestFit="1" customWidth="1"/>
    <col min="14" max="14" width="17.36328125" style="37" bestFit="1" customWidth="1"/>
    <col min="15" max="15" width="20.6328125" bestFit="1" customWidth="1"/>
    <col min="16" max="16" width="12.90625" bestFit="1" customWidth="1"/>
  </cols>
  <sheetData>
    <row r="1" spans="1:16" x14ac:dyDescent="0.35">
      <c r="A1" s="50" t="s">
        <v>0</v>
      </c>
      <c r="B1" s="50" t="s">
        <v>1</v>
      </c>
      <c r="C1" s="51" t="s">
        <v>78</v>
      </c>
      <c r="D1" s="51" t="s">
        <v>79</v>
      </c>
      <c r="E1" s="51" t="s">
        <v>80</v>
      </c>
      <c r="F1" s="51" t="s">
        <v>81</v>
      </c>
      <c r="G1" s="51" t="s">
        <v>82</v>
      </c>
      <c r="H1" s="51" t="s">
        <v>83</v>
      </c>
      <c r="I1" s="51" t="s">
        <v>84</v>
      </c>
      <c r="J1" s="51" t="s">
        <v>85</v>
      </c>
      <c r="K1" s="51" t="s">
        <v>86</v>
      </c>
      <c r="L1" s="51" t="s">
        <v>75</v>
      </c>
      <c r="M1" s="51" t="s">
        <v>87</v>
      </c>
      <c r="N1" s="51" t="s">
        <v>94</v>
      </c>
      <c r="O1" s="51" t="s">
        <v>96</v>
      </c>
      <c r="P1" s="51" t="s">
        <v>97</v>
      </c>
    </row>
    <row r="2" spans="1:16" s="37" customFormat="1" x14ac:dyDescent="0.35">
      <c r="A2" s="52" t="str">
        <f>IF('Mii List'!A2="","",'Mii List'!A2)</f>
        <v>Narcissus</v>
      </c>
      <c r="B2" s="52" t="str">
        <f>IF(A2="","",'Mii List'!B2)</f>
        <v>Male</v>
      </c>
      <c r="C2" s="52" t="str">
        <f>IF(A2="","",'Mii List'!C2)</f>
        <v>✗</v>
      </c>
      <c r="D2" s="52" t="str">
        <f>IF(A2="","",'Mii List'!D2)</f>
        <v>✗</v>
      </c>
      <c r="E2" s="52" t="str">
        <f>IF(A2="","",'Mii List'!E2)</f>
        <v>✗</v>
      </c>
      <c r="F2" s="52">
        <f t="shared" ref="F2:F33" si="0">IF(A2="",0,(C2="✓")*1)</f>
        <v>0</v>
      </c>
      <c r="G2" s="52">
        <f t="shared" ref="G2:G33" si="1">IF(A2="",0,(D2="✓")*1)</f>
        <v>0</v>
      </c>
      <c r="H2" s="52">
        <f t="shared" ref="H2:H33" si="2">IF(A2="",0,(E2="✓")*1)</f>
        <v>0</v>
      </c>
      <c r="I2" s="52">
        <f t="shared" ref="I2:I33" si="3">IF(A2="",0,(B2="Male")*1)</f>
        <v>1</v>
      </c>
      <c r="J2" s="52">
        <f t="shared" ref="J2:J33" si="4">IF(A2="",0,(B2="Female")*1)</f>
        <v>0</v>
      </c>
      <c r="K2" s="52">
        <f t="shared" ref="K2:K33" si="5">IF(A2="",0,(B2="Nonbinary")*1)</f>
        <v>0</v>
      </c>
      <c r="L2" s="52">
        <f t="array" ref="L2">IF(A2="","",SUMPRODUCT((A$2:A$200&lt;&gt;"")*((F$2:F$200*I2+G$2:G$200*J2+H$2:H$200*K2)&gt;0)*((F2*I$2:I$200+G2*J$2:J$200+H2*K$2:K$200)&gt;0))-IF(F2*I2+G2*J2+H2*K2&gt;0,1,0))</f>
        <v>0</v>
      </c>
      <c r="M2" s="52">
        <f t="shared" ref="M2:M33" si="6">IF(A2="","",RANK(L2,L$2:L$200,1)+COUNTIFS(L$2:L$200,L2,A$2:A$200,"&lt;"&amp;A2))</f>
        <v>2</v>
      </c>
      <c r="N2" s="52" cm="1">
        <f t="array" ref="N2">SUMPRODUCT(((F$2:F$50*I2+G$2:G$50*J2+H$2:H$50*K2)&gt;0)*((F2*I$2:I$50+G2*J$2:J$50+H2*K$2:K$50)&gt;0)*(ROW($2:$50)&lt;&gt;ROW())*IF(L$2:L$50&gt;0,1/L$2:L$50,0))</f>
        <v>0</v>
      </c>
      <c r="O2" s="52" cm="1">
        <f t="array" ref="O2">IF(L2=0,0,SUMPRODUCT(((F$2:F$50*I2+G$2:G$50*J2+H$2:H$50*K2)&gt;0)*((F2*I$2:I$50+G2*J$2:J$50+H2*K$2:K$50)&gt;0)*(ROW($2:$50)&lt;&gt;ROW())*L$2:L$50)/L2)</f>
        <v>0</v>
      </c>
      <c r="P2" s="52">
        <f>IF(L2*O2&gt;0,MIN(1,L2/O2),0)</f>
        <v>0</v>
      </c>
    </row>
    <row r="3" spans="1:16" x14ac:dyDescent="0.35">
      <c r="A3" s="52" t="str">
        <f>IF('Mii List'!A3="","",'Mii List'!A3)</f>
        <v>Medusa</v>
      </c>
      <c r="B3" s="52" t="str">
        <f>IF(A3="","",'Mii List'!B3)</f>
        <v>Female</v>
      </c>
      <c r="C3" s="52" t="str">
        <f>IF(A3="","",'Mii List'!C3)</f>
        <v>✗</v>
      </c>
      <c r="D3" s="52" t="str">
        <f>IF(A3="","",'Mii List'!D3)</f>
        <v>✗</v>
      </c>
      <c r="E3" s="52" t="str">
        <f>IF(A3="","",'Mii List'!E3)</f>
        <v>✗</v>
      </c>
      <c r="F3" s="52">
        <f t="shared" si="0"/>
        <v>0</v>
      </c>
      <c r="G3" s="52">
        <f t="shared" si="1"/>
        <v>0</v>
      </c>
      <c r="H3" s="52">
        <f t="shared" si="2"/>
        <v>0</v>
      </c>
      <c r="I3" s="52">
        <f t="shared" si="3"/>
        <v>0</v>
      </c>
      <c r="J3" s="52">
        <f t="shared" si="4"/>
        <v>1</v>
      </c>
      <c r="K3" s="52">
        <f t="shared" si="5"/>
        <v>0</v>
      </c>
      <c r="L3" s="52">
        <f t="array" ref="L3">IF(A3="","",SUMPRODUCT((A$2:A$200&lt;&gt;"")*((F$2:F$200*I3+G$2:G$200*J3+H$2:H$200*K3)&gt;0)*((F3*I$2:I$200+G3*J$2:J$200+H3*K$2:K$200)&gt;0))-IF(F3*I3+G3*J3+H3*K3&gt;0,1,0))</f>
        <v>0</v>
      </c>
      <c r="M3" s="52">
        <f t="shared" si="6"/>
        <v>1</v>
      </c>
      <c r="N3" s="52" cm="1">
        <f t="array" ref="N3">SUMPRODUCT(((F$2:F$50*I3+G$2:G$50*J3+H$2:H$50*K3)&gt;0)*((F3*I$2:I$50+G3*J$2:J$50+H3*K$2:K$50)&gt;0)*(ROW($2:$50)&lt;&gt;ROW())*IF(L$2:L$50&gt;0,1/L$2:L$50,0))</f>
        <v>0</v>
      </c>
      <c r="O3" s="52" cm="1">
        <f t="array" ref="O3">IF(L3=0,0,SUMPRODUCT(((F$2:F$50*I3+G$2:G$50*J3+H$2:H$50*K3)&gt;0)*((F3*I$2:I$50+G3*J$2:J$50+H3*K$2:K$50)&gt;0)*(ROW($2:$50)&lt;&gt;ROW())*L$2:L$50)/L3)</f>
        <v>0</v>
      </c>
      <c r="P3" s="52">
        <f t="shared" ref="P3:P50" si="7">IF(L3*O3&gt;0,MIN(1,L3/O3),0)</f>
        <v>0</v>
      </c>
    </row>
    <row r="4" spans="1:16" x14ac:dyDescent="0.35">
      <c r="A4" s="52" t="str">
        <f>IF('Mii List'!A4="","",'Mii List'!A4)</f>
        <v>The Sphinx</v>
      </c>
      <c r="B4" s="52" t="str">
        <f>IF(A4="","",'Mii List'!B4)</f>
        <v>Nonbinary</v>
      </c>
      <c r="C4" s="52" t="str">
        <f>IF(A4="","",'Mii List'!C4)</f>
        <v>✗</v>
      </c>
      <c r="D4" s="52" t="str">
        <f>IF(A4="","",'Mii List'!D4)</f>
        <v>✗</v>
      </c>
      <c r="E4" s="52" t="str">
        <f>IF(A4="","",'Mii List'!E4)</f>
        <v>✗</v>
      </c>
      <c r="F4" s="52">
        <f t="shared" si="0"/>
        <v>0</v>
      </c>
      <c r="G4" s="52">
        <f t="shared" si="1"/>
        <v>0</v>
      </c>
      <c r="H4" s="52">
        <f t="shared" si="2"/>
        <v>0</v>
      </c>
      <c r="I4" s="52">
        <f t="shared" si="3"/>
        <v>0</v>
      </c>
      <c r="J4" s="52">
        <f t="shared" si="4"/>
        <v>0</v>
      </c>
      <c r="K4" s="52">
        <f t="shared" si="5"/>
        <v>1</v>
      </c>
      <c r="L4" s="52">
        <f t="array" ref="L4">IF(A4="","",SUMPRODUCT((A$2:A$200&lt;&gt;"")*((F$2:F$200*I4+G$2:G$200*J4+H$2:H$200*K4)&gt;0)*((F4*I$2:I$200+G4*J$2:J$200+H4*K$2:K$200)&gt;0))-IF(F4*I4+G4*J4+H4*K4&gt;0,1,0))</f>
        <v>0</v>
      </c>
      <c r="M4" s="52">
        <f t="shared" si="6"/>
        <v>3</v>
      </c>
      <c r="N4" s="52" cm="1">
        <f t="array" ref="N4">SUMPRODUCT(((F$2:F$50*I4+G$2:G$50*J4+H$2:H$50*K4)&gt;0)*((F4*I$2:I$50+G4*J$2:J$50+H4*K$2:K$50)&gt;0)*(ROW($2:$50)&lt;&gt;ROW())*IF(L$2:L$50&gt;0,1/L$2:L$50,0))</f>
        <v>0</v>
      </c>
      <c r="O4" s="52" cm="1">
        <f t="array" ref="O4">IF(L4=0,0,SUMPRODUCT(((F$2:F$50*I4+G$2:G$50*J4+H$2:H$50*K4)&gt;0)*((F4*I$2:I$50+G4*J$2:J$50+H4*K$2:K$50)&gt;0)*(ROW($2:$50)&lt;&gt;ROW())*L$2:L$50)/L4)</f>
        <v>0</v>
      </c>
      <c r="P4" s="52">
        <f t="shared" si="7"/>
        <v>0</v>
      </c>
    </row>
    <row r="5" spans="1:16" x14ac:dyDescent="0.35">
      <c r="A5" s="52" t="str">
        <f>IF('Mii List'!A5="","",'Mii List'!A5)</f>
        <v>Loki</v>
      </c>
      <c r="B5" s="52" t="str">
        <f>IF(A5="","",'Mii List'!B5)</f>
        <v>Nonbinary</v>
      </c>
      <c r="C5" s="52" t="str">
        <f>IF(A5="","",'Mii List'!C5)</f>
        <v>✓</v>
      </c>
      <c r="D5" s="52" t="str">
        <f>IF(A5="","",'Mii List'!D5)</f>
        <v>✓</v>
      </c>
      <c r="E5" s="52" t="str">
        <f>IF(A5="","",'Mii List'!E5)</f>
        <v>✓</v>
      </c>
      <c r="F5" s="52">
        <f t="shared" si="0"/>
        <v>1</v>
      </c>
      <c r="G5" s="52">
        <f t="shared" si="1"/>
        <v>1</v>
      </c>
      <c r="H5" s="52">
        <f t="shared" si="2"/>
        <v>1</v>
      </c>
      <c r="I5" s="52">
        <f t="shared" si="3"/>
        <v>0</v>
      </c>
      <c r="J5" s="52">
        <f t="shared" si="4"/>
        <v>0</v>
      </c>
      <c r="K5" s="52">
        <f t="shared" si="5"/>
        <v>1</v>
      </c>
      <c r="L5" s="52">
        <f t="array" ref="L5">IF(A5="","",SUMPRODUCT((A$2:A$200&lt;&gt;"")*((F$2:F$200*I5+G$2:G$200*J5+H$2:H$200*K5)&gt;0)*((F5*I$2:I$200+G5*J$2:J$200+H5*K$2:K$200)&gt;0))-IF(F5*I5+G5*J5+H5*K5&gt;0,1,0))</f>
        <v>18</v>
      </c>
      <c r="M5" s="52">
        <f t="shared" si="6"/>
        <v>44</v>
      </c>
      <c r="N5" s="52" cm="1">
        <f t="array" ref="N5">SUMPRODUCT(((F$2:F$50*I5+G$2:G$50*J5+H$2:H$50*K5)&gt;0)*((F5*I$2:I$50+G5*J$2:J$50+H5*K$2:K$50)&gt;0)*(ROW($2:$50)&lt;&gt;ROW())*IF(L$2:L$50&gt;0,1/L$2:L$50,0))</f>
        <v>1.8593484272192711</v>
      </c>
      <c r="O5" s="52" cm="1">
        <f t="array" ref="O5">IF(L5=0,0,SUMPRODUCT(((F$2:F$50*I5+G$2:G$50*J5+H$2:H$50*K5)&gt;0)*((F5*I$2:I$50+G5*J$2:J$50+H5*K$2:K$50)&gt;0)*(ROW($2:$50)&lt;&gt;ROW())*L$2:L$50)/L5)</f>
        <v>12.722222222222221</v>
      </c>
      <c r="P5" s="52">
        <f t="shared" si="7"/>
        <v>1</v>
      </c>
    </row>
    <row r="6" spans="1:16" x14ac:dyDescent="0.35">
      <c r="A6" s="52" t="str">
        <f>IF('Mii List'!A6="","",'Mii List'!A6)</f>
        <v>Tiresias</v>
      </c>
      <c r="B6" s="52" t="str">
        <f>IF(A6="","",'Mii List'!B6)</f>
        <v>Nonbinary</v>
      </c>
      <c r="C6" s="52" t="str">
        <f>IF(A6="","",'Mii List'!C6)</f>
        <v>✗</v>
      </c>
      <c r="D6" s="52" t="str">
        <f>IF(A6="","",'Mii List'!D6)</f>
        <v>✗</v>
      </c>
      <c r="E6" s="52" t="str">
        <f>IF(A6="","",'Mii List'!E6)</f>
        <v>✓</v>
      </c>
      <c r="F6" s="52">
        <f t="shared" si="0"/>
        <v>0</v>
      </c>
      <c r="G6" s="52">
        <f t="shared" si="1"/>
        <v>0</v>
      </c>
      <c r="H6" s="52">
        <f t="shared" si="2"/>
        <v>1</v>
      </c>
      <c r="I6" s="52">
        <f t="shared" si="3"/>
        <v>0</v>
      </c>
      <c r="J6" s="52">
        <f t="shared" si="4"/>
        <v>0</v>
      </c>
      <c r="K6" s="52">
        <f t="shared" si="5"/>
        <v>1</v>
      </c>
      <c r="L6" s="52">
        <f t="array" ref="L6">IF(A6="","",SUMPRODUCT((A$2:A$200&lt;&gt;"")*((F$2:F$200*I6+G$2:G$200*J6+H$2:H$200*K6)&gt;0)*((F6*I$2:I$200+G6*J$2:J$200+H6*K$2:K$200)&gt;0))-IF(F6*I6+G6*J6+H6*K6&gt;0,1,0))</f>
        <v>6</v>
      </c>
      <c r="M6" s="52">
        <f t="shared" si="6"/>
        <v>13</v>
      </c>
      <c r="N6" s="52" cm="1">
        <f t="array" ref="N6">SUMPRODUCT(((F$2:F$50*I6+G$2:G$50*J6+H$2:H$50*K6)&gt;0)*((F6*I$2:I$50+G6*J$2:J$50+H6*K$2:K$50)&gt;0)*(ROW($2:$50)&lt;&gt;ROW())*IF(L$2:L$50&gt;0,1/L$2:L$50,0))</f>
        <v>0.52777777777777779</v>
      </c>
      <c r="O6" s="52" cm="1">
        <f t="array" ref="O6">IF(L6=0,0,SUMPRODUCT(((F$2:F$50*I6+G$2:G$50*J6+H$2:H$50*K6)&gt;0)*((F6*I$2:I$50+G6*J$2:J$50+H6*K$2:K$50)&gt;0)*(ROW($2:$50)&lt;&gt;ROW())*L$2:L$50)/L6)</f>
        <v>13</v>
      </c>
      <c r="P6" s="52">
        <f t="shared" si="7"/>
        <v>0.46153846153846156</v>
      </c>
    </row>
    <row r="7" spans="1:16" x14ac:dyDescent="0.35">
      <c r="A7" s="52" t="str">
        <f>IF('Mii List'!A7="","",'Mii List'!A7)</f>
        <v>Phanes</v>
      </c>
      <c r="B7" s="52" t="str">
        <f>IF(A7="","",'Mii List'!B7)</f>
        <v>Nonbinary</v>
      </c>
      <c r="C7" s="52" t="str">
        <f>IF(A7="","",'Mii List'!C7)</f>
        <v>✗</v>
      </c>
      <c r="D7" s="52" t="str">
        <f>IF(A7="","",'Mii List'!D7)</f>
        <v>✗</v>
      </c>
      <c r="E7" s="52" t="str">
        <f>IF(A7="","",'Mii List'!E7)</f>
        <v>✓</v>
      </c>
      <c r="F7" s="52">
        <f t="shared" si="0"/>
        <v>0</v>
      </c>
      <c r="G7" s="52">
        <f t="shared" si="1"/>
        <v>0</v>
      </c>
      <c r="H7" s="52">
        <f t="shared" si="2"/>
        <v>1</v>
      </c>
      <c r="I7" s="52">
        <f t="shared" si="3"/>
        <v>0</v>
      </c>
      <c r="J7" s="52">
        <f t="shared" si="4"/>
        <v>0</v>
      </c>
      <c r="K7" s="52">
        <f t="shared" si="5"/>
        <v>1</v>
      </c>
      <c r="L7" s="52">
        <f t="array" ref="L7">IF(A7="","",SUMPRODUCT((A$2:A$200&lt;&gt;"")*((F$2:F$200*I7+G$2:G$200*J7+H$2:H$200*K7)&gt;0)*((F7*I$2:I$200+G7*J$2:J$200+H7*K$2:K$200)&gt;0))-IF(F7*I7+G7*J7+H7*K7&gt;0,1,0))</f>
        <v>6</v>
      </c>
      <c r="M7" s="52">
        <f t="shared" si="6"/>
        <v>11</v>
      </c>
      <c r="N7" s="52" cm="1">
        <f t="array" ref="N7">SUMPRODUCT(((F$2:F$50*I7+G$2:G$50*J7+H$2:H$50*K7)&gt;0)*((F7*I$2:I$50+G7*J$2:J$50+H7*K$2:K$50)&gt;0)*(ROW($2:$50)&lt;&gt;ROW())*IF(L$2:L$50&gt;0,1/L$2:L$50,0))</f>
        <v>0.52777777777777779</v>
      </c>
      <c r="O7" s="52" cm="1">
        <f t="array" ref="O7">IF(L7=0,0,SUMPRODUCT(((F$2:F$50*I7+G$2:G$50*J7+H$2:H$50*K7)&gt;0)*((F7*I$2:I$50+G7*J$2:J$50+H7*K$2:K$50)&gt;0)*(ROW($2:$50)&lt;&gt;ROW())*L$2:L$50)/L7)</f>
        <v>13</v>
      </c>
      <c r="P7" s="52">
        <f t="shared" si="7"/>
        <v>0.46153846153846156</v>
      </c>
    </row>
    <row r="8" spans="1:16" x14ac:dyDescent="0.35">
      <c r="A8" s="52" t="str">
        <f>IF('Mii List'!A8="","",'Mii List'!A8)</f>
        <v>Hermaphroditus</v>
      </c>
      <c r="B8" s="52" t="str">
        <f>IF(A8="","",'Mii List'!B8)</f>
        <v>Nonbinary</v>
      </c>
      <c r="C8" s="52" t="str">
        <f>IF(A8="","",'Mii List'!C8)</f>
        <v>✓</v>
      </c>
      <c r="D8" s="52" t="str">
        <f>IF(A8="","",'Mii List'!D8)</f>
        <v>✓</v>
      </c>
      <c r="E8" s="52" t="str">
        <f>IF(A8="","",'Mii List'!E8)</f>
        <v>✗</v>
      </c>
      <c r="F8" s="52">
        <f t="shared" si="0"/>
        <v>1</v>
      </c>
      <c r="G8" s="52">
        <f t="shared" si="1"/>
        <v>1</v>
      </c>
      <c r="H8" s="52">
        <f t="shared" si="2"/>
        <v>0</v>
      </c>
      <c r="I8" s="52">
        <f t="shared" si="3"/>
        <v>0</v>
      </c>
      <c r="J8" s="52">
        <f t="shared" si="4"/>
        <v>0</v>
      </c>
      <c r="K8" s="52">
        <f t="shared" si="5"/>
        <v>1</v>
      </c>
      <c r="L8" s="52">
        <f t="array" ref="L8">IF(A8="","",SUMPRODUCT((A$2:A$200&lt;&gt;"")*((F$2:F$200*I8+G$2:G$200*J8+H$2:H$200*K8)&gt;0)*((F8*I$2:I$200+G8*J$2:J$200+H8*K$2:K$200)&gt;0))-IF(F8*I8+G8*J8+H8*K8&gt;0,1,0))</f>
        <v>12</v>
      </c>
      <c r="M8" s="52">
        <f t="shared" si="6"/>
        <v>34</v>
      </c>
      <c r="N8" s="52" cm="1">
        <f t="array" ref="N8">SUMPRODUCT(((F$2:F$50*I8+G$2:G$50*J8+H$2:H$50*K8)&gt;0)*((F8*I$2:I$50+G8*J$2:J$50+H8*K$2:K$50)&gt;0)*(ROW($2:$50)&lt;&gt;ROW())*IF(L$2:L$50&gt;0,1/L$2:L$50,0))</f>
        <v>1.2204595383303822</v>
      </c>
      <c r="O8" s="52" cm="1">
        <f t="array" ref="O8">IF(L8=0,0,SUMPRODUCT(((F$2:F$50*I8+G$2:G$50*J8+H$2:H$50*K8)&gt;0)*((F8*I$2:I$50+G8*J$2:J$50+H8*K$2:K$50)&gt;0)*(ROW($2:$50)&lt;&gt;ROW())*L$2:L$50)/L8)</f>
        <v>13.583333333333334</v>
      </c>
      <c r="P8" s="52">
        <f t="shared" si="7"/>
        <v>0.8834355828220859</v>
      </c>
    </row>
    <row r="9" spans="1:16" x14ac:dyDescent="0.35">
      <c r="A9" s="52" t="str">
        <f>IF('Mii List'!A9="","",'Mii List'!A9)</f>
        <v>Agdistis</v>
      </c>
      <c r="B9" s="52" t="str">
        <f>IF(A9="","",'Mii List'!B9)</f>
        <v>Nonbinary</v>
      </c>
      <c r="C9" s="52" t="str">
        <f>IF(A9="","",'Mii List'!C9)</f>
        <v>✗</v>
      </c>
      <c r="D9" s="52" t="str">
        <f>IF(A9="","",'Mii List'!D9)</f>
        <v>✓</v>
      </c>
      <c r="E9" s="52" t="str">
        <f>IF(A9="","",'Mii List'!E9)</f>
        <v>✗</v>
      </c>
      <c r="F9" s="52">
        <f t="shared" si="0"/>
        <v>0</v>
      </c>
      <c r="G9" s="52">
        <f t="shared" si="1"/>
        <v>1</v>
      </c>
      <c r="H9" s="52">
        <f t="shared" si="2"/>
        <v>0</v>
      </c>
      <c r="I9" s="52">
        <f t="shared" si="3"/>
        <v>0</v>
      </c>
      <c r="J9" s="52">
        <f t="shared" si="4"/>
        <v>0</v>
      </c>
      <c r="K9" s="52">
        <f t="shared" si="5"/>
        <v>1</v>
      </c>
      <c r="L9" s="52">
        <f t="array" ref="L9">IF(A9="","",SUMPRODUCT((A$2:A$200&lt;&gt;"")*((F$2:F$200*I9+G$2:G$200*J9+H$2:H$200*K9)&gt;0)*((F9*I$2:I$200+G9*J$2:J$200+H9*K$2:K$200)&gt;0))-IF(F9*I9+G9*J9+H9*K9&gt;0,1,0))</f>
        <v>6</v>
      </c>
      <c r="M9" s="52">
        <f t="shared" si="6"/>
        <v>6</v>
      </c>
      <c r="N9" s="52" cm="1">
        <f t="array" ref="N9">SUMPRODUCT(((F$2:F$50*I9+G$2:G$50*J9+H$2:H$50*K9)&gt;0)*((F9*I$2:I$50+G9*J$2:J$50+H9*K$2:K$50)&gt;0)*(ROW($2:$50)&lt;&gt;ROW())*IF(L$2:L$50&gt;0,1/L$2:L$50,0))</f>
        <v>0.56244671781756184</v>
      </c>
      <c r="O9" s="52" cm="1">
        <f t="array" ref="O9">IF(L9=0,0,SUMPRODUCT(((F$2:F$50*I9+G$2:G$50*J9+H$2:H$50*K9)&gt;0)*((F9*I$2:I$50+G9*J$2:J$50+H9*K$2:K$50)&gt;0)*(ROW($2:$50)&lt;&gt;ROW())*L$2:L$50)/L9)</f>
        <v>14.5</v>
      </c>
      <c r="P9" s="52">
        <f t="shared" si="7"/>
        <v>0.41379310344827586</v>
      </c>
    </row>
    <row r="10" spans="1:16" x14ac:dyDescent="0.35">
      <c r="A10" s="52" t="str">
        <f>IF('Mii List'!A10="","",'Mii List'!A10)</f>
        <v>Vertumnus</v>
      </c>
      <c r="B10" s="52" t="str">
        <f>IF(A10="","",'Mii List'!B10)</f>
        <v>Nonbinary</v>
      </c>
      <c r="C10" s="52" t="str">
        <f>IF(A10="","",'Mii List'!C10)</f>
        <v>✓</v>
      </c>
      <c r="D10" s="52" t="str">
        <f>IF(A10="","",'Mii List'!D10)</f>
        <v>✗</v>
      </c>
      <c r="E10" s="52" t="str">
        <f>IF(A10="","",'Mii List'!E10)</f>
        <v>✗</v>
      </c>
      <c r="F10" s="52">
        <f t="shared" si="0"/>
        <v>1</v>
      </c>
      <c r="G10" s="52">
        <f t="shared" si="1"/>
        <v>0</v>
      </c>
      <c r="H10" s="52">
        <f t="shared" si="2"/>
        <v>0</v>
      </c>
      <c r="I10" s="52">
        <f t="shared" si="3"/>
        <v>0</v>
      </c>
      <c r="J10" s="52">
        <f t="shared" si="4"/>
        <v>0</v>
      </c>
      <c r="K10" s="52">
        <f t="shared" si="5"/>
        <v>1</v>
      </c>
      <c r="L10" s="52">
        <f t="array" ref="L10">IF(A10="","",SUMPRODUCT((A$2:A$200&lt;&gt;"")*((F$2:F$200*I10+G$2:G$200*J10+H$2:H$200*K10)&gt;0)*((F10*I$2:I$200+G10*J$2:J$200+H10*K$2:K$200)&gt;0))-IF(F10*I10+G10*J10+H10*K10&gt;0,1,0))</f>
        <v>6</v>
      </c>
      <c r="M10" s="52">
        <f t="shared" si="6"/>
        <v>14</v>
      </c>
      <c r="N10" s="52" cm="1">
        <f t="array" ref="N10">SUMPRODUCT(((F$2:F$50*I10+G$2:G$50*J10+H$2:H$50*K10)&gt;0)*((F10*I$2:I$50+G10*J$2:J$50+H10*K$2:K$50)&gt;0)*(ROW($2:$50)&lt;&gt;ROW())*IF(L$2:L$50&gt;0,1/L$2:L$50,0))</f>
        <v>0.6580128205128204</v>
      </c>
      <c r="O10" s="52" cm="1">
        <f t="array" ref="O10">IF(L10=0,0,SUMPRODUCT(((F$2:F$50*I10+G$2:G$50*J10+H$2:H$50*K10)&gt;0)*((F10*I$2:I$50+G10*J$2:J$50+H10*K$2:K$50)&gt;0)*(ROW($2:$50)&lt;&gt;ROW())*L$2:L$50)/L10)</f>
        <v>12.666666666666666</v>
      </c>
      <c r="P10" s="52">
        <f t="shared" si="7"/>
        <v>0.47368421052631582</v>
      </c>
    </row>
    <row r="11" spans="1:16" x14ac:dyDescent="0.35">
      <c r="A11" s="52" t="str">
        <f>IF('Mii List'!A11="","",'Mii List'!A11)</f>
        <v>Ometeotl</v>
      </c>
      <c r="B11" s="52" t="str">
        <f>IF(A11="","",'Mii List'!B11)</f>
        <v>Nonbinary</v>
      </c>
      <c r="C11" s="52" t="str">
        <f>IF(A11="","",'Mii List'!C11)</f>
        <v>✗</v>
      </c>
      <c r="D11" s="52" t="str">
        <f>IF(A11="","",'Mii List'!D11)</f>
        <v>✓</v>
      </c>
      <c r="E11" s="52" t="str">
        <f>IF(A11="","",'Mii List'!E11)</f>
        <v>✓</v>
      </c>
      <c r="F11" s="52">
        <f t="shared" si="0"/>
        <v>0</v>
      </c>
      <c r="G11" s="52">
        <f t="shared" si="1"/>
        <v>1</v>
      </c>
      <c r="H11" s="52">
        <f t="shared" si="2"/>
        <v>1</v>
      </c>
      <c r="I11" s="52">
        <f t="shared" si="3"/>
        <v>0</v>
      </c>
      <c r="J11" s="52">
        <f t="shared" si="4"/>
        <v>0</v>
      </c>
      <c r="K11" s="52">
        <f t="shared" si="5"/>
        <v>1</v>
      </c>
      <c r="L11" s="52">
        <f t="array" ref="L11">IF(A11="","",SUMPRODUCT((A$2:A$200&lt;&gt;"")*((F$2:F$200*I11+G$2:G$200*J11+H$2:H$200*K11)&gt;0)*((F11*I$2:I$200+G11*J$2:J$200+H11*K$2:K$200)&gt;0))-IF(F11*I11+G11*J11+H11*K11&gt;0,1,0))</f>
        <v>12</v>
      </c>
      <c r="M11" s="52">
        <f t="shared" si="6"/>
        <v>37</v>
      </c>
      <c r="N11" s="52" cm="1">
        <f t="array" ref="N11">SUMPRODUCT(((F$2:F$50*I11+G$2:G$50*J11+H$2:H$50*K11)&gt;0)*((F11*I$2:I$50+G11*J$2:J$50+H11*K$2:K$50)&gt;0)*(ROW($2:$50)&lt;&gt;ROW())*IF(L$2:L$50&gt;0,1/L$2:L$50,0))</f>
        <v>1.173557828928673</v>
      </c>
      <c r="O11" s="52" cm="1">
        <f t="array" ref="O11">IF(L11=0,0,SUMPRODUCT(((F$2:F$50*I11+G$2:G$50*J11+H$2:H$50*K11)&gt;0)*((F11*I$2:I$50+G11*J$2:J$50+H11*K$2:K$50)&gt;0)*(ROW($2:$50)&lt;&gt;ROW())*L$2:L$50)/L11)</f>
        <v>13.25</v>
      </c>
      <c r="P11" s="52">
        <f t="shared" si="7"/>
        <v>0.90566037735849059</v>
      </c>
    </row>
    <row r="12" spans="1:16" x14ac:dyDescent="0.35">
      <c r="A12" s="52" t="str">
        <f>IF('Mii List'!A12="","",'Mii List'!A12)</f>
        <v>Ardhanarishvara</v>
      </c>
      <c r="B12" s="52" t="str">
        <f>IF(A12="","",'Mii List'!B12)</f>
        <v>Nonbinary</v>
      </c>
      <c r="C12" s="52" t="str">
        <f>IF(A12="","",'Mii List'!C12)</f>
        <v>✓</v>
      </c>
      <c r="D12" s="52" t="str">
        <f>IF(A12="","",'Mii List'!D12)</f>
        <v>✗</v>
      </c>
      <c r="E12" s="52" t="str">
        <f>IF(A12="","",'Mii List'!E12)</f>
        <v>✓</v>
      </c>
      <c r="F12" s="52">
        <f t="shared" si="0"/>
        <v>1</v>
      </c>
      <c r="G12" s="52">
        <f t="shared" si="1"/>
        <v>0</v>
      </c>
      <c r="H12" s="52">
        <f t="shared" si="2"/>
        <v>1</v>
      </c>
      <c r="I12" s="52">
        <f t="shared" si="3"/>
        <v>0</v>
      </c>
      <c r="J12" s="52">
        <f t="shared" si="4"/>
        <v>0</v>
      </c>
      <c r="K12" s="52">
        <f t="shared" si="5"/>
        <v>1</v>
      </c>
      <c r="L12" s="52">
        <f t="array" ref="L12">IF(A12="","",SUMPRODUCT((A$2:A$200&lt;&gt;"")*((F$2:F$200*I12+G$2:G$200*J12+H$2:H$200*K12)&gt;0)*((F12*I$2:I$200+G12*J$2:J$200+H12*K$2:K$200)&gt;0))-IF(F12*I12+G12*J12+H12*K12&gt;0,1,0))</f>
        <v>12</v>
      </c>
      <c r="M12" s="52">
        <f t="shared" si="6"/>
        <v>33</v>
      </c>
      <c r="N12" s="52" cm="1">
        <f t="array" ref="N12">SUMPRODUCT(((F$2:F$50*I12+G$2:G$50*J12+H$2:H$50*K12)&gt;0)*((F12*I$2:I$50+G12*J$2:J$50+H12*K$2:K$50)&gt;0)*(ROW($2:$50)&lt;&gt;ROW())*IF(L$2:L$50&gt;0,1/L$2:L$50,0))</f>
        <v>1.2691239316239313</v>
      </c>
      <c r="O12" s="52" cm="1">
        <f t="array" ref="O12">IF(L12=0,0,SUMPRODUCT(((F$2:F$50*I12+G$2:G$50*J12+H$2:H$50*K12)&gt;0)*((F12*I$2:I$50+G12*J$2:J$50+H12*K$2:K$50)&gt;0)*(ROW($2:$50)&lt;&gt;ROW())*L$2:L$50)/L12)</f>
        <v>12.333333333333334</v>
      </c>
      <c r="P12" s="52">
        <f t="shared" si="7"/>
        <v>0.97297297297297292</v>
      </c>
    </row>
    <row r="13" spans="1:16" x14ac:dyDescent="0.35">
      <c r="A13" s="52" t="str">
        <f>IF('Mii List'!A13="","",'Mii List'!A13)</f>
        <v>Hapi</v>
      </c>
      <c r="B13" s="52" t="str">
        <f>IF(A13="","",'Mii List'!B13)</f>
        <v>Nonbinary</v>
      </c>
      <c r="C13" s="52" t="str">
        <f>IF(A13="","",'Mii List'!C13)</f>
        <v>✓</v>
      </c>
      <c r="D13" s="52" t="str">
        <f>IF(A13="","",'Mii List'!D13)</f>
        <v>✓</v>
      </c>
      <c r="E13" s="52" t="str">
        <f>IF(A13="","",'Mii List'!E13)</f>
        <v>✓</v>
      </c>
      <c r="F13" s="52">
        <f t="shared" si="0"/>
        <v>1</v>
      </c>
      <c r="G13" s="52">
        <f t="shared" si="1"/>
        <v>1</v>
      </c>
      <c r="H13" s="52">
        <f t="shared" si="2"/>
        <v>1</v>
      </c>
      <c r="I13" s="52">
        <f t="shared" si="3"/>
        <v>0</v>
      </c>
      <c r="J13" s="52">
        <f t="shared" si="4"/>
        <v>0</v>
      </c>
      <c r="K13" s="52">
        <f t="shared" si="5"/>
        <v>1</v>
      </c>
      <c r="L13" s="52">
        <f t="array" ref="L13">IF(A13="","",SUMPRODUCT((A$2:A$200&lt;&gt;"")*((F$2:F$200*I13+G$2:G$200*J13+H$2:H$200*K13)&gt;0)*((F13*I$2:I$200+G13*J$2:J$200+H13*K$2:K$200)&gt;0))-IF(F13*I13+G13*J13+H13*K13&gt;0,1,0))</f>
        <v>18</v>
      </c>
      <c r="M13" s="52">
        <f t="shared" si="6"/>
        <v>43</v>
      </c>
      <c r="N13" s="52" cm="1">
        <f t="array" ref="N13">SUMPRODUCT(((F$2:F$50*I13+G$2:G$50*J13+H$2:H$50*K13)&gt;0)*((F13*I$2:I$50+G13*J$2:J$50+H13*K$2:K$50)&gt;0)*(ROW($2:$50)&lt;&gt;ROW())*IF(L$2:L$50&gt;0,1/L$2:L$50,0))</f>
        <v>1.8593484272192711</v>
      </c>
      <c r="O13" s="52" cm="1">
        <f t="array" ref="O13">IF(L13=0,0,SUMPRODUCT(((F$2:F$50*I13+G$2:G$50*J13+H$2:H$50*K13)&gt;0)*((F13*I$2:I$50+G13*J$2:J$50+H13*K$2:K$50)&gt;0)*(ROW($2:$50)&lt;&gt;ROW())*L$2:L$50)/L13)</f>
        <v>12.722222222222221</v>
      </c>
      <c r="P13" s="52">
        <f t="shared" si="7"/>
        <v>1</v>
      </c>
    </row>
    <row r="14" spans="1:16" x14ac:dyDescent="0.35">
      <c r="A14" s="52" t="str">
        <f>IF('Mii List'!A14="","",'Mii List'!A14)</f>
        <v>Lan Caihe</v>
      </c>
      <c r="B14" s="52" t="str">
        <f>IF(A14="","",'Mii List'!B14)</f>
        <v>Nonbinary</v>
      </c>
      <c r="C14" s="52" t="str">
        <f>IF(A14="","",'Mii List'!C14)</f>
        <v>✗</v>
      </c>
      <c r="D14" s="52" t="str">
        <f>IF(A14="","",'Mii List'!D14)</f>
        <v>✓</v>
      </c>
      <c r="E14" s="52" t="str">
        <f>IF(A14="","",'Mii List'!E14)</f>
        <v>✓</v>
      </c>
      <c r="F14" s="52">
        <f t="shared" si="0"/>
        <v>0</v>
      </c>
      <c r="G14" s="52">
        <f t="shared" si="1"/>
        <v>1</v>
      </c>
      <c r="H14" s="52">
        <f t="shared" si="2"/>
        <v>1</v>
      </c>
      <c r="I14" s="52">
        <f t="shared" si="3"/>
        <v>0</v>
      </c>
      <c r="J14" s="52">
        <f t="shared" si="4"/>
        <v>0</v>
      </c>
      <c r="K14" s="52">
        <f t="shared" si="5"/>
        <v>1</v>
      </c>
      <c r="L14" s="52">
        <f t="array" ref="L14">IF(A14="","",SUMPRODUCT((A$2:A$200&lt;&gt;"")*((F$2:F$200*I14+G$2:G$200*J14+H$2:H$200*K14)&gt;0)*((F14*I$2:I$200+G14*J$2:J$200+H14*K$2:K$200)&gt;0))-IF(F14*I14+G14*J14+H14*K14&gt;0,1,0))</f>
        <v>12</v>
      </c>
      <c r="M14" s="52">
        <f t="shared" si="6"/>
        <v>36</v>
      </c>
      <c r="N14" s="52" cm="1">
        <f t="array" ref="N14">SUMPRODUCT(((F$2:F$50*I14+G$2:G$50*J14+H$2:H$50*K14)&gt;0)*((F14*I$2:I$50+G14*J$2:J$50+H14*K$2:K$50)&gt;0)*(ROW($2:$50)&lt;&gt;ROW())*IF(L$2:L$50&gt;0,1/L$2:L$50,0))</f>
        <v>1.173557828928673</v>
      </c>
      <c r="O14" s="52" cm="1">
        <f t="array" ref="O14">IF(L14=0,0,SUMPRODUCT(((F$2:F$50*I14+G$2:G$50*J14+H$2:H$50*K14)&gt;0)*((F14*I$2:I$50+G14*J$2:J$50+H14*K$2:K$50)&gt;0)*(ROW($2:$50)&lt;&gt;ROW())*L$2:L$50)/L14)</f>
        <v>13.25</v>
      </c>
      <c r="P14" s="52">
        <f t="shared" si="7"/>
        <v>0.90566037735849059</v>
      </c>
    </row>
    <row r="15" spans="1:16" x14ac:dyDescent="0.35">
      <c r="A15" s="52" t="str">
        <f>IF('Mii List'!A15="","",'Mii List'!A15)</f>
        <v>Achilles</v>
      </c>
      <c r="B15" s="52" t="str">
        <f>IF(A15="","",'Mii List'!B15)</f>
        <v>Male</v>
      </c>
      <c r="C15" s="52" t="str">
        <f>IF(A15="","",'Mii List'!C15)</f>
        <v>✓</v>
      </c>
      <c r="D15" s="52" t="str">
        <f>IF(A15="","",'Mii List'!D15)</f>
        <v>✗</v>
      </c>
      <c r="E15" s="52" t="str">
        <f>IF(A15="","",'Mii List'!E15)</f>
        <v>✗</v>
      </c>
      <c r="F15" s="52">
        <f t="shared" si="0"/>
        <v>1</v>
      </c>
      <c r="G15" s="52">
        <f t="shared" si="1"/>
        <v>0</v>
      </c>
      <c r="H15" s="52">
        <f t="shared" si="2"/>
        <v>0</v>
      </c>
      <c r="I15" s="52">
        <f t="shared" si="3"/>
        <v>1</v>
      </c>
      <c r="J15" s="52">
        <f t="shared" si="4"/>
        <v>0</v>
      </c>
      <c r="K15" s="52">
        <f t="shared" si="5"/>
        <v>0</v>
      </c>
      <c r="L15" s="52">
        <f t="array" ref="L15">IF(A15="","",SUMPRODUCT((A$2:A$200&lt;&gt;"")*((F$2:F$200*I15+G$2:G$200*J15+H$2:H$200*K15)&gt;0)*((F15*I$2:I$200+G15*J$2:J$200+H15*K$2:K$200)&gt;0))-IF(F15*I15+G15*J15+H15*K15&gt;0,1,0))</f>
        <v>11</v>
      </c>
      <c r="M15" s="52">
        <f t="shared" si="6"/>
        <v>21</v>
      </c>
      <c r="N15" s="52" cm="1">
        <f t="array" ref="N15">SUMPRODUCT(((F$2:F$50*I15+G$2:G$50*J15+H$2:H$50*K15)&gt;0)*((F15*I$2:I$50+G15*J$2:J$50+H15*K$2:K$50)&gt;0)*(ROW($2:$50)&lt;&gt;ROW())*IF(L$2:L$50&gt;0,1/L$2:L$50,0))</f>
        <v>0.84579346092503993</v>
      </c>
      <c r="O15" s="52" cm="1">
        <f t="array" ref="O15">IF(L15=0,0,SUMPRODUCT(((F$2:F$50*I15+G$2:G$50*J15+H$2:H$50*K15)&gt;0)*((F15*I$2:I$50+G15*J$2:J$50+H15*K$2:K$50)&gt;0)*(ROW($2:$50)&lt;&gt;ROW())*L$2:L$50)/L15)</f>
        <v>14.090909090909092</v>
      </c>
      <c r="P15" s="52">
        <f t="shared" si="7"/>
        <v>0.78064516129032258</v>
      </c>
    </row>
    <row r="16" spans="1:16" x14ac:dyDescent="0.35">
      <c r="A16" s="52" t="str">
        <f>IF('Mii List'!A16="","",'Mii List'!A16)</f>
        <v>Patroclus</v>
      </c>
      <c r="B16" s="52" t="str">
        <f>IF(A16="","",'Mii List'!B16)</f>
        <v>Male</v>
      </c>
      <c r="C16" s="52" t="str">
        <f>IF(A16="","",'Mii List'!C16)</f>
        <v>✓</v>
      </c>
      <c r="D16" s="52" t="str">
        <f>IF(A16="","",'Mii List'!D16)</f>
        <v>✗</v>
      </c>
      <c r="E16" s="52" t="str">
        <f>IF(A16="","",'Mii List'!E16)</f>
        <v>✗</v>
      </c>
      <c r="F16" s="52">
        <f t="shared" si="0"/>
        <v>1</v>
      </c>
      <c r="G16" s="52">
        <f t="shared" si="1"/>
        <v>0</v>
      </c>
      <c r="H16" s="52">
        <f t="shared" si="2"/>
        <v>0</v>
      </c>
      <c r="I16" s="52">
        <f t="shared" si="3"/>
        <v>1</v>
      </c>
      <c r="J16" s="52">
        <f t="shared" si="4"/>
        <v>0</v>
      </c>
      <c r="K16" s="52">
        <f t="shared" si="5"/>
        <v>0</v>
      </c>
      <c r="L16" s="52">
        <f t="array" ref="L16">IF(A16="","",SUMPRODUCT((A$2:A$200&lt;&gt;"")*((F$2:F$200*I16+G$2:G$200*J16+H$2:H$200*K16)&gt;0)*((F16*I$2:I$200+G16*J$2:J$200+H16*K$2:K$200)&gt;0))-IF(F16*I16+G16*J16+H16*K16&gt;0,1,0))</f>
        <v>11</v>
      </c>
      <c r="M16" s="52">
        <f t="shared" si="6"/>
        <v>30</v>
      </c>
      <c r="N16" s="52" cm="1">
        <f t="array" ref="N16">SUMPRODUCT(((F$2:F$50*I16+G$2:G$50*J16+H$2:H$50*K16)&gt;0)*((F16*I$2:I$50+G16*J$2:J$50+H16*K$2:K$50)&gt;0)*(ROW($2:$50)&lt;&gt;ROW())*IF(L$2:L$50&gt;0,1/L$2:L$50,0))</f>
        <v>0.84579346092503993</v>
      </c>
      <c r="O16" s="52" cm="1">
        <f t="array" ref="O16">IF(L16=0,0,SUMPRODUCT(((F$2:F$50*I16+G$2:G$50*J16+H$2:H$50*K16)&gt;0)*((F16*I$2:I$50+G16*J$2:J$50+H16*K$2:K$50)&gt;0)*(ROW($2:$50)&lt;&gt;ROW())*L$2:L$50)/L16)</f>
        <v>14.090909090909092</v>
      </c>
      <c r="P16" s="52">
        <f t="shared" si="7"/>
        <v>0.78064516129032258</v>
      </c>
    </row>
    <row r="17" spans="1:16" x14ac:dyDescent="0.35">
      <c r="A17" s="52" t="str">
        <f>IF('Mii List'!A17="","",'Mii List'!A17)</f>
        <v>Apollo</v>
      </c>
      <c r="B17" s="52" t="str">
        <f>IF(A17="","",'Mii List'!B17)</f>
        <v>Male</v>
      </c>
      <c r="C17" s="52" t="str">
        <f>IF(A17="","",'Mii List'!C17)</f>
        <v>✓</v>
      </c>
      <c r="D17" s="52" t="str">
        <f>IF(A17="","",'Mii List'!D17)</f>
        <v>✗</v>
      </c>
      <c r="E17" s="52" t="str">
        <f>IF(A17="","",'Mii List'!E17)</f>
        <v>✗</v>
      </c>
      <c r="F17" s="52">
        <f t="shared" si="0"/>
        <v>1</v>
      </c>
      <c r="G17" s="52">
        <f t="shared" si="1"/>
        <v>0</v>
      </c>
      <c r="H17" s="52">
        <f t="shared" si="2"/>
        <v>0</v>
      </c>
      <c r="I17" s="52">
        <f t="shared" si="3"/>
        <v>1</v>
      </c>
      <c r="J17" s="52">
        <f t="shared" si="4"/>
        <v>0</v>
      </c>
      <c r="K17" s="52">
        <f t="shared" si="5"/>
        <v>0</v>
      </c>
      <c r="L17" s="52">
        <f t="array" ref="L17">IF(A17="","",SUMPRODUCT((A$2:A$200&lt;&gt;"")*((F$2:F$200*I17+G$2:G$200*J17+H$2:H$200*K17)&gt;0)*((F17*I$2:I$200+G17*J$2:J$200+H17*K$2:K$200)&gt;0))-IF(F17*I17+G17*J17+H17*K17&gt;0,1,0))</f>
        <v>11</v>
      </c>
      <c r="M17" s="52">
        <f t="shared" si="6"/>
        <v>25</v>
      </c>
      <c r="N17" s="52" cm="1">
        <f t="array" ref="N17">SUMPRODUCT(((F$2:F$50*I17+G$2:G$50*J17+H$2:H$50*K17)&gt;0)*((F17*I$2:I$50+G17*J$2:J$50+H17*K$2:K$50)&gt;0)*(ROW($2:$50)&lt;&gt;ROW())*IF(L$2:L$50&gt;0,1/L$2:L$50,0))</f>
        <v>0.84579346092503993</v>
      </c>
      <c r="O17" s="52" cm="1">
        <f t="array" ref="O17">IF(L17=0,0,SUMPRODUCT(((F$2:F$50*I17+G$2:G$50*J17+H$2:H$50*K17)&gt;0)*((F17*I$2:I$50+G17*J$2:J$50+H17*K$2:K$50)&gt;0)*(ROW($2:$50)&lt;&gt;ROW())*L$2:L$50)/L17)</f>
        <v>14.090909090909092</v>
      </c>
      <c r="P17" s="52">
        <f t="shared" si="7"/>
        <v>0.78064516129032258</v>
      </c>
    </row>
    <row r="18" spans="1:16" x14ac:dyDescent="0.35">
      <c r="A18" s="52" t="str">
        <f>IF('Mii List'!A18="","",'Mii List'!A18)</f>
        <v>Hyacinth</v>
      </c>
      <c r="B18" s="52" t="str">
        <f>IF(A18="","",'Mii List'!B18)</f>
        <v>Male</v>
      </c>
      <c r="C18" s="52" t="str">
        <f>IF(A18="","",'Mii List'!C18)</f>
        <v>✓</v>
      </c>
      <c r="D18" s="52" t="str">
        <f>IF(A18="","",'Mii List'!D18)</f>
        <v>✗</v>
      </c>
      <c r="E18" s="52" t="str">
        <f>IF(A18="","",'Mii List'!E18)</f>
        <v>✗</v>
      </c>
      <c r="F18" s="52">
        <f t="shared" si="0"/>
        <v>1</v>
      </c>
      <c r="G18" s="52">
        <f t="shared" si="1"/>
        <v>0</v>
      </c>
      <c r="H18" s="52">
        <f t="shared" si="2"/>
        <v>0</v>
      </c>
      <c r="I18" s="52">
        <f t="shared" si="3"/>
        <v>1</v>
      </c>
      <c r="J18" s="52">
        <f t="shared" si="4"/>
        <v>0</v>
      </c>
      <c r="K18" s="52">
        <f t="shared" si="5"/>
        <v>0</v>
      </c>
      <c r="L18" s="52">
        <f t="array" ref="L18">IF(A18="","",SUMPRODUCT((A$2:A$200&lt;&gt;"")*((F$2:F$200*I18+G$2:G$200*J18+H$2:H$200*K18)&gt;0)*((F18*I$2:I$200+G18*J$2:J$200+H18*K$2:K$200)&gt;0))-IF(F18*I18+G18*J18+H18*K18&gt;0,1,0))</f>
        <v>11</v>
      </c>
      <c r="M18" s="52">
        <f t="shared" si="6"/>
        <v>29</v>
      </c>
      <c r="N18" s="52" cm="1">
        <f t="array" ref="N18">SUMPRODUCT(((F$2:F$50*I18+G$2:G$50*J18+H$2:H$50*K18)&gt;0)*((F18*I$2:I$50+G18*J$2:J$50+H18*K$2:K$50)&gt;0)*(ROW($2:$50)&lt;&gt;ROW())*IF(L$2:L$50&gt;0,1/L$2:L$50,0))</f>
        <v>0.84579346092503993</v>
      </c>
      <c r="O18" s="52" cm="1">
        <f t="array" ref="O18">IF(L18=0,0,SUMPRODUCT(((F$2:F$50*I18+G$2:G$50*J18+H$2:H$50*K18)&gt;0)*((F18*I$2:I$50+G18*J$2:J$50+H18*K$2:K$50)&gt;0)*(ROW($2:$50)&lt;&gt;ROW())*L$2:L$50)/L18)</f>
        <v>14.090909090909092</v>
      </c>
      <c r="P18" s="52">
        <f t="shared" si="7"/>
        <v>0.78064516129032258</v>
      </c>
    </row>
    <row r="19" spans="1:16" x14ac:dyDescent="0.35">
      <c r="A19" s="52" t="str">
        <f>IF('Mii List'!A19="","",'Mii List'!A19)</f>
        <v>Ganymede</v>
      </c>
      <c r="B19" s="52" t="str">
        <f>IF(A19="","",'Mii List'!B19)</f>
        <v>Male</v>
      </c>
      <c r="C19" s="52" t="str">
        <f>IF(A19="","",'Mii List'!C19)</f>
        <v>✓</v>
      </c>
      <c r="D19" s="52" t="str">
        <f>IF(A19="","",'Mii List'!D19)</f>
        <v>✗</v>
      </c>
      <c r="E19" s="52" t="str">
        <f>IF(A19="","",'Mii List'!E19)</f>
        <v>✗</v>
      </c>
      <c r="F19" s="52">
        <f t="shared" si="0"/>
        <v>1</v>
      </c>
      <c r="G19" s="52">
        <f t="shared" si="1"/>
        <v>0</v>
      </c>
      <c r="H19" s="52">
        <f t="shared" si="2"/>
        <v>0</v>
      </c>
      <c r="I19" s="52">
        <f t="shared" si="3"/>
        <v>1</v>
      </c>
      <c r="J19" s="52">
        <f t="shared" si="4"/>
        <v>0</v>
      </c>
      <c r="K19" s="52">
        <f t="shared" si="5"/>
        <v>0</v>
      </c>
      <c r="L19" s="52">
        <f t="array" ref="L19">IF(A19="","",SUMPRODUCT((A$2:A$200&lt;&gt;"")*((F$2:F$200*I19+G$2:G$200*J19+H$2:H$200*K19)&gt;0)*((F19*I$2:I$200+G19*J$2:J$200+H19*K$2:K$200)&gt;0))-IF(F19*I19+G19*J19+H19*K19&gt;0,1,0))</f>
        <v>11</v>
      </c>
      <c r="M19" s="52">
        <f t="shared" si="6"/>
        <v>26</v>
      </c>
      <c r="N19" s="52" cm="1">
        <f t="array" ref="N19">SUMPRODUCT(((F$2:F$50*I19+G$2:G$50*J19+H$2:H$50*K19)&gt;0)*((F19*I$2:I$50+G19*J$2:J$50+H19*K$2:K$50)&gt;0)*(ROW($2:$50)&lt;&gt;ROW())*IF(L$2:L$50&gt;0,1/L$2:L$50,0))</f>
        <v>0.84579346092503993</v>
      </c>
      <c r="O19" s="52" cm="1">
        <f t="array" ref="O19">IF(L19=0,0,SUMPRODUCT(((F$2:F$50*I19+G$2:G$50*J19+H$2:H$50*K19)&gt;0)*((F19*I$2:I$50+G19*J$2:J$50+H19*K$2:K$50)&gt;0)*(ROW($2:$50)&lt;&gt;ROW())*L$2:L$50)/L19)</f>
        <v>14.090909090909092</v>
      </c>
      <c r="P19" s="52">
        <f t="shared" si="7"/>
        <v>0.78064516129032258</v>
      </c>
    </row>
    <row r="20" spans="1:16" x14ac:dyDescent="0.35">
      <c r="A20" s="52" t="str">
        <f>IF('Mii List'!A20="","",'Mii List'!A20)</f>
        <v>Antinous</v>
      </c>
      <c r="B20" s="52" t="str">
        <f>IF(A20="","",'Mii List'!B20)</f>
        <v>Male</v>
      </c>
      <c r="C20" s="52" t="str">
        <f>IF(A20="","",'Mii List'!C20)</f>
        <v>✓</v>
      </c>
      <c r="D20" s="52" t="str">
        <f>IF(A20="","",'Mii List'!D20)</f>
        <v>✗</v>
      </c>
      <c r="E20" s="52" t="str">
        <f>IF(A20="","",'Mii List'!E20)</f>
        <v>✗</v>
      </c>
      <c r="F20" s="52">
        <f t="shared" si="0"/>
        <v>1</v>
      </c>
      <c r="G20" s="52">
        <f t="shared" si="1"/>
        <v>0</v>
      </c>
      <c r="H20" s="52">
        <f t="shared" si="2"/>
        <v>0</v>
      </c>
      <c r="I20" s="52">
        <f t="shared" si="3"/>
        <v>1</v>
      </c>
      <c r="J20" s="52">
        <f t="shared" si="4"/>
        <v>0</v>
      </c>
      <c r="K20" s="52">
        <f t="shared" si="5"/>
        <v>0</v>
      </c>
      <c r="L20" s="52">
        <f t="array" ref="L20">IF(A20="","",SUMPRODUCT((A$2:A$200&lt;&gt;"")*((F$2:F$200*I20+G$2:G$200*J20+H$2:H$200*K20)&gt;0)*((F20*I$2:I$200+G20*J$2:J$200+H20*K$2:K$200)&gt;0))-IF(F20*I20+G20*J20+H20*K20&gt;0,1,0))</f>
        <v>11</v>
      </c>
      <c r="M20" s="52">
        <f t="shared" si="6"/>
        <v>23</v>
      </c>
      <c r="N20" s="52" cm="1">
        <f t="array" ref="N20">SUMPRODUCT(((F$2:F$50*I20+G$2:G$50*J20+H$2:H$50*K20)&gt;0)*((F20*I$2:I$50+G20*J$2:J$50+H20*K$2:K$50)&gt;0)*(ROW($2:$50)&lt;&gt;ROW())*IF(L$2:L$50&gt;0,1/L$2:L$50,0))</f>
        <v>0.84579346092503993</v>
      </c>
      <c r="O20" s="52" cm="1">
        <f t="array" ref="O20">IF(L20=0,0,SUMPRODUCT(((F$2:F$50*I20+G$2:G$50*J20+H$2:H$50*K20)&gt;0)*((F20*I$2:I$50+G20*J$2:J$50+H20*K$2:K$50)&gt;0)*(ROW($2:$50)&lt;&gt;ROW())*L$2:L$50)/L20)</f>
        <v>14.090909090909092</v>
      </c>
      <c r="P20" s="52">
        <f t="shared" si="7"/>
        <v>0.78064516129032258</v>
      </c>
    </row>
    <row r="21" spans="1:16" x14ac:dyDescent="0.35">
      <c r="A21" s="52" t="str">
        <f>IF('Mii List'!A21="","",'Mii List'!A21)</f>
        <v>Alexander</v>
      </c>
      <c r="B21" s="52" t="str">
        <f>IF(A21="","",'Mii List'!B21)</f>
        <v>Male</v>
      </c>
      <c r="C21" s="52" t="str">
        <f>IF(A21="","",'Mii List'!C21)</f>
        <v>✓</v>
      </c>
      <c r="D21" s="52" t="str">
        <f>IF(A21="","",'Mii List'!D21)</f>
        <v>✗</v>
      </c>
      <c r="E21" s="52" t="str">
        <f>IF(A21="","",'Mii List'!E21)</f>
        <v>✗</v>
      </c>
      <c r="F21" s="52">
        <f t="shared" si="0"/>
        <v>1</v>
      </c>
      <c r="G21" s="52">
        <f t="shared" si="1"/>
        <v>0</v>
      </c>
      <c r="H21" s="52">
        <f t="shared" si="2"/>
        <v>0</v>
      </c>
      <c r="I21" s="52">
        <f t="shared" si="3"/>
        <v>1</v>
      </c>
      <c r="J21" s="52">
        <f t="shared" si="4"/>
        <v>0</v>
      </c>
      <c r="K21" s="52">
        <f t="shared" si="5"/>
        <v>0</v>
      </c>
      <c r="L21" s="52">
        <f t="array" ref="L21">IF(A21="","",SUMPRODUCT((A$2:A$200&lt;&gt;"")*((F$2:F$200*I21+G$2:G$200*J21+H$2:H$200*K21)&gt;0)*((F21*I$2:I$200+G21*J$2:J$200+H21*K$2:K$200)&gt;0))-IF(F21*I21+G21*J21+H21*K21&gt;0,1,0))</f>
        <v>11</v>
      </c>
      <c r="M21" s="52">
        <f t="shared" si="6"/>
        <v>22</v>
      </c>
      <c r="N21" s="52" cm="1">
        <f t="array" ref="N21">SUMPRODUCT(((F$2:F$50*I21+G$2:G$50*J21+H$2:H$50*K21)&gt;0)*((F21*I$2:I$50+G21*J$2:J$50+H21*K$2:K$50)&gt;0)*(ROW($2:$50)&lt;&gt;ROW())*IF(L$2:L$50&gt;0,1/L$2:L$50,0))</f>
        <v>0.84579346092503993</v>
      </c>
      <c r="O21" s="52" cm="1">
        <f t="array" ref="O21">IF(L21=0,0,SUMPRODUCT(((F$2:F$50*I21+G$2:G$50*J21+H$2:H$50*K21)&gt;0)*((F21*I$2:I$50+G21*J$2:J$50+H21*K$2:K$50)&gt;0)*(ROW($2:$50)&lt;&gt;ROW())*L$2:L$50)/L21)</f>
        <v>14.090909090909092</v>
      </c>
      <c r="P21" s="52">
        <f t="shared" si="7"/>
        <v>0.78064516129032258</v>
      </c>
    </row>
    <row r="22" spans="1:16" x14ac:dyDescent="0.35">
      <c r="A22" s="52" t="str">
        <f>IF('Mii List'!A22="","",'Mii List'!A22)</f>
        <v>Hephaestion</v>
      </c>
      <c r="B22" s="52" t="str">
        <f>IF(A22="","",'Mii List'!B22)</f>
        <v>Male</v>
      </c>
      <c r="C22" s="52" t="str">
        <f>IF(A22="","",'Mii List'!C22)</f>
        <v>✓</v>
      </c>
      <c r="D22" s="52" t="str">
        <f>IF(A22="","",'Mii List'!D22)</f>
        <v>✗</v>
      </c>
      <c r="E22" s="52" t="str">
        <f>IF(A22="","",'Mii List'!E22)</f>
        <v>✗</v>
      </c>
      <c r="F22" s="52">
        <f t="shared" si="0"/>
        <v>1</v>
      </c>
      <c r="G22" s="52">
        <f t="shared" si="1"/>
        <v>0</v>
      </c>
      <c r="H22" s="52">
        <f t="shared" si="2"/>
        <v>0</v>
      </c>
      <c r="I22" s="52">
        <f t="shared" si="3"/>
        <v>1</v>
      </c>
      <c r="J22" s="52">
        <f t="shared" si="4"/>
        <v>0</v>
      </c>
      <c r="K22" s="52">
        <f t="shared" si="5"/>
        <v>0</v>
      </c>
      <c r="L22" s="52">
        <f t="array" ref="L22">IF(A22="","",SUMPRODUCT((A$2:A$200&lt;&gt;"")*((F$2:F$200*I22+G$2:G$200*J22+H$2:H$200*K22)&gt;0)*((F22*I$2:I$200+G22*J$2:J$200+H22*K$2:K$200)&gt;0))-IF(F22*I22+G22*J22+H22*K22&gt;0,1,0))</f>
        <v>11</v>
      </c>
      <c r="M22" s="52">
        <f t="shared" si="6"/>
        <v>28</v>
      </c>
      <c r="N22" s="52" cm="1">
        <f t="array" ref="N22">SUMPRODUCT(((F$2:F$50*I22+G$2:G$50*J22+H$2:H$50*K22)&gt;0)*((F22*I$2:I$50+G22*J$2:J$50+H22*K$2:K$50)&gt;0)*(ROW($2:$50)&lt;&gt;ROW())*IF(L$2:L$50&gt;0,1/L$2:L$50,0))</f>
        <v>0.84579346092503993</v>
      </c>
      <c r="O22" s="52" cm="1">
        <f t="array" ref="O22">IF(L22=0,0,SUMPRODUCT(((F$2:F$50*I22+G$2:G$50*J22+H$2:H$50*K22)&gt;0)*((F22*I$2:I$50+G22*J$2:J$50+H22*K$2:K$50)&gt;0)*(ROW($2:$50)&lt;&gt;ROW())*L$2:L$50)/L22)</f>
        <v>14.090909090909092</v>
      </c>
      <c r="P22" s="52">
        <f t="shared" si="7"/>
        <v>0.78064516129032258</v>
      </c>
    </row>
    <row r="23" spans="1:16" x14ac:dyDescent="0.35">
      <c r="A23" s="52" t="str">
        <f>IF('Mii List'!A23="","",'Mii List'!A23)</f>
        <v>Zeus</v>
      </c>
      <c r="B23" s="52" t="str">
        <f>IF(A23="","",'Mii List'!B23)</f>
        <v>Male</v>
      </c>
      <c r="C23" s="52" t="str">
        <f>IF(A23="","",'Mii List'!C23)</f>
        <v>✗</v>
      </c>
      <c r="D23" s="52" t="str">
        <f>IF(A23="","",'Mii List'!D23)</f>
        <v>✓</v>
      </c>
      <c r="E23" s="52" t="str">
        <f>IF(A23="","",'Mii List'!E23)</f>
        <v>✗</v>
      </c>
      <c r="F23" s="52">
        <f t="shared" si="0"/>
        <v>0</v>
      </c>
      <c r="G23" s="52">
        <f t="shared" si="1"/>
        <v>1</v>
      </c>
      <c r="H23" s="52">
        <f t="shared" si="2"/>
        <v>0</v>
      </c>
      <c r="I23" s="52">
        <f t="shared" si="3"/>
        <v>1</v>
      </c>
      <c r="J23" s="52">
        <f t="shared" si="4"/>
        <v>0</v>
      </c>
      <c r="K23" s="52">
        <f t="shared" si="5"/>
        <v>0</v>
      </c>
      <c r="L23" s="52">
        <f t="array" ref="L23">IF(A23="","",SUMPRODUCT((A$2:A$200&lt;&gt;"")*((F$2:F$200*I23+G$2:G$200*J23+H$2:H$200*K23)&gt;0)*((F23*I$2:I$200+G23*J$2:J$200+H23*K$2:K$200)&gt;0))-IF(F23*I23+G23*J23+H23*K23&gt;0,1,0))</f>
        <v>8</v>
      </c>
      <c r="M23" s="52">
        <f t="shared" si="6"/>
        <v>20</v>
      </c>
      <c r="N23" s="52" cm="1">
        <f t="array" ref="N23">SUMPRODUCT(((F$2:F$50*I23+G$2:G$50*J23+H$2:H$50*K23)&gt;0)*((F23*I$2:I$50+G23*J$2:J$50+H23*K$2:K$50)&gt;0)*(ROW($2:$50)&lt;&gt;ROW())*IF(L$2:L$50&gt;0,1/L$2:L$50,0))</f>
        <v>0.56823994419902346</v>
      </c>
      <c r="O23" s="52" cm="1">
        <f t="array" ref="O23">IF(L23=0,0,SUMPRODUCT(((F$2:F$50*I23+G$2:G$50*J23+H$2:H$50*K23)&gt;0)*((F23*I$2:I$50+G23*J$2:J$50+H23*K$2:K$50)&gt;0)*(ROW($2:$50)&lt;&gt;ROW())*L$2:L$50)/L23)</f>
        <v>15.5</v>
      </c>
      <c r="P23" s="52">
        <f t="shared" si="7"/>
        <v>0.5161290322580645</v>
      </c>
    </row>
    <row r="24" spans="1:16" x14ac:dyDescent="0.35">
      <c r="A24" s="52" t="str">
        <f>IF('Mii List'!A24="","",'Mii List'!A24)</f>
        <v>Poseidon</v>
      </c>
      <c r="B24" s="52" t="str">
        <f>IF(A24="","",'Mii List'!B24)</f>
        <v>Male</v>
      </c>
      <c r="C24" s="52" t="str">
        <f>IF(A24="","",'Mii List'!C24)</f>
        <v>✗</v>
      </c>
      <c r="D24" s="52" t="str">
        <f>IF(A24="","",'Mii List'!D24)</f>
        <v>✓</v>
      </c>
      <c r="E24" s="52" t="str">
        <f>IF(A24="","",'Mii List'!E24)</f>
        <v>✗</v>
      </c>
      <c r="F24" s="52">
        <f t="shared" si="0"/>
        <v>0</v>
      </c>
      <c r="G24" s="52">
        <f t="shared" si="1"/>
        <v>1</v>
      </c>
      <c r="H24" s="52">
        <f t="shared" si="2"/>
        <v>0</v>
      </c>
      <c r="I24" s="52">
        <f t="shared" si="3"/>
        <v>1</v>
      </c>
      <c r="J24" s="52">
        <f t="shared" si="4"/>
        <v>0</v>
      </c>
      <c r="K24" s="52">
        <f t="shared" si="5"/>
        <v>0</v>
      </c>
      <c r="L24" s="52">
        <f t="array" ref="L24">IF(A24="","",SUMPRODUCT((A$2:A$200&lt;&gt;"")*((F$2:F$200*I24+G$2:G$200*J24+H$2:H$200*K24)&gt;0)*((F24*I$2:I$200+G24*J$2:J$200+H24*K$2:K$200)&gt;0))-IF(F24*I24+G24*J24+H24*K24&gt;0,1,0))</f>
        <v>8</v>
      </c>
      <c r="M24" s="52">
        <f t="shared" si="6"/>
        <v>19</v>
      </c>
      <c r="N24" s="52" cm="1">
        <f t="array" ref="N24">SUMPRODUCT(((F$2:F$50*I24+G$2:G$50*J24+H$2:H$50*K24)&gt;0)*((F24*I$2:I$50+G24*J$2:J$50+H24*K$2:K$50)&gt;0)*(ROW($2:$50)&lt;&gt;ROW())*IF(L$2:L$50&gt;0,1/L$2:L$50,0))</f>
        <v>0.56823994419902346</v>
      </c>
      <c r="O24" s="52" cm="1">
        <f t="array" ref="O24">IF(L24=0,0,SUMPRODUCT(((F$2:F$50*I24+G$2:G$50*J24+H$2:H$50*K24)&gt;0)*((F24*I$2:I$50+G24*J$2:J$50+H24*K$2:K$50)&gt;0)*(ROW($2:$50)&lt;&gt;ROW())*L$2:L$50)/L24)</f>
        <v>15.5</v>
      </c>
      <c r="P24" s="52">
        <f t="shared" si="7"/>
        <v>0.5161290322580645</v>
      </c>
    </row>
    <row r="25" spans="1:16" x14ac:dyDescent="0.35">
      <c r="A25" s="52" t="str">
        <f>IF('Mii List'!A25="","",'Mii List'!A25)</f>
        <v>Hades</v>
      </c>
      <c r="B25" s="52" t="str">
        <f>IF(A25="","",'Mii List'!B25)</f>
        <v>Male</v>
      </c>
      <c r="C25" s="52" t="str">
        <f>IF(A25="","",'Mii List'!C25)</f>
        <v>✗</v>
      </c>
      <c r="D25" s="52" t="str">
        <f>IF(A25="","",'Mii List'!D25)</f>
        <v>✓</v>
      </c>
      <c r="E25" s="52" t="str">
        <f>IF(A25="","",'Mii List'!E25)</f>
        <v>✗</v>
      </c>
      <c r="F25" s="52">
        <f t="shared" si="0"/>
        <v>0</v>
      </c>
      <c r="G25" s="52">
        <f t="shared" si="1"/>
        <v>1</v>
      </c>
      <c r="H25" s="52">
        <f t="shared" si="2"/>
        <v>0</v>
      </c>
      <c r="I25" s="52">
        <f t="shared" si="3"/>
        <v>1</v>
      </c>
      <c r="J25" s="52">
        <f t="shared" si="4"/>
        <v>0</v>
      </c>
      <c r="K25" s="52">
        <f t="shared" si="5"/>
        <v>0</v>
      </c>
      <c r="L25" s="52">
        <f t="array" ref="L25">IF(A25="","",SUMPRODUCT((A$2:A$200&lt;&gt;"")*((F$2:F$200*I25+G$2:G$200*J25+H$2:H$200*K25)&gt;0)*((F25*I$2:I$200+G25*J$2:J$200+H25*K$2:K$200)&gt;0))-IF(F25*I25+G25*J25+H25*K25&gt;0,1,0))</f>
        <v>8</v>
      </c>
      <c r="M25" s="52">
        <f t="shared" si="6"/>
        <v>16</v>
      </c>
      <c r="N25" s="52" cm="1">
        <f t="array" ref="N25">SUMPRODUCT(((F$2:F$50*I25+G$2:G$50*J25+H$2:H$50*K25)&gt;0)*((F25*I$2:I$50+G25*J$2:J$50+H25*K$2:K$50)&gt;0)*(ROW($2:$50)&lt;&gt;ROW())*IF(L$2:L$50&gt;0,1/L$2:L$50,0))</f>
        <v>0.56823994419902346</v>
      </c>
      <c r="O25" s="52" cm="1">
        <f t="array" ref="O25">IF(L25=0,0,SUMPRODUCT(((F$2:F$50*I25+G$2:G$50*J25+H$2:H$50*K25)&gt;0)*((F25*I$2:I$50+G25*J$2:J$50+H25*K$2:K$50)&gt;0)*(ROW($2:$50)&lt;&gt;ROW())*L$2:L$50)/L25)</f>
        <v>15.5</v>
      </c>
      <c r="P25" s="52">
        <f t="shared" si="7"/>
        <v>0.5161290322580645</v>
      </c>
    </row>
    <row r="26" spans="1:16" x14ac:dyDescent="0.35">
      <c r="A26" s="52" t="str">
        <f>IF('Mii List'!A26="","",'Mii List'!A26)</f>
        <v>Ares</v>
      </c>
      <c r="B26" s="52" t="str">
        <f>IF(A26="","",'Mii List'!B26)</f>
        <v>Male</v>
      </c>
      <c r="C26" s="52" t="str">
        <f>IF(A26="","",'Mii List'!C26)</f>
        <v>✗</v>
      </c>
      <c r="D26" s="52" t="str">
        <f>IF(A26="","",'Mii List'!D26)</f>
        <v>✓</v>
      </c>
      <c r="E26" s="52" t="str">
        <f>IF(A26="","",'Mii List'!E26)</f>
        <v>✗</v>
      </c>
      <c r="F26" s="52">
        <f t="shared" si="0"/>
        <v>0</v>
      </c>
      <c r="G26" s="52">
        <f t="shared" si="1"/>
        <v>1</v>
      </c>
      <c r="H26" s="52">
        <f t="shared" si="2"/>
        <v>0</v>
      </c>
      <c r="I26" s="52">
        <f t="shared" si="3"/>
        <v>1</v>
      </c>
      <c r="J26" s="52">
        <f t="shared" si="4"/>
        <v>0</v>
      </c>
      <c r="K26" s="52">
        <f t="shared" si="5"/>
        <v>0</v>
      </c>
      <c r="L26" s="52">
        <f t="array" ref="L26">IF(A26="","",SUMPRODUCT((A$2:A$200&lt;&gt;"")*((F$2:F$200*I26+G$2:G$200*J26+H$2:H$200*K26)&gt;0)*((F26*I$2:I$200+G26*J$2:J$200+H26*K$2:K$200)&gt;0))-IF(F26*I26+G26*J26+H26*K26&gt;0,1,0))</f>
        <v>8</v>
      </c>
      <c r="M26" s="52">
        <f t="shared" si="6"/>
        <v>15</v>
      </c>
      <c r="N26" s="52" cm="1">
        <f t="array" ref="N26">SUMPRODUCT(((F$2:F$50*I26+G$2:G$50*J26+H$2:H$50*K26)&gt;0)*((F26*I$2:I$50+G26*J$2:J$50+H26*K$2:K$50)&gt;0)*(ROW($2:$50)&lt;&gt;ROW())*IF(L$2:L$50&gt;0,1/L$2:L$50,0))</f>
        <v>0.56823994419902346</v>
      </c>
      <c r="O26" s="52" cm="1">
        <f t="array" ref="O26">IF(L26=0,0,SUMPRODUCT(((F$2:F$50*I26+G$2:G$50*J26+H$2:H$50*K26)&gt;0)*((F26*I$2:I$50+G26*J$2:J$50+H26*K$2:K$50)&gt;0)*(ROW($2:$50)&lt;&gt;ROW())*L$2:L$50)/L26)</f>
        <v>15.5</v>
      </c>
      <c r="P26" s="52">
        <f t="shared" si="7"/>
        <v>0.5161290322580645</v>
      </c>
    </row>
    <row r="27" spans="1:16" x14ac:dyDescent="0.35">
      <c r="A27" s="52" t="str">
        <f>IF('Mii List'!A27="","",'Mii List'!A27)</f>
        <v>Orpheus</v>
      </c>
      <c r="B27" s="52" t="str">
        <f>IF(A27="","",'Mii List'!B27)</f>
        <v>Male</v>
      </c>
      <c r="C27" s="52" t="str">
        <f>IF(A27="","",'Mii List'!C27)</f>
        <v>✗</v>
      </c>
      <c r="D27" s="52" t="str">
        <f>IF(A27="","",'Mii List'!D27)</f>
        <v>✓</v>
      </c>
      <c r="E27" s="52" t="str">
        <f>IF(A27="","",'Mii List'!E27)</f>
        <v>✗</v>
      </c>
      <c r="F27" s="52">
        <f t="shared" si="0"/>
        <v>0</v>
      </c>
      <c r="G27" s="52">
        <f t="shared" si="1"/>
        <v>1</v>
      </c>
      <c r="H27" s="52">
        <f t="shared" si="2"/>
        <v>0</v>
      </c>
      <c r="I27" s="52">
        <f t="shared" si="3"/>
        <v>1</v>
      </c>
      <c r="J27" s="52">
        <f t="shared" si="4"/>
        <v>0</v>
      </c>
      <c r="K27" s="52">
        <f t="shared" si="5"/>
        <v>0</v>
      </c>
      <c r="L27" s="52">
        <f t="array" ref="L27">IF(A27="","",SUMPRODUCT((A$2:A$200&lt;&gt;"")*((F$2:F$200*I27+G$2:G$200*J27+H$2:H$200*K27)&gt;0)*((F27*I$2:I$200+G27*J$2:J$200+H27*K$2:K$200)&gt;0))-IF(F27*I27+G27*J27+H27*K27&gt;0,1,0))</f>
        <v>8</v>
      </c>
      <c r="M27" s="52">
        <f t="shared" si="6"/>
        <v>17</v>
      </c>
      <c r="N27" s="52" cm="1">
        <f t="array" ref="N27">SUMPRODUCT(((F$2:F$50*I27+G$2:G$50*J27+H$2:H$50*K27)&gt;0)*((F27*I$2:I$50+G27*J$2:J$50+H27*K$2:K$50)&gt;0)*(ROW($2:$50)&lt;&gt;ROW())*IF(L$2:L$50&gt;0,1/L$2:L$50,0))</f>
        <v>0.56823994419902346</v>
      </c>
      <c r="O27" s="52" cm="1">
        <f t="array" ref="O27">IF(L27=0,0,SUMPRODUCT(((F$2:F$50*I27+G$2:G$50*J27+H$2:H$50*K27)&gt;0)*((F27*I$2:I$50+G27*J$2:J$50+H27*K$2:K$50)&gt;0)*(ROW($2:$50)&lt;&gt;ROW())*L$2:L$50)/L27)</f>
        <v>15.5</v>
      </c>
      <c r="P27" s="52">
        <f t="shared" si="7"/>
        <v>0.5161290322580645</v>
      </c>
    </row>
    <row r="28" spans="1:16" x14ac:dyDescent="0.35">
      <c r="A28" s="52" t="str">
        <f>IF('Mii List'!A28="","",'Mii List'!A28)</f>
        <v>Paris</v>
      </c>
      <c r="B28" s="52" t="str">
        <f>IF(A28="","",'Mii List'!B28)</f>
        <v>Male</v>
      </c>
      <c r="C28" s="52" t="str">
        <f>IF(A28="","",'Mii List'!C28)</f>
        <v>✗</v>
      </c>
      <c r="D28" s="52" t="str">
        <f>IF(A28="","",'Mii List'!D28)</f>
        <v>✓</v>
      </c>
      <c r="E28" s="52" t="str">
        <f>IF(A28="","",'Mii List'!E28)</f>
        <v>✗</v>
      </c>
      <c r="F28" s="52">
        <f t="shared" si="0"/>
        <v>0</v>
      </c>
      <c r="G28" s="52">
        <f t="shared" si="1"/>
        <v>1</v>
      </c>
      <c r="H28" s="52">
        <f t="shared" si="2"/>
        <v>0</v>
      </c>
      <c r="I28" s="52">
        <f t="shared" si="3"/>
        <v>1</v>
      </c>
      <c r="J28" s="52">
        <f t="shared" si="4"/>
        <v>0</v>
      </c>
      <c r="K28" s="52">
        <f t="shared" si="5"/>
        <v>0</v>
      </c>
      <c r="L28" s="52">
        <f t="array" ref="L28">IF(A28="","",SUMPRODUCT((A$2:A$200&lt;&gt;"")*((F$2:F$200*I28+G$2:G$200*J28+H$2:H$200*K28)&gt;0)*((F28*I$2:I$200+G28*J$2:J$200+H28*K$2:K$200)&gt;0))-IF(F28*I28+G28*J28+H28*K28&gt;0,1,0))</f>
        <v>8</v>
      </c>
      <c r="M28" s="52">
        <f t="shared" si="6"/>
        <v>18</v>
      </c>
      <c r="N28" s="52" cm="1">
        <f t="array" ref="N28">SUMPRODUCT(((F$2:F$50*I28+G$2:G$50*J28+H$2:H$50*K28)&gt;0)*((F28*I$2:I$50+G28*J$2:J$50+H28*K$2:K$50)&gt;0)*(ROW($2:$50)&lt;&gt;ROW())*IF(L$2:L$50&gt;0,1/L$2:L$50,0))</f>
        <v>0.56823994419902346</v>
      </c>
      <c r="O28" s="52" cm="1">
        <f t="array" ref="O28">IF(L28=0,0,SUMPRODUCT(((F$2:F$50*I28+G$2:G$50*J28+H$2:H$50*K28)&gt;0)*((F28*I$2:I$50+G28*J$2:J$50+H28*K$2:K$50)&gt;0)*(ROW($2:$50)&lt;&gt;ROW())*L$2:L$50)/L28)</f>
        <v>15.5</v>
      </c>
      <c r="P28" s="52">
        <f t="shared" si="7"/>
        <v>0.5161290322580645</v>
      </c>
    </row>
    <row r="29" spans="1:16" x14ac:dyDescent="0.35">
      <c r="A29" s="52" t="str">
        <f>IF('Mii List'!A29="","",'Mii List'!A29)</f>
        <v>Dionysus</v>
      </c>
      <c r="B29" s="52" t="str">
        <f>IF(A29="","",'Mii List'!B29)</f>
        <v>Male</v>
      </c>
      <c r="C29" s="52" t="str">
        <f>IF(A29="","",'Mii List'!C29)</f>
        <v>✓</v>
      </c>
      <c r="D29" s="52" t="str">
        <f>IF(A29="","",'Mii List'!D29)</f>
        <v>✓</v>
      </c>
      <c r="E29" s="52" t="str">
        <f>IF(A29="","",'Mii List'!E29)</f>
        <v>✓</v>
      </c>
      <c r="F29" s="52">
        <f t="shared" si="0"/>
        <v>1</v>
      </c>
      <c r="G29" s="52">
        <f t="shared" si="1"/>
        <v>1</v>
      </c>
      <c r="H29" s="52">
        <f t="shared" si="2"/>
        <v>1</v>
      </c>
      <c r="I29" s="52">
        <f t="shared" si="3"/>
        <v>1</v>
      </c>
      <c r="J29" s="52">
        <f t="shared" si="4"/>
        <v>0</v>
      </c>
      <c r="K29" s="52">
        <f t="shared" si="5"/>
        <v>0</v>
      </c>
      <c r="L29" s="52">
        <f t="array" ref="L29">IF(A29="","",SUMPRODUCT((A$2:A$200&lt;&gt;"")*((F$2:F$200*I29+G$2:G$200*J29+H$2:H$200*K29)&gt;0)*((F29*I$2:I$200+G29*J$2:J$200+H29*K$2:K$200)&gt;0))-IF(F29*I29+G29*J29+H29*K29&gt;0,1,0))</f>
        <v>24</v>
      </c>
      <c r="M29" s="52">
        <f t="shared" si="6"/>
        <v>49</v>
      </c>
      <c r="N29" s="52" cm="1">
        <f t="array" ref="N29">SUMPRODUCT(((F$2:F$50*I29+G$2:G$50*J29+H$2:H$50*K29)&gt;0)*((F29*I$2:I$50+G29*J$2:J$50+H29*K$2:K$50)&gt;0)*(ROW($2:$50)&lt;&gt;ROW())*IF(L$2:L$50&gt;0,1/L$2:L$50,0))</f>
        <v>1.9077202738109316</v>
      </c>
      <c r="O29" s="52" cm="1">
        <f t="array" ref="O29">IF(L29=0,0,SUMPRODUCT(((F$2:F$50*I29+G$2:G$50*J29+H$2:H$50*K29)&gt;0)*((F29*I$2:I$50+G29*J$2:J$50+H29*K$2:K$50)&gt;0)*(ROW($2:$50)&lt;&gt;ROW())*L$2:L$50)/L29)</f>
        <v>13.833333333333334</v>
      </c>
      <c r="P29" s="52">
        <f t="shared" si="7"/>
        <v>1</v>
      </c>
    </row>
    <row r="30" spans="1:16" x14ac:dyDescent="0.35">
      <c r="A30" s="52" t="str">
        <f>IF('Mii List'!A30="","",'Mii List'!A30)</f>
        <v>Hermes</v>
      </c>
      <c r="B30" s="52" t="str">
        <f>IF(A30="","",'Mii List'!B30)</f>
        <v>Male</v>
      </c>
      <c r="C30" s="52" t="str">
        <f>IF(A30="","",'Mii List'!C30)</f>
        <v>✓</v>
      </c>
      <c r="D30" s="52" t="str">
        <f>IF(A30="","",'Mii List'!D30)</f>
        <v>✗</v>
      </c>
      <c r="E30" s="52" t="str">
        <f>IF(A30="","",'Mii List'!E30)</f>
        <v>✓</v>
      </c>
      <c r="F30" s="52">
        <f t="shared" si="0"/>
        <v>1</v>
      </c>
      <c r="G30" s="52">
        <f t="shared" si="1"/>
        <v>0</v>
      </c>
      <c r="H30" s="52">
        <f t="shared" si="2"/>
        <v>1</v>
      </c>
      <c r="I30" s="52">
        <f t="shared" si="3"/>
        <v>1</v>
      </c>
      <c r="J30" s="52">
        <f t="shared" si="4"/>
        <v>0</v>
      </c>
      <c r="K30" s="52">
        <f t="shared" si="5"/>
        <v>0</v>
      </c>
      <c r="L30" s="52">
        <f t="array" ref="L30">IF(A30="","",SUMPRODUCT((A$2:A$200&lt;&gt;"")*((F$2:F$200*I30+G$2:G$200*J30+H$2:H$200*K30)&gt;0)*((F30*I$2:I$200+G30*J$2:J$200+H30*K$2:K$200)&gt;0))-IF(F30*I30+G30*J30+H30*K30&gt;0,1,0))</f>
        <v>16</v>
      </c>
      <c r="M30" s="52">
        <f t="shared" si="6"/>
        <v>40</v>
      </c>
      <c r="N30" s="52" cm="1">
        <f t="array" ref="N30">SUMPRODUCT(((F$2:F$50*I30+G$2:G$50*J30+H$2:H$50*K30)&gt;0)*((F30*I$2:I$50+G30*J$2:J$50+H30*K$2:K$50)&gt;0)*(ROW($2:$50)&lt;&gt;ROW())*IF(L$2:L$50&gt;0,1/L$2:L$50,0))</f>
        <v>1.3186469962785752</v>
      </c>
      <c r="O30" s="52" cm="1">
        <f t="array" ref="O30">IF(L30=0,0,SUMPRODUCT(((F$2:F$50*I30+G$2:G$50*J30+H$2:H$50*K30)&gt;0)*((F30*I$2:I$50+G30*J$2:J$50+H30*K$2:K$50)&gt;0)*(ROW($2:$50)&lt;&gt;ROW())*L$2:L$50)/L30)</f>
        <v>13.5</v>
      </c>
      <c r="P30" s="52">
        <f t="shared" si="7"/>
        <v>1</v>
      </c>
    </row>
    <row r="31" spans="1:16" x14ac:dyDescent="0.35">
      <c r="A31" s="52" t="str">
        <f>IF('Mii List'!A31="","",'Mii List'!A31)</f>
        <v>Pan</v>
      </c>
      <c r="B31" s="52" t="str">
        <f>IF(A31="","",'Mii List'!B31)</f>
        <v>Male</v>
      </c>
      <c r="C31" s="52" t="str">
        <f>IF(A31="","",'Mii List'!C31)</f>
        <v>✓</v>
      </c>
      <c r="D31" s="52" t="str">
        <f>IF(A31="","",'Mii List'!D31)</f>
        <v>✓</v>
      </c>
      <c r="E31" s="52" t="str">
        <f>IF(A31="","",'Mii List'!E31)</f>
        <v>✗</v>
      </c>
      <c r="F31" s="52">
        <f t="shared" si="0"/>
        <v>1</v>
      </c>
      <c r="G31" s="52">
        <f t="shared" si="1"/>
        <v>1</v>
      </c>
      <c r="H31" s="52">
        <f t="shared" si="2"/>
        <v>0</v>
      </c>
      <c r="I31" s="52">
        <f t="shared" si="3"/>
        <v>1</v>
      </c>
      <c r="J31" s="52">
        <f t="shared" si="4"/>
        <v>0</v>
      </c>
      <c r="K31" s="52">
        <f t="shared" si="5"/>
        <v>0</v>
      </c>
      <c r="L31" s="52">
        <f t="array" ref="L31">IF(A31="","",SUMPRODUCT((A$2:A$200&lt;&gt;"")*((F$2:F$200*I31+G$2:G$200*J31+H$2:H$200*K31)&gt;0)*((F31*I$2:I$200+G31*J$2:J$200+H31*K$2:K$200)&gt;0))-IF(F31*I31+G31*J31+H31*K31&gt;0,1,0))</f>
        <v>19</v>
      </c>
      <c r="M31" s="52">
        <f t="shared" si="6"/>
        <v>45</v>
      </c>
      <c r="N31" s="52" cm="1">
        <f t="array" ref="N31">SUMPRODUCT(((F$2:F$50*I31+G$2:G$50*J31+H$2:H$50*K31)&gt;0)*((F31*I$2:I$50+G31*J$2:J$50+H31*K$2:K$50)&gt;0)*(ROW($2:$50)&lt;&gt;ROW())*IF(L$2:L$50&gt;0,1/L$2:L$50,0))</f>
        <v>1.4523109170857857</v>
      </c>
      <c r="O31" s="52" cm="1">
        <f t="array" ref="O31">IF(L31=0,0,SUMPRODUCT(((F$2:F$50*I31+G$2:G$50*J31+H$2:H$50*K31)&gt;0)*((F31*I$2:I$50+G31*J$2:J$50+H31*K$2:K$50)&gt;0)*(ROW($2:$50)&lt;&gt;ROW())*L$2:L$50)/L31)</f>
        <v>14.263157894736842</v>
      </c>
      <c r="P31" s="52">
        <f t="shared" si="7"/>
        <v>1</v>
      </c>
    </row>
    <row r="32" spans="1:16" x14ac:dyDescent="0.35">
      <c r="A32" s="52" t="str">
        <f>IF('Mii List'!A32="","",'Mii List'!A32)</f>
        <v>Eros</v>
      </c>
      <c r="B32" s="52" t="str">
        <f>IF(A32="","",'Mii List'!B32)</f>
        <v>Male</v>
      </c>
      <c r="C32" s="52" t="str">
        <f>IF(A32="","",'Mii List'!C32)</f>
        <v>✗</v>
      </c>
      <c r="D32" s="52" t="str">
        <f>IF(A32="","",'Mii List'!D32)</f>
        <v>✓</v>
      </c>
      <c r="E32" s="52" t="str">
        <f>IF(A32="","",'Mii List'!E32)</f>
        <v>✓</v>
      </c>
      <c r="F32" s="52">
        <f t="shared" si="0"/>
        <v>0</v>
      </c>
      <c r="G32" s="52">
        <f t="shared" si="1"/>
        <v>1</v>
      </c>
      <c r="H32" s="52">
        <f t="shared" si="2"/>
        <v>1</v>
      </c>
      <c r="I32" s="52">
        <f t="shared" si="3"/>
        <v>1</v>
      </c>
      <c r="J32" s="52">
        <f t="shared" si="4"/>
        <v>0</v>
      </c>
      <c r="K32" s="52">
        <f t="shared" si="5"/>
        <v>0</v>
      </c>
      <c r="L32" s="52">
        <f t="array" ref="L32">IF(A32="","",SUMPRODUCT((A$2:A$200&lt;&gt;"")*((F$2:F$200*I32+G$2:G$200*J32+H$2:H$200*K32)&gt;0)*((F32*I$2:I$200+G32*J$2:J$200+H32*K$2:K$200)&gt;0))-IF(F32*I32+G32*J32+H32*K32&gt;0,1,0))</f>
        <v>13</v>
      </c>
      <c r="M32" s="52">
        <f t="shared" si="6"/>
        <v>38</v>
      </c>
      <c r="N32" s="52" cm="1">
        <f t="array" ref="N32">SUMPRODUCT(((F$2:F$50*I32+G$2:G$50*J32+H$2:H$50*K32)&gt;0)*((F32*I$2:I$50+G32*J$2:J$50+H32*K$2:K$50)&gt;0)*(ROW($2:$50)&lt;&gt;ROW())*IF(L$2:L$50&gt;0,1/L$2:L$50,0))</f>
        <v>1.012684388643468</v>
      </c>
      <c r="O32" s="52" cm="1">
        <f t="array" ref="O32">IF(L32=0,0,SUMPRODUCT(((F$2:F$50*I32+G$2:G$50*J32+H$2:H$50*K32)&gt;0)*((F32*I$2:I$50+G32*J$2:J$50+H32*K$2:K$50)&gt;0)*(ROW($2:$50)&lt;&gt;ROW())*L$2:L$50)/L32)</f>
        <v>14.615384615384615</v>
      </c>
      <c r="P32" s="52">
        <f t="shared" si="7"/>
        <v>0.88947368421052631</v>
      </c>
    </row>
    <row r="33" spans="1:16" x14ac:dyDescent="0.35">
      <c r="A33" s="52" t="str">
        <f>IF('Mii List'!A33="","",'Mii List'!A33)</f>
        <v>Sappho</v>
      </c>
      <c r="B33" s="52" t="str">
        <f>IF(A33="","",'Mii List'!B33)</f>
        <v>Female</v>
      </c>
      <c r="C33" s="52" t="str">
        <f>IF(A33="","",'Mii List'!C33)</f>
        <v>✗</v>
      </c>
      <c r="D33" s="52" t="str">
        <f>IF(A33="","",'Mii List'!D33)</f>
        <v>✓</v>
      </c>
      <c r="E33" s="52" t="str">
        <f>IF(A33="","",'Mii List'!E33)</f>
        <v>✗</v>
      </c>
      <c r="F33" s="52">
        <f t="shared" si="0"/>
        <v>0</v>
      </c>
      <c r="G33" s="52">
        <f t="shared" si="1"/>
        <v>1</v>
      </c>
      <c r="H33" s="52">
        <f t="shared" si="2"/>
        <v>0</v>
      </c>
      <c r="I33" s="52">
        <f t="shared" si="3"/>
        <v>0</v>
      </c>
      <c r="J33" s="52">
        <f t="shared" si="4"/>
        <v>1</v>
      </c>
      <c r="K33" s="52">
        <f t="shared" si="5"/>
        <v>0</v>
      </c>
      <c r="L33" s="52">
        <f t="array" ref="L33">IF(A33="","",SUMPRODUCT((A$2:A$200&lt;&gt;"")*((F$2:F$200*I33+G$2:G$200*J33+H$2:H$200*K33)&gt;0)*((F33*I$2:I$200+G33*J$2:J$200+H33*K$2:K$200)&gt;0))-IF(F33*I33+G33*J33+H33*K33&gt;0,1,0))</f>
        <v>6</v>
      </c>
      <c r="M33" s="52">
        <f t="shared" si="6"/>
        <v>12</v>
      </c>
      <c r="N33" s="52" cm="1">
        <f t="array" ref="N33">SUMPRODUCT(((F$2:F$50*I33+G$2:G$50*J33+H$2:H$50*K33)&gt;0)*((F33*I$2:I$50+G33*J$2:J$50+H33*K$2:K$50)&gt;0)*(ROW($2:$50)&lt;&gt;ROW())*IF(L$2:L$50&gt;0,1/L$2:L$50,0))</f>
        <v>0.56244671781756184</v>
      </c>
      <c r="O33" s="52" cm="1">
        <f t="array" ref="O33">IF(L33=0,0,SUMPRODUCT(((F$2:F$50*I33+G$2:G$50*J33+H$2:H$50*K33)&gt;0)*((F33*I$2:I$50+G33*J$2:J$50+H33*K$2:K$50)&gt;0)*(ROW($2:$50)&lt;&gt;ROW())*L$2:L$50)/L33)</f>
        <v>14.5</v>
      </c>
      <c r="P33" s="52">
        <f t="shared" si="7"/>
        <v>0.41379310344827586</v>
      </c>
    </row>
    <row r="34" spans="1:16" x14ac:dyDescent="0.35">
      <c r="A34" s="52" t="str">
        <f>IF('Mii List'!A34="","",'Mii List'!A34)</f>
        <v>Artemis</v>
      </c>
      <c r="B34" s="52" t="str">
        <f>IF(A34="","",'Mii List'!B34)</f>
        <v>Female</v>
      </c>
      <c r="C34" s="52" t="str">
        <f>IF(A34="","",'Mii List'!C34)</f>
        <v>✗</v>
      </c>
      <c r="D34" s="52" t="str">
        <f>IF(A34="","",'Mii List'!D34)</f>
        <v>✓</v>
      </c>
      <c r="E34" s="52" t="str">
        <f>IF(A34="","",'Mii List'!E34)</f>
        <v>✗</v>
      </c>
      <c r="F34" s="52">
        <f t="shared" ref="F34:F65" si="8">IF(A34="",0,(C34="✓")*1)</f>
        <v>0</v>
      </c>
      <c r="G34" s="52">
        <f t="shared" ref="G34:G65" si="9">IF(A34="",0,(D34="✓")*1)</f>
        <v>1</v>
      </c>
      <c r="H34" s="52">
        <f t="shared" ref="H34:H65" si="10">IF(A34="",0,(E34="✓")*1)</f>
        <v>0</v>
      </c>
      <c r="I34" s="52">
        <f t="shared" ref="I34:I65" si="11">IF(A34="",0,(B34="Male")*1)</f>
        <v>0</v>
      </c>
      <c r="J34" s="52">
        <f t="shared" ref="J34:J65" si="12">IF(A34="",0,(B34="Female")*1)</f>
        <v>1</v>
      </c>
      <c r="K34" s="52">
        <f t="shared" ref="K34:K65" si="13">IF(A34="",0,(B34="Nonbinary")*1)</f>
        <v>0</v>
      </c>
      <c r="L34" s="52">
        <f t="array" ref="L34">IF(A34="","",SUMPRODUCT((A$2:A$200&lt;&gt;"")*((F$2:F$200*I34+G$2:G$200*J34+H$2:H$200*K34)&gt;0)*((F34*I$2:I$200+G34*J$2:J$200+H34*K$2:K$200)&gt;0))-IF(F34*I34+G34*J34+H34*K34&gt;0,1,0))</f>
        <v>6</v>
      </c>
      <c r="M34" s="52">
        <f t="shared" ref="M34:M65" si="14">IF(A34="","",RANK(L34,L$2:L$200,1)+COUNTIFS(L$2:L$200,L34,A$2:A$200,"&lt;"&amp;A34))</f>
        <v>7</v>
      </c>
      <c r="N34" s="52" cm="1">
        <f t="array" ref="N34">SUMPRODUCT(((F$2:F$50*I34+G$2:G$50*J34+H$2:H$50*K34)&gt;0)*((F34*I$2:I$50+G34*J$2:J$50+H34*K$2:K$50)&gt;0)*(ROW($2:$50)&lt;&gt;ROW())*IF(L$2:L$50&gt;0,1/L$2:L$50,0))</f>
        <v>0.56244671781756184</v>
      </c>
      <c r="O34" s="52" cm="1">
        <f t="array" ref="O34">IF(L34=0,0,SUMPRODUCT(((F$2:F$50*I34+G$2:G$50*J34+H$2:H$50*K34)&gt;0)*((F34*I$2:I$50+G34*J$2:J$50+H34*K$2:K$50)&gt;0)*(ROW($2:$50)&lt;&gt;ROW())*L$2:L$50)/L34)</f>
        <v>14.5</v>
      </c>
      <c r="P34" s="52">
        <f t="shared" si="7"/>
        <v>0.41379310344827586</v>
      </c>
    </row>
    <row r="35" spans="1:16" x14ac:dyDescent="0.35">
      <c r="A35" s="52" t="str">
        <f>IF('Mii List'!A35="","",'Mii List'!A35)</f>
        <v>Athena</v>
      </c>
      <c r="B35" s="52" t="str">
        <f>IF(A35="","",'Mii List'!B35)</f>
        <v>Female</v>
      </c>
      <c r="C35" s="52" t="str">
        <f>IF(A35="","",'Mii List'!C35)</f>
        <v>✗</v>
      </c>
      <c r="D35" s="52" t="str">
        <f>IF(A35="","",'Mii List'!D35)</f>
        <v>✓</v>
      </c>
      <c r="E35" s="52" t="str">
        <f>IF(A35="","",'Mii List'!E35)</f>
        <v>✗</v>
      </c>
      <c r="F35" s="52">
        <f t="shared" si="8"/>
        <v>0</v>
      </c>
      <c r="G35" s="52">
        <f t="shared" si="9"/>
        <v>1</v>
      </c>
      <c r="H35" s="52">
        <f t="shared" si="10"/>
        <v>0</v>
      </c>
      <c r="I35" s="52">
        <f t="shared" si="11"/>
        <v>0</v>
      </c>
      <c r="J35" s="52">
        <f t="shared" si="12"/>
        <v>1</v>
      </c>
      <c r="K35" s="52">
        <f t="shared" si="13"/>
        <v>0</v>
      </c>
      <c r="L35" s="52">
        <f t="array" ref="L35">IF(A35="","",SUMPRODUCT((A$2:A$200&lt;&gt;"")*((F$2:F$200*I35+G$2:G$200*J35+H$2:H$200*K35)&gt;0)*((F35*I$2:I$200+G35*J$2:J$200+H35*K$2:K$200)&gt;0))-IF(F35*I35+G35*J35+H35*K35&gt;0,1,0))</f>
        <v>6</v>
      </c>
      <c r="M35" s="52">
        <f t="shared" si="14"/>
        <v>8</v>
      </c>
      <c r="N35" s="52" cm="1">
        <f t="array" ref="N35">SUMPRODUCT(((F$2:F$50*I35+G$2:G$50*J35+H$2:H$50*K35)&gt;0)*((F35*I$2:I$50+G35*J$2:J$50+H35*K$2:K$50)&gt;0)*(ROW($2:$50)&lt;&gt;ROW())*IF(L$2:L$50&gt;0,1/L$2:L$50,0))</f>
        <v>0.56244671781756184</v>
      </c>
      <c r="O35" s="52" cm="1">
        <f t="array" ref="O35">IF(L35=0,0,SUMPRODUCT(((F$2:F$50*I35+G$2:G$50*J35+H$2:H$50*K35)&gt;0)*((F35*I$2:I$50+G35*J$2:J$50+H35*K$2:K$50)&gt;0)*(ROW($2:$50)&lt;&gt;ROW())*L$2:L$50)/L35)</f>
        <v>14.5</v>
      </c>
      <c r="P35" s="52">
        <f t="shared" si="7"/>
        <v>0.41379310344827586</v>
      </c>
    </row>
    <row r="36" spans="1:16" x14ac:dyDescent="0.35">
      <c r="A36" s="52" t="str">
        <f>IF('Mii List'!A36="","",'Mii List'!A36)</f>
        <v>Persephone</v>
      </c>
      <c r="B36" s="52" t="str">
        <f>IF(A36="","",'Mii List'!B36)</f>
        <v>Female</v>
      </c>
      <c r="C36" s="52" t="str">
        <f>IF(A36="","",'Mii List'!C36)</f>
        <v>✓</v>
      </c>
      <c r="D36" s="52" t="str">
        <f>IF(A36="","",'Mii List'!D36)</f>
        <v>✗</v>
      </c>
      <c r="E36" s="52" t="str">
        <f>IF(A36="","",'Mii List'!E36)</f>
        <v>✗</v>
      </c>
      <c r="F36" s="52">
        <f t="shared" si="8"/>
        <v>1</v>
      </c>
      <c r="G36" s="52">
        <f t="shared" si="9"/>
        <v>0</v>
      </c>
      <c r="H36" s="52">
        <f t="shared" si="10"/>
        <v>0</v>
      </c>
      <c r="I36" s="52">
        <f t="shared" si="11"/>
        <v>0</v>
      </c>
      <c r="J36" s="52">
        <f t="shared" si="12"/>
        <v>1</v>
      </c>
      <c r="K36" s="52">
        <f t="shared" si="13"/>
        <v>0</v>
      </c>
      <c r="L36" s="52">
        <f t="array" ref="L36">IF(A36="","",SUMPRODUCT((A$2:A$200&lt;&gt;"")*((F$2:F$200*I36+G$2:G$200*J36+H$2:H$200*K36)&gt;0)*((F36*I$2:I$200+G36*J$2:J$200+H36*K$2:K$200)&gt;0))-IF(F36*I36+G36*J36+H36*K36&gt;0,1,0))</f>
        <v>11</v>
      </c>
      <c r="M36" s="52">
        <f t="shared" si="14"/>
        <v>32</v>
      </c>
      <c r="N36" s="52" cm="1">
        <f t="array" ref="N36">SUMPRODUCT(((F$2:F$50*I36+G$2:G$50*J36+H$2:H$50*K36)&gt;0)*((F36*I$2:I$50+G36*J$2:J$50+H36*K$2:K$50)&gt;0)*(ROW($2:$50)&lt;&gt;ROW())*IF(L$2:L$50&gt;0,1/L$2:L$50,0))</f>
        <v>1.0507759784075572</v>
      </c>
      <c r="O36" s="52" cm="1">
        <f t="array" ref="O36">IF(L36=0,0,SUMPRODUCT(((F$2:F$50*I36+G$2:G$50*J36+H$2:H$50*K36)&gt;0)*((F36*I$2:I$50+G36*J$2:J$50+H36*K$2:K$50)&gt;0)*(ROW($2:$50)&lt;&gt;ROW())*L$2:L$50)/L36)</f>
        <v>12.363636363636363</v>
      </c>
      <c r="P36" s="52">
        <f t="shared" si="7"/>
        <v>0.88970588235294124</v>
      </c>
    </row>
    <row r="37" spans="1:16" x14ac:dyDescent="0.35">
      <c r="A37" s="52" t="str">
        <f>IF('Mii List'!A37="","",'Mii List'!A37)</f>
        <v>Aphrodite</v>
      </c>
      <c r="B37" s="52" t="str">
        <f>IF(A37="","",'Mii List'!B37)</f>
        <v>Female</v>
      </c>
      <c r="C37" s="52" t="str">
        <f>IF(A37="","",'Mii List'!C37)</f>
        <v>✓</v>
      </c>
      <c r="D37" s="52" t="str">
        <f>IF(A37="","",'Mii List'!D37)</f>
        <v>✗</v>
      </c>
      <c r="E37" s="52" t="str">
        <f>IF(A37="","",'Mii List'!E37)</f>
        <v>✗</v>
      </c>
      <c r="F37" s="52">
        <f t="shared" si="8"/>
        <v>1</v>
      </c>
      <c r="G37" s="52">
        <f t="shared" si="9"/>
        <v>0</v>
      </c>
      <c r="H37" s="52">
        <f t="shared" si="10"/>
        <v>0</v>
      </c>
      <c r="I37" s="52">
        <f t="shared" si="11"/>
        <v>0</v>
      </c>
      <c r="J37" s="52">
        <f t="shared" si="12"/>
        <v>1</v>
      </c>
      <c r="K37" s="52">
        <f t="shared" si="13"/>
        <v>0</v>
      </c>
      <c r="L37" s="52">
        <f t="array" ref="L37">IF(A37="","",SUMPRODUCT((A$2:A$200&lt;&gt;"")*((F$2:F$200*I37+G$2:G$200*J37+H$2:H$200*K37)&gt;0)*((F37*I$2:I$200+G37*J$2:J$200+H37*K$2:K$200)&gt;0))-IF(F37*I37+G37*J37+H37*K37&gt;0,1,0))</f>
        <v>11</v>
      </c>
      <c r="M37" s="52">
        <f t="shared" si="14"/>
        <v>24</v>
      </c>
      <c r="N37" s="52" cm="1">
        <f t="array" ref="N37">SUMPRODUCT(((F$2:F$50*I37+G$2:G$50*J37+H$2:H$50*K37)&gt;0)*((F37*I$2:I$50+G37*J$2:J$50+H37*K$2:K$50)&gt;0)*(ROW($2:$50)&lt;&gt;ROW())*IF(L$2:L$50&gt;0,1/L$2:L$50,0))</f>
        <v>1.0507759784075572</v>
      </c>
      <c r="O37" s="52" cm="1">
        <f t="array" ref="O37">IF(L37=0,0,SUMPRODUCT(((F$2:F$50*I37+G$2:G$50*J37+H$2:H$50*K37)&gt;0)*((F37*I$2:I$50+G37*J$2:J$50+H37*K$2:K$50)&gt;0)*(ROW($2:$50)&lt;&gt;ROW())*L$2:L$50)/L37)</f>
        <v>12.363636363636363</v>
      </c>
      <c r="P37" s="52">
        <f t="shared" si="7"/>
        <v>0.88970588235294124</v>
      </c>
    </row>
    <row r="38" spans="1:16" x14ac:dyDescent="0.35">
      <c r="A38" s="52" t="str">
        <f>IF('Mii List'!A38="","",'Mii List'!A38)</f>
        <v>Helen</v>
      </c>
      <c r="B38" s="52" t="str">
        <f>IF(A38="","",'Mii List'!B38)</f>
        <v>Female</v>
      </c>
      <c r="C38" s="52" t="str">
        <f>IF(A38="","",'Mii List'!C38)</f>
        <v>✓</v>
      </c>
      <c r="D38" s="52" t="str">
        <f>IF(A38="","",'Mii List'!D38)</f>
        <v>✗</v>
      </c>
      <c r="E38" s="52" t="str">
        <f>IF(A38="","",'Mii List'!E38)</f>
        <v>✗</v>
      </c>
      <c r="F38" s="52">
        <f t="shared" si="8"/>
        <v>1</v>
      </c>
      <c r="G38" s="52">
        <f t="shared" si="9"/>
        <v>0</v>
      </c>
      <c r="H38" s="52">
        <f t="shared" si="10"/>
        <v>0</v>
      </c>
      <c r="I38" s="52">
        <f t="shared" si="11"/>
        <v>0</v>
      </c>
      <c r="J38" s="52">
        <f t="shared" si="12"/>
        <v>1</v>
      </c>
      <c r="K38" s="52">
        <f t="shared" si="13"/>
        <v>0</v>
      </c>
      <c r="L38" s="52">
        <f t="array" ref="L38">IF(A38="","",SUMPRODUCT((A$2:A$200&lt;&gt;"")*((F$2:F$200*I38+G$2:G$200*J38+H$2:H$200*K38)&gt;0)*((F38*I$2:I$200+G38*J$2:J$200+H38*K$2:K$200)&gt;0))-IF(F38*I38+G38*J38+H38*K38&gt;0,1,0))</f>
        <v>11</v>
      </c>
      <c r="M38" s="52">
        <f t="shared" si="14"/>
        <v>27</v>
      </c>
      <c r="N38" s="52" cm="1">
        <f t="array" ref="N38">SUMPRODUCT(((F$2:F$50*I38+G$2:G$50*J38+H$2:H$50*K38)&gt;0)*((F38*I$2:I$50+G38*J$2:J$50+H38*K$2:K$50)&gt;0)*(ROW($2:$50)&lt;&gt;ROW())*IF(L$2:L$50&gt;0,1/L$2:L$50,0))</f>
        <v>1.0507759784075572</v>
      </c>
      <c r="O38" s="52" cm="1">
        <f t="array" ref="O38">IF(L38=0,0,SUMPRODUCT(((F$2:F$50*I38+G$2:G$50*J38+H$2:H$50*K38)&gt;0)*((F38*I$2:I$50+G38*J$2:J$50+H38*K$2:K$50)&gt;0)*(ROW($2:$50)&lt;&gt;ROW())*L$2:L$50)/L38)</f>
        <v>12.363636363636363</v>
      </c>
      <c r="P38" s="52">
        <f t="shared" si="7"/>
        <v>0.88970588235294124</v>
      </c>
    </row>
    <row r="39" spans="1:16" x14ac:dyDescent="0.35">
      <c r="A39" s="52" t="str">
        <f>IF('Mii List'!A39="","",'Mii List'!A39)</f>
        <v>Penelope</v>
      </c>
      <c r="B39" s="52" t="str">
        <f>IF(A39="","",'Mii List'!B39)</f>
        <v>Female</v>
      </c>
      <c r="C39" s="52" t="str">
        <f>IF(A39="","",'Mii List'!C39)</f>
        <v>✓</v>
      </c>
      <c r="D39" s="52" t="str">
        <f>IF(A39="","",'Mii List'!D39)</f>
        <v>✗</v>
      </c>
      <c r="E39" s="52" t="str">
        <f>IF(A39="","",'Mii List'!E39)</f>
        <v>✗</v>
      </c>
      <c r="F39" s="52">
        <f t="shared" si="8"/>
        <v>1</v>
      </c>
      <c r="G39" s="52">
        <f t="shared" si="9"/>
        <v>0</v>
      </c>
      <c r="H39" s="52">
        <f t="shared" si="10"/>
        <v>0</v>
      </c>
      <c r="I39" s="52">
        <f t="shared" si="11"/>
        <v>0</v>
      </c>
      <c r="J39" s="52">
        <f t="shared" si="12"/>
        <v>1</v>
      </c>
      <c r="K39" s="52">
        <f t="shared" si="13"/>
        <v>0</v>
      </c>
      <c r="L39" s="52">
        <f t="array" ref="L39">IF(A39="","",SUMPRODUCT((A$2:A$200&lt;&gt;"")*((F$2:F$200*I39+G$2:G$200*J39+H$2:H$200*K39)&gt;0)*((F39*I$2:I$200+G39*J$2:J$200+H39*K$2:K$200)&gt;0))-IF(F39*I39+G39*J39+H39*K39&gt;0,1,0))</f>
        <v>11</v>
      </c>
      <c r="M39" s="52">
        <f t="shared" si="14"/>
        <v>31</v>
      </c>
      <c r="N39" s="52" cm="1">
        <f t="array" ref="N39">SUMPRODUCT(((F$2:F$50*I39+G$2:G$50*J39+H$2:H$50*K39)&gt;0)*((F39*I$2:I$50+G39*J$2:J$50+H39*K$2:K$50)&gt;0)*(ROW($2:$50)&lt;&gt;ROW())*IF(L$2:L$50&gt;0,1/L$2:L$50,0))</f>
        <v>1.0507759784075572</v>
      </c>
      <c r="O39" s="52" cm="1">
        <f t="array" ref="O39">IF(L39=0,0,SUMPRODUCT(((F$2:F$50*I39+G$2:G$50*J39+H$2:H$50*K39)&gt;0)*((F39*I$2:I$50+G39*J$2:J$50+H39*K$2:K$50)&gt;0)*(ROW($2:$50)&lt;&gt;ROW())*L$2:L$50)/L39)</f>
        <v>12.363636363636363</v>
      </c>
      <c r="P39" s="52">
        <f t="shared" si="7"/>
        <v>0.88970588235294124</v>
      </c>
    </row>
    <row r="40" spans="1:16" x14ac:dyDescent="0.35">
      <c r="A40" s="52" t="str">
        <f>IF('Mii List'!A40="","",'Mii List'!A40)</f>
        <v>Circe</v>
      </c>
      <c r="B40" s="52" t="str">
        <f>IF(A40="","",'Mii List'!B40)</f>
        <v>Female</v>
      </c>
      <c r="C40" s="52" t="str">
        <f>IF(A40="","",'Mii List'!C40)</f>
        <v>✓</v>
      </c>
      <c r="D40" s="52" t="str">
        <f>IF(A40="","",'Mii List'!D40)</f>
        <v>✓</v>
      </c>
      <c r="E40" s="52" t="str">
        <f>IF(A40="","",'Mii List'!E40)</f>
        <v>✓</v>
      </c>
      <c r="F40" s="52">
        <f t="shared" si="8"/>
        <v>1</v>
      </c>
      <c r="G40" s="52">
        <f t="shared" si="9"/>
        <v>1</v>
      </c>
      <c r="H40" s="52">
        <f t="shared" si="10"/>
        <v>1</v>
      </c>
      <c r="I40" s="52">
        <f t="shared" si="11"/>
        <v>0</v>
      </c>
      <c r="J40" s="52">
        <f t="shared" si="12"/>
        <v>1</v>
      </c>
      <c r="K40" s="52">
        <f t="shared" si="13"/>
        <v>0</v>
      </c>
      <c r="L40" s="52">
        <f t="array" ref="L40">IF(A40="","",SUMPRODUCT((A$2:A$200&lt;&gt;"")*((F$2:F$200*I40+G$2:G$200*J40+H$2:H$200*K40)&gt;0)*((F40*I$2:I$200+G40*J$2:J$200+H40*K$2:K$200)&gt;0))-IF(F40*I40+G40*J40+H40*K40&gt;0,1,0))</f>
        <v>23</v>
      </c>
      <c r="M40" s="52">
        <f t="shared" si="14"/>
        <v>47</v>
      </c>
      <c r="N40" s="52" cm="1">
        <f t="array" ref="N40">SUMPRODUCT(((F$2:F$50*I40+G$2:G$50*J40+H$2:H$50*K40)&gt;0)*((F40*I$2:I$50+G40*J$2:J$50+H40*K$2:K$50)&gt;0)*(ROW($2:$50)&lt;&gt;ROW())*IF(L$2:L$50&gt;0,1/L$2:L$50,0))</f>
        <v>2.2641888797999989</v>
      </c>
      <c r="O40" s="52" cm="1">
        <f t="array" ref="O40">IF(L40=0,0,SUMPRODUCT(((F$2:F$50*I40+G$2:G$50*J40+H$2:H$50*K40)&gt;0)*((F40*I$2:I$50+G40*J$2:J$50+H40*K$2:K$50)&gt;0)*(ROW($2:$50)&lt;&gt;ROW())*L$2:L$50)/L40)</f>
        <v>12.347826086956522</v>
      </c>
      <c r="P40" s="52">
        <f t="shared" si="7"/>
        <v>1</v>
      </c>
    </row>
    <row r="41" spans="1:16" x14ac:dyDescent="0.35">
      <c r="A41" s="52" t="str">
        <f>IF('Mii List'!A41="","",'Mii List'!A41)</f>
        <v>Cleopatra</v>
      </c>
      <c r="B41" s="52" t="str">
        <f>IF(A41="","",'Mii List'!B41)</f>
        <v>Female</v>
      </c>
      <c r="C41" s="52" t="str">
        <f>IF(A41="","",'Mii List'!C41)</f>
        <v>✓</v>
      </c>
      <c r="D41" s="52" t="str">
        <f>IF(A41="","",'Mii List'!D41)</f>
        <v>✓</v>
      </c>
      <c r="E41" s="52" t="str">
        <f>IF(A41="","",'Mii List'!E41)</f>
        <v>✗</v>
      </c>
      <c r="F41" s="52">
        <f t="shared" si="8"/>
        <v>1</v>
      </c>
      <c r="G41" s="52">
        <f t="shared" si="9"/>
        <v>1</v>
      </c>
      <c r="H41" s="52">
        <f t="shared" si="10"/>
        <v>0</v>
      </c>
      <c r="I41" s="52">
        <f t="shared" si="11"/>
        <v>0</v>
      </c>
      <c r="J41" s="52">
        <f t="shared" si="12"/>
        <v>1</v>
      </c>
      <c r="K41" s="52">
        <f t="shared" si="13"/>
        <v>0</v>
      </c>
      <c r="L41" s="52">
        <f t="array" ref="L41">IF(A41="","",SUMPRODUCT((A$2:A$200&lt;&gt;"")*((F$2:F$200*I41+G$2:G$200*J41+H$2:H$200*K41)&gt;0)*((F41*I$2:I$200+G41*J$2:J$200+H41*K$2:K$200)&gt;0))-IF(F41*I41+G41*J41+H41*K41&gt;0,1,0))</f>
        <v>17</v>
      </c>
      <c r="M41" s="52">
        <f t="shared" si="14"/>
        <v>41</v>
      </c>
      <c r="N41" s="52" cm="1">
        <f t="array" ref="N41">SUMPRODUCT(((F$2:F$50*I41+G$2:G$50*J41+H$2:H$50*K41)&gt;0)*((F41*I$2:I$50+G41*J$2:J$50+H41*K$2:K$50)&gt;0)*(ROW($2:$50)&lt;&gt;ROW())*IF(L$2:L$50&gt;0,1/L$2:L$50,0))</f>
        <v>1.7210658334800211</v>
      </c>
      <c r="O41" s="52" cm="1">
        <f t="array" ref="O41">IF(L41=0,0,SUMPRODUCT(((F$2:F$50*I41+G$2:G$50*J41+H$2:H$50*K41)&gt;0)*((F41*I$2:I$50+G41*J$2:J$50+H41*K$2:K$50)&gt;0)*(ROW($2:$50)&lt;&gt;ROW())*L$2:L$50)/L41)</f>
        <v>12.470588235294118</v>
      </c>
      <c r="P41" s="52">
        <f t="shared" si="7"/>
        <v>1</v>
      </c>
    </row>
    <row r="42" spans="1:16" x14ac:dyDescent="0.35">
      <c r="A42" s="52" t="str">
        <f>IF('Mii List'!A42="","",'Mii List'!A42)</f>
        <v>Isis</v>
      </c>
      <c r="B42" s="52" t="str">
        <f>IF(A42="","",'Mii List'!B42)</f>
        <v>Female</v>
      </c>
      <c r="C42" s="52" t="str">
        <f>IF(A42="","",'Mii List'!C42)</f>
        <v>✗</v>
      </c>
      <c r="D42" s="52" t="str">
        <f>IF(A42="","",'Mii List'!D42)</f>
        <v>✓</v>
      </c>
      <c r="E42" s="52" t="str">
        <f>IF(A42="","",'Mii List'!E42)</f>
        <v>✓</v>
      </c>
      <c r="F42" s="52">
        <f t="shared" si="8"/>
        <v>0</v>
      </c>
      <c r="G42" s="52">
        <f t="shared" si="9"/>
        <v>1</v>
      </c>
      <c r="H42" s="52">
        <f t="shared" si="10"/>
        <v>1</v>
      </c>
      <c r="I42" s="52">
        <f t="shared" si="11"/>
        <v>0</v>
      </c>
      <c r="J42" s="52">
        <f t="shared" si="12"/>
        <v>1</v>
      </c>
      <c r="K42" s="52">
        <f t="shared" si="13"/>
        <v>0</v>
      </c>
      <c r="L42" s="52">
        <f t="array" ref="L42">IF(A42="","",SUMPRODUCT((A$2:A$200&lt;&gt;"")*((F$2:F$200*I42+G$2:G$200*J42+H$2:H$200*K42)&gt;0)*((F42*I$2:I$200+G42*J$2:J$200+H42*K$2:K$200)&gt;0))-IF(F42*I42+G42*J42+H42*K42&gt;0,1,0))</f>
        <v>12</v>
      </c>
      <c r="M42" s="52">
        <f t="shared" si="14"/>
        <v>35</v>
      </c>
      <c r="N42" s="52" cm="1">
        <f t="array" ref="N42">SUMPRODUCT(((F$2:F$50*I42+G$2:G$50*J42+H$2:H$50*K42)&gt;0)*((F42*I$2:I$50+G42*J$2:J$50+H42*K$2:K$50)&gt;0)*(ROW($2:$50)&lt;&gt;ROW())*IF(L$2:L$50&gt;0,1/L$2:L$50,0))</f>
        <v>1.1735578289286728</v>
      </c>
      <c r="O42" s="52" cm="1">
        <f t="array" ref="O42">IF(L42=0,0,SUMPRODUCT(((F$2:F$50*I42+G$2:G$50*J42+H$2:H$50*K42)&gt;0)*((F42*I$2:I$50+G42*J$2:J$50+H42*K$2:K$50)&gt;0)*(ROW($2:$50)&lt;&gt;ROW())*L$2:L$50)/L42)</f>
        <v>13.25</v>
      </c>
      <c r="P42" s="52">
        <f t="shared" si="7"/>
        <v>0.90566037735849059</v>
      </c>
    </row>
    <row r="43" spans="1:16" x14ac:dyDescent="0.35">
      <c r="A43" s="52" t="str">
        <f>IF('Mii List'!A43="","",'Mii List'!A43)</f>
        <v>Freya</v>
      </c>
      <c r="B43" s="52" t="str">
        <f>IF(A43="","",'Mii List'!B43)</f>
        <v>Female</v>
      </c>
      <c r="C43" s="52" t="str">
        <f>IF(A43="","",'Mii List'!C43)</f>
        <v>✓</v>
      </c>
      <c r="D43" s="52" t="str">
        <f>IF(A43="","",'Mii List'!D43)</f>
        <v>✗</v>
      </c>
      <c r="E43" s="52" t="str">
        <f>IF(A43="","",'Mii List'!E43)</f>
        <v>✓</v>
      </c>
      <c r="F43" s="52">
        <f t="shared" si="8"/>
        <v>1</v>
      </c>
      <c r="G43" s="52">
        <f t="shared" si="9"/>
        <v>0</v>
      </c>
      <c r="H43" s="52">
        <f t="shared" si="10"/>
        <v>1</v>
      </c>
      <c r="I43" s="52">
        <f t="shared" si="11"/>
        <v>0</v>
      </c>
      <c r="J43" s="52">
        <f t="shared" si="12"/>
        <v>1</v>
      </c>
      <c r="K43" s="52">
        <f t="shared" si="13"/>
        <v>0</v>
      </c>
      <c r="L43" s="52">
        <f t="array" ref="L43">IF(A43="","",SUMPRODUCT((A$2:A$200&lt;&gt;"")*((F$2:F$200*I43+G$2:G$200*J43+H$2:H$200*K43)&gt;0)*((F43*I$2:I$200+G43*J$2:J$200+H43*K$2:K$200)&gt;0))-IF(F43*I43+G43*J43+H43*K43&gt;0,1,0))</f>
        <v>17</v>
      </c>
      <c r="M43" s="52">
        <f t="shared" si="14"/>
        <v>42</v>
      </c>
      <c r="N43" s="52" cm="1">
        <f t="array" ref="N43">SUMPRODUCT(((F$2:F$50*I43+G$2:G$50*J43+H$2:H$50*K43)&gt;0)*((F43*I$2:I$50+G43*J$2:J$50+H43*K$2:K$50)&gt;0)*(ROW($2:$50)&lt;&gt;ROW())*IF(L$2:L$50&gt;0,1/L$2:L$50,0))</f>
        <v>1.5785537561853349</v>
      </c>
      <c r="O43" s="52" cm="1">
        <f t="array" ref="O43">IF(L43=0,0,SUMPRODUCT(((F$2:F$50*I43+G$2:G$50*J43+H$2:H$50*K43)&gt;0)*((F43*I$2:I$50+G43*J$2:J$50+H43*K$2:K$50)&gt;0)*(ROW($2:$50)&lt;&gt;ROW())*L$2:L$50)/L43)</f>
        <v>12.588235294117647</v>
      </c>
      <c r="P43" s="52">
        <f t="shared" si="7"/>
        <v>1</v>
      </c>
    </row>
    <row r="44" spans="1:16" x14ac:dyDescent="0.35">
      <c r="A44" s="52" t="str">
        <f>IF('Mii List'!A44="","",'Mii List'!A44)</f>
        <v>Hera</v>
      </c>
      <c r="B44" s="52" t="str">
        <f>IF(A44="","",'Mii List'!B44)</f>
        <v>Female</v>
      </c>
      <c r="C44" s="52" t="str">
        <f>IF(A44="","",'Mii List'!C44)</f>
        <v>✓</v>
      </c>
      <c r="D44" s="52" t="str">
        <f>IF(A44="","",'Mii List'!D44)</f>
        <v>✓</v>
      </c>
      <c r="E44" s="52" t="str">
        <f>IF(A44="","",'Mii List'!E44)</f>
        <v>✓</v>
      </c>
      <c r="F44" s="52">
        <f t="shared" si="8"/>
        <v>1</v>
      </c>
      <c r="G44" s="52">
        <f t="shared" si="9"/>
        <v>1</v>
      </c>
      <c r="H44" s="52">
        <f t="shared" si="10"/>
        <v>1</v>
      </c>
      <c r="I44" s="52">
        <f t="shared" si="11"/>
        <v>0</v>
      </c>
      <c r="J44" s="52">
        <f t="shared" si="12"/>
        <v>1</v>
      </c>
      <c r="K44" s="52">
        <f t="shared" si="13"/>
        <v>0</v>
      </c>
      <c r="L44" s="52">
        <f t="array" ref="L44">IF(A44="","",SUMPRODUCT((A$2:A$200&lt;&gt;"")*((F$2:F$200*I44+G$2:G$200*J44+H$2:H$200*K44)&gt;0)*((F44*I$2:I$200+G44*J$2:J$200+H44*K$2:K$200)&gt;0))-IF(F44*I44+G44*J44+H44*K44&gt;0,1,0))</f>
        <v>23</v>
      </c>
      <c r="M44" s="52">
        <f t="shared" si="14"/>
        <v>48</v>
      </c>
      <c r="N44" s="52" cm="1">
        <f t="array" ref="N44">SUMPRODUCT(((F$2:F$50*I44+G$2:G$50*J44+H$2:H$50*K44)&gt;0)*((F44*I$2:I$50+G44*J$2:J$50+H44*K$2:K$50)&gt;0)*(ROW($2:$50)&lt;&gt;ROW())*IF(L$2:L$50&gt;0,1/L$2:L$50,0))</f>
        <v>2.2641888797999989</v>
      </c>
      <c r="O44" s="52" cm="1">
        <f t="array" ref="O44">IF(L44=0,0,SUMPRODUCT(((F$2:F$50*I44+G$2:G$50*J44+H$2:H$50*K44)&gt;0)*((F44*I$2:I$50+G44*J$2:J$50+H44*K$2:K$50)&gt;0)*(ROW($2:$50)&lt;&gt;ROW())*L$2:L$50)/L44)</f>
        <v>12.347826086956522</v>
      </c>
      <c r="P44" s="52">
        <f t="shared" si="7"/>
        <v>1</v>
      </c>
    </row>
    <row r="45" spans="1:16" x14ac:dyDescent="0.35">
      <c r="A45" s="52" t="str">
        <f>IF('Mii List'!A45="","",'Mii List'!A45)</f>
        <v>Demeter</v>
      </c>
      <c r="B45" s="52" t="str">
        <f>IF(A45="","",'Mii List'!B45)</f>
        <v>Female</v>
      </c>
      <c r="C45" s="52" t="str">
        <f>IF(A45="","",'Mii List'!C45)</f>
        <v>✗</v>
      </c>
      <c r="D45" s="52" t="str">
        <f>IF(A45="","",'Mii List'!D45)</f>
        <v>✗</v>
      </c>
      <c r="E45" s="52" t="str">
        <f>IF(A45="","",'Mii List'!E45)</f>
        <v>✓</v>
      </c>
      <c r="F45" s="52">
        <f t="shared" si="8"/>
        <v>0</v>
      </c>
      <c r="G45" s="52">
        <f t="shared" si="9"/>
        <v>0</v>
      </c>
      <c r="H45" s="52">
        <f t="shared" si="10"/>
        <v>1</v>
      </c>
      <c r="I45" s="52">
        <f t="shared" si="11"/>
        <v>0</v>
      </c>
      <c r="J45" s="52">
        <f t="shared" si="12"/>
        <v>1</v>
      </c>
      <c r="K45" s="52">
        <f t="shared" si="13"/>
        <v>0</v>
      </c>
      <c r="L45" s="52">
        <f t="array" ref="L45">IF(A45="","",SUMPRODUCT((A$2:A$200&lt;&gt;"")*((F$2:F$200*I45+G$2:G$200*J45+H$2:H$200*K45)&gt;0)*((F45*I$2:I$200+G45*J$2:J$200+H45*K$2:K$200)&gt;0))-IF(F45*I45+G45*J45+H45*K45&gt;0,1,0))</f>
        <v>6</v>
      </c>
      <c r="M45" s="52">
        <f t="shared" si="14"/>
        <v>9</v>
      </c>
      <c r="N45" s="52" cm="1">
        <f t="array" ref="N45">SUMPRODUCT(((F$2:F$50*I45+G$2:G$50*J45+H$2:H$50*K45)&gt;0)*((F45*I$2:I$50+G45*J$2:J$50+H45*K$2:K$50)&gt;0)*(ROW($2:$50)&lt;&gt;ROW())*IF(L$2:L$50&gt;0,1/L$2:L$50,0))</f>
        <v>0.52777777777777779</v>
      </c>
      <c r="O45" s="52" cm="1">
        <f t="array" ref="O45">IF(L45=0,0,SUMPRODUCT(((F$2:F$50*I45+G$2:G$50*J45+H$2:H$50*K45)&gt;0)*((F45*I$2:I$50+G45*J$2:J$50+H45*K$2:K$50)&gt;0)*(ROW($2:$50)&lt;&gt;ROW())*L$2:L$50)/L45)</f>
        <v>13</v>
      </c>
      <c r="P45" s="52">
        <f t="shared" si="7"/>
        <v>0.46153846153846156</v>
      </c>
    </row>
    <row r="46" spans="1:16" x14ac:dyDescent="0.35">
      <c r="A46" s="52" t="str">
        <f>IF('Mii List'!A46="","",'Mii List'!A46)</f>
        <v>Nyx</v>
      </c>
      <c r="B46" s="52" t="str">
        <f>IF(A46="","",'Mii List'!B46)</f>
        <v>Female</v>
      </c>
      <c r="C46" s="52" t="str">
        <f>IF(A46="","",'Mii List'!C46)</f>
        <v>✗</v>
      </c>
      <c r="D46" s="52" t="str">
        <f>IF(A46="","",'Mii List'!D46)</f>
        <v>✗</v>
      </c>
      <c r="E46" s="52" t="str">
        <f>IF(A46="","",'Mii List'!E46)</f>
        <v>✓</v>
      </c>
      <c r="F46" s="52">
        <f t="shared" si="8"/>
        <v>0</v>
      </c>
      <c r="G46" s="52">
        <f t="shared" si="9"/>
        <v>0</v>
      </c>
      <c r="H46" s="52">
        <f t="shared" si="10"/>
        <v>1</v>
      </c>
      <c r="I46" s="52">
        <f t="shared" si="11"/>
        <v>0</v>
      </c>
      <c r="J46" s="52">
        <f t="shared" si="12"/>
        <v>1</v>
      </c>
      <c r="K46" s="52">
        <f t="shared" si="13"/>
        <v>0</v>
      </c>
      <c r="L46" s="52">
        <f t="array" ref="L46">IF(A46="","",SUMPRODUCT((A$2:A$200&lt;&gt;"")*((F$2:F$200*I46+G$2:G$200*J46+H$2:H$200*K46)&gt;0)*((F46*I$2:I$200+G46*J$2:J$200+H46*K$2:K$200)&gt;0))-IF(F46*I46+G46*J46+H46*K46&gt;0,1,0))</f>
        <v>6</v>
      </c>
      <c r="M46" s="52">
        <f t="shared" si="14"/>
        <v>10</v>
      </c>
      <c r="N46" s="52" cm="1">
        <f t="array" ref="N46">SUMPRODUCT(((F$2:F$50*I46+G$2:G$50*J46+H$2:H$50*K46)&gt;0)*((F46*I$2:I$50+G46*J$2:J$50+H46*K$2:K$50)&gt;0)*(ROW($2:$50)&lt;&gt;ROW())*IF(L$2:L$50&gt;0,1/L$2:L$50,0))</f>
        <v>0.52777777777777779</v>
      </c>
      <c r="O46" s="52" cm="1">
        <f t="array" ref="O46">IF(L46=0,0,SUMPRODUCT(((F$2:F$50*I46+G$2:G$50*J46+H$2:H$50*K46)&gt;0)*((F46*I$2:I$50+G46*J$2:J$50+H46*K$2:K$50)&gt;0)*(ROW($2:$50)&lt;&gt;ROW())*L$2:L$50)/L46)</f>
        <v>13</v>
      </c>
      <c r="P46" s="52">
        <f t="shared" si="7"/>
        <v>0.46153846153846156</v>
      </c>
    </row>
    <row r="47" spans="1:16" x14ac:dyDescent="0.35">
      <c r="A47" s="52" t="str">
        <f>IF('Mii List'!A47="","",'Mii List'!A47)</f>
        <v>Prometheus</v>
      </c>
      <c r="B47" s="52" t="str">
        <f>IF(A47="","",'Mii List'!B47)</f>
        <v>Male</v>
      </c>
      <c r="C47" s="52" t="str">
        <f>IF(A47="","",'Mii List'!C47)</f>
        <v>✗</v>
      </c>
      <c r="D47" s="52" t="str">
        <f>IF(A47="","",'Mii List'!D47)</f>
        <v>✗</v>
      </c>
      <c r="E47" s="52" t="str">
        <f>IF(A47="","",'Mii List'!E47)</f>
        <v>✓</v>
      </c>
      <c r="F47" s="52">
        <f t="shared" si="8"/>
        <v>0</v>
      </c>
      <c r="G47" s="52">
        <f t="shared" si="9"/>
        <v>0</v>
      </c>
      <c r="H47" s="52">
        <f t="shared" si="10"/>
        <v>1</v>
      </c>
      <c r="I47" s="52">
        <f t="shared" si="11"/>
        <v>1</v>
      </c>
      <c r="J47" s="52">
        <f t="shared" si="12"/>
        <v>0</v>
      </c>
      <c r="K47" s="52">
        <f t="shared" si="13"/>
        <v>0</v>
      </c>
      <c r="L47" s="52">
        <f t="array" ref="L47">IF(A47="","",SUMPRODUCT((A$2:A$200&lt;&gt;"")*((F$2:F$200*I47+G$2:G$200*J47+H$2:H$200*K47)&gt;0)*((F47*I$2:I$200+G47*J$2:J$200+H47*K$2:K$200)&gt;0))-IF(F47*I47+G47*J47+H47*K47&gt;0,1,0))</f>
        <v>5</v>
      </c>
      <c r="M47" s="52">
        <f t="shared" si="14"/>
        <v>5</v>
      </c>
      <c r="N47" s="52" cm="1">
        <f t="array" ref="N47">SUMPRODUCT(((F$2:F$50*I47+G$2:G$50*J47+H$2:H$50*K47)&gt;0)*((F47*I$2:I$50+G47*J$2:J$50+H47*K$2:K$50)&gt;0)*(ROW($2:$50)&lt;&gt;ROW())*IF(L$2:L$50&gt;0,1/L$2:L$50,0))</f>
        <v>0.44444444444444442</v>
      </c>
      <c r="O47" s="52" cm="1">
        <f t="array" ref="O47">IF(L47=0,0,SUMPRODUCT(((F$2:F$50*I47+G$2:G$50*J47+H$2:H$50*K47)&gt;0)*((F47*I$2:I$50+G47*J$2:J$50+H47*K$2:K$50)&gt;0)*(ROW($2:$50)&lt;&gt;ROW())*L$2:L$50)/L47)</f>
        <v>13.2</v>
      </c>
      <c r="P47" s="52">
        <f t="shared" si="7"/>
        <v>0.37878787878787878</v>
      </c>
    </row>
    <row r="48" spans="1:16" x14ac:dyDescent="0.35">
      <c r="A48" s="52" t="str">
        <f>IF('Mii List'!A48="","",'Mii List'!A48)</f>
        <v>Atlas</v>
      </c>
      <c r="B48" s="52" t="str">
        <f>IF(A48="","",'Mii List'!B48)</f>
        <v>Male</v>
      </c>
      <c r="C48" s="52" t="str">
        <f>IF(A48="","",'Mii List'!C48)</f>
        <v>✗</v>
      </c>
      <c r="D48" s="52" t="str">
        <f>IF(A48="","",'Mii List'!D48)</f>
        <v>✗</v>
      </c>
      <c r="E48" s="52" t="str">
        <f>IF(A48="","",'Mii List'!E48)</f>
        <v>✓</v>
      </c>
      <c r="F48" s="52">
        <f t="shared" si="8"/>
        <v>0</v>
      </c>
      <c r="G48" s="52">
        <f t="shared" si="9"/>
        <v>0</v>
      </c>
      <c r="H48" s="52">
        <f t="shared" si="10"/>
        <v>1</v>
      </c>
      <c r="I48" s="52">
        <f t="shared" si="11"/>
        <v>1</v>
      </c>
      <c r="J48" s="52">
        <f t="shared" si="12"/>
        <v>0</v>
      </c>
      <c r="K48" s="52">
        <f t="shared" si="13"/>
        <v>0</v>
      </c>
      <c r="L48" s="52">
        <f t="array" ref="L48">IF(A48="","",SUMPRODUCT((A$2:A$200&lt;&gt;"")*((F$2:F$200*I48+G$2:G$200*J48+H$2:H$200*K48)&gt;0)*((F48*I$2:I$200+G48*J$2:J$200+H48*K$2:K$200)&gt;0))-IF(F48*I48+G48*J48+H48*K48&gt;0,1,0))</f>
        <v>5</v>
      </c>
      <c r="M48" s="52">
        <f t="shared" si="14"/>
        <v>4</v>
      </c>
      <c r="N48" s="52" cm="1">
        <f t="array" ref="N48">SUMPRODUCT(((F$2:F$50*I48+G$2:G$50*J48+H$2:H$50*K48)&gt;0)*((F48*I$2:I$50+G48*J$2:J$50+H48*K$2:K$50)&gt;0)*(ROW($2:$50)&lt;&gt;ROW())*IF(L$2:L$50&gt;0,1/L$2:L$50,0))</f>
        <v>0.44444444444444442</v>
      </c>
      <c r="O48" s="52" cm="1">
        <f t="array" ref="O48">IF(L48=0,0,SUMPRODUCT(((F$2:F$50*I48+G$2:G$50*J48+H$2:H$50*K48)&gt;0)*((F48*I$2:I$50+G48*J$2:J$50+H48*K$2:K$50)&gt;0)*(ROW($2:$50)&lt;&gt;ROW())*L$2:L$50)/L48)</f>
        <v>13.2</v>
      </c>
      <c r="P48" s="52">
        <f t="shared" si="7"/>
        <v>0.37878787878787878</v>
      </c>
    </row>
    <row r="49" spans="1:16" x14ac:dyDescent="0.35">
      <c r="A49" s="52" t="str">
        <f>IF('Mii List'!A49="","",'Mii List'!A49)</f>
        <v>Odin</v>
      </c>
      <c r="B49" s="52" t="str">
        <f>IF(A49="","",'Mii List'!B49)</f>
        <v>Male</v>
      </c>
      <c r="C49" s="52" t="str">
        <f>IF(A49="","",'Mii List'!C49)</f>
        <v>✗</v>
      </c>
      <c r="D49" s="52" t="str">
        <f>IF(A49="","",'Mii List'!D49)</f>
        <v>✓</v>
      </c>
      <c r="E49" s="52" t="str">
        <f>IF(A49="","",'Mii List'!E49)</f>
        <v>✓</v>
      </c>
      <c r="F49" s="52">
        <f t="shared" si="8"/>
        <v>0</v>
      </c>
      <c r="G49" s="52">
        <f t="shared" si="9"/>
        <v>1</v>
      </c>
      <c r="H49" s="52">
        <f t="shared" si="10"/>
        <v>1</v>
      </c>
      <c r="I49" s="52">
        <f t="shared" si="11"/>
        <v>1</v>
      </c>
      <c r="J49" s="52">
        <f t="shared" si="12"/>
        <v>0</v>
      </c>
      <c r="K49" s="52">
        <f t="shared" si="13"/>
        <v>0</v>
      </c>
      <c r="L49" s="52">
        <f t="array" ref="L49">IF(A49="","",SUMPRODUCT((A$2:A$200&lt;&gt;"")*((F$2:F$200*I49+G$2:G$200*J49+H$2:H$200*K49)&gt;0)*((F49*I$2:I$200+G49*J$2:J$200+H49*K$2:K$200)&gt;0))-IF(F49*I49+G49*J49+H49*K49&gt;0,1,0))</f>
        <v>13</v>
      </c>
      <c r="M49" s="52">
        <f t="shared" si="14"/>
        <v>39</v>
      </c>
      <c r="N49" s="52" cm="1">
        <f t="array" ref="N49">SUMPRODUCT(((F$2:F$50*I49+G$2:G$50*J49+H$2:H$50*K49)&gt;0)*((F49*I$2:I$50+G49*J$2:J$50+H49*K$2:K$50)&gt;0)*(ROW($2:$50)&lt;&gt;ROW())*IF(L$2:L$50&gt;0,1/L$2:L$50,0))</f>
        <v>1.012684388643468</v>
      </c>
      <c r="O49" s="52" cm="1">
        <f t="array" ref="O49">IF(L49=0,0,SUMPRODUCT(((F$2:F$50*I49+G$2:G$50*J49+H$2:H$50*K49)&gt;0)*((F49*I$2:I$50+G49*J$2:J$50+H49*K$2:K$50)&gt;0)*(ROW($2:$50)&lt;&gt;ROW())*L$2:L$50)/L49)</f>
        <v>14.615384615384615</v>
      </c>
      <c r="P49" s="52">
        <f t="shared" si="7"/>
        <v>0.88947368421052631</v>
      </c>
    </row>
    <row r="50" spans="1:16" x14ac:dyDescent="0.35">
      <c r="A50" s="52" t="str">
        <f>IF('Mii List'!A50="","",'Mii List'!A50)</f>
        <v>Thor</v>
      </c>
      <c r="B50" s="52" t="str">
        <f>IF(A50="","",'Mii List'!B50)</f>
        <v>Male</v>
      </c>
      <c r="C50" s="52" t="str">
        <f>IF(A50="","",'Mii List'!C50)</f>
        <v>✓</v>
      </c>
      <c r="D50" s="52" t="str">
        <f>IF(A50="","",'Mii List'!D50)</f>
        <v>✓</v>
      </c>
      <c r="E50" s="52" t="str">
        <f>IF(A50="","",'Mii List'!E50)</f>
        <v>✗</v>
      </c>
      <c r="F50" s="52">
        <f t="shared" si="8"/>
        <v>1</v>
      </c>
      <c r="G50" s="52">
        <f t="shared" si="9"/>
        <v>1</v>
      </c>
      <c r="H50" s="52">
        <f t="shared" si="10"/>
        <v>0</v>
      </c>
      <c r="I50" s="52">
        <f t="shared" si="11"/>
        <v>1</v>
      </c>
      <c r="J50" s="52">
        <f t="shared" si="12"/>
        <v>0</v>
      </c>
      <c r="K50" s="52">
        <f t="shared" si="13"/>
        <v>0</v>
      </c>
      <c r="L50" s="52">
        <f t="array" ref="L50">IF(A50="","",SUMPRODUCT((A$2:A$200&lt;&gt;"")*((F$2:F$200*I50+G$2:G$200*J50+H$2:H$200*K50)&gt;0)*((F50*I$2:I$200+G50*J$2:J$200+H50*K$2:K$200)&gt;0))-IF(F50*I50+G50*J50+H50*K50&gt;0,1,0))</f>
        <v>19</v>
      </c>
      <c r="M50" s="52">
        <f t="shared" si="14"/>
        <v>46</v>
      </c>
      <c r="N50" s="52" cm="1">
        <f t="array" ref="N50">SUMPRODUCT(((F$2:F$50*I50+G$2:G$50*J50+H$2:H$50*K50)&gt;0)*((F50*I$2:I$50+G50*J$2:J$50+H50*K$2:K$50)&gt;0)*(ROW($2:$50)&lt;&gt;ROW())*IF(L$2:L$50&gt;0,1/L$2:L$50,0))</f>
        <v>1.4523109170857857</v>
      </c>
      <c r="O50" s="52" cm="1">
        <f t="array" ref="O50">IF(L50=0,0,SUMPRODUCT(((F$2:F$50*I50+G$2:G$50*J50+H$2:H$50*K50)&gt;0)*((F50*I$2:I$50+G50*J$2:J$50+H50*K$2:K$50)&gt;0)*(ROW($2:$50)&lt;&gt;ROW())*L$2:L$50)/L50)</f>
        <v>14.263157894736842</v>
      </c>
      <c r="P50" s="52">
        <f t="shared" si="7"/>
        <v>1</v>
      </c>
    </row>
    <row r="51" spans="1:16" x14ac:dyDescent="0.35">
      <c r="A51" s="52" t="str">
        <f>IF('Mii List'!A51="","",'Mii List'!A51)</f>
        <v/>
      </c>
      <c r="B51" s="52" t="str">
        <f>IF(A51="","",'Mii List'!B51)</f>
        <v/>
      </c>
      <c r="C51" s="52" t="str">
        <f>IF(A51="","",'Mii List'!C51)</f>
        <v/>
      </c>
      <c r="D51" s="52" t="str">
        <f>IF(A51="","",'Mii List'!D51)</f>
        <v/>
      </c>
      <c r="E51" s="52" t="str">
        <f>IF(A51="","",'Mii List'!E51)</f>
        <v/>
      </c>
      <c r="F51" s="52">
        <f t="shared" si="8"/>
        <v>0</v>
      </c>
      <c r="G51" s="52">
        <f t="shared" si="9"/>
        <v>0</v>
      </c>
      <c r="H51" s="52">
        <f t="shared" si="10"/>
        <v>0</v>
      </c>
      <c r="I51" s="52">
        <f t="shared" si="11"/>
        <v>0</v>
      </c>
      <c r="J51" s="52">
        <f t="shared" si="12"/>
        <v>0</v>
      </c>
      <c r="K51" s="52">
        <f t="shared" si="13"/>
        <v>0</v>
      </c>
      <c r="L51" s="52" t="str">
        <f t="array" ref="L51">IF(A51="","",SUMPRODUCT((A$2:A$200&lt;&gt;"")*((F$2:F$200*I51+G$2:G$200*J51+H$2:H$200*K51)&gt;0)*((F51*I$2:I$200+G51*J$2:J$200+H51*K$2:K$200)&gt;0))-IF(F51*I51+G51*J51+H51*K51&gt;0,1,0))</f>
        <v/>
      </c>
      <c r="M51" s="52" t="str">
        <f t="shared" si="14"/>
        <v/>
      </c>
      <c r="N51" s="52"/>
      <c r="O51" s="52"/>
      <c r="P51" s="52"/>
    </row>
    <row r="52" spans="1:16" x14ac:dyDescent="0.35">
      <c r="A52" s="52" t="str">
        <f>IF('Mii List'!A52="","",'Mii List'!A52)</f>
        <v/>
      </c>
      <c r="B52" s="52" t="str">
        <f>IF(A52="","",'Mii List'!B52)</f>
        <v/>
      </c>
      <c r="C52" s="52" t="str">
        <f>IF(A52="","",'Mii List'!C52)</f>
        <v/>
      </c>
      <c r="D52" s="52" t="str">
        <f>IF(A52="","",'Mii List'!D52)</f>
        <v/>
      </c>
      <c r="E52" s="52" t="str">
        <f>IF(A52="","",'Mii List'!E52)</f>
        <v/>
      </c>
      <c r="F52" s="52">
        <f t="shared" si="8"/>
        <v>0</v>
      </c>
      <c r="G52" s="52">
        <f t="shared" si="9"/>
        <v>0</v>
      </c>
      <c r="H52" s="52">
        <f t="shared" si="10"/>
        <v>0</v>
      </c>
      <c r="I52" s="52">
        <f t="shared" si="11"/>
        <v>0</v>
      </c>
      <c r="J52" s="52">
        <f t="shared" si="12"/>
        <v>0</v>
      </c>
      <c r="K52" s="52">
        <f t="shared" si="13"/>
        <v>0</v>
      </c>
      <c r="L52" s="52" t="str">
        <f t="array" ref="L52">IF(A52="","",SUMPRODUCT((A$2:A$200&lt;&gt;"")*((F$2:F$200*I52+G$2:G$200*J52+H$2:H$200*K52)&gt;0)*((F52*I$2:I$200+G52*J$2:J$200+H52*K$2:K$200)&gt;0))-IF(F52*I52+G52*J52+H52*K52&gt;0,1,0))</f>
        <v/>
      </c>
      <c r="M52" s="52" t="str">
        <f t="shared" si="14"/>
        <v/>
      </c>
      <c r="N52" s="52"/>
      <c r="O52" s="52"/>
      <c r="P52" s="52"/>
    </row>
    <row r="53" spans="1:16" x14ac:dyDescent="0.35">
      <c r="A53" s="52" t="str">
        <f>IF('Mii List'!A53="","",'Mii List'!A53)</f>
        <v/>
      </c>
      <c r="B53" s="52" t="str">
        <f>IF(A53="","",'Mii List'!B53)</f>
        <v/>
      </c>
      <c r="C53" s="52" t="str">
        <f>IF(A53="","",'Mii List'!C53)</f>
        <v/>
      </c>
      <c r="D53" s="52" t="str">
        <f>IF(A53="","",'Mii List'!D53)</f>
        <v/>
      </c>
      <c r="E53" s="52" t="str">
        <f>IF(A53="","",'Mii List'!E53)</f>
        <v/>
      </c>
      <c r="F53" s="52">
        <f t="shared" si="8"/>
        <v>0</v>
      </c>
      <c r="G53" s="52">
        <f t="shared" si="9"/>
        <v>0</v>
      </c>
      <c r="H53" s="52">
        <f t="shared" si="10"/>
        <v>0</v>
      </c>
      <c r="I53" s="52">
        <f t="shared" si="11"/>
        <v>0</v>
      </c>
      <c r="J53" s="52">
        <f t="shared" si="12"/>
        <v>0</v>
      </c>
      <c r="K53" s="52">
        <f t="shared" si="13"/>
        <v>0</v>
      </c>
      <c r="L53" s="52" t="str">
        <f t="array" ref="L53">IF(A53="","",SUMPRODUCT((A$2:A$200&lt;&gt;"")*((F$2:F$200*I53+G$2:G$200*J53+H$2:H$200*K53)&gt;0)*((F53*I$2:I$200+G53*J$2:J$200+H53*K$2:K$200)&gt;0))-IF(F53*I53+G53*J53+H53*K53&gt;0,1,0))</f>
        <v/>
      </c>
      <c r="M53" s="52" t="str">
        <f t="shared" si="14"/>
        <v/>
      </c>
      <c r="N53" s="52"/>
      <c r="O53" s="52"/>
      <c r="P53" s="52"/>
    </row>
    <row r="54" spans="1:16" x14ac:dyDescent="0.35">
      <c r="A54" s="52" t="str">
        <f>IF('Mii List'!A54="","",'Mii List'!A54)</f>
        <v/>
      </c>
      <c r="B54" s="52" t="str">
        <f>IF(A54="","",'Mii List'!B54)</f>
        <v/>
      </c>
      <c r="C54" s="52" t="str">
        <f>IF(A54="","",'Mii List'!C54)</f>
        <v/>
      </c>
      <c r="D54" s="52" t="str">
        <f>IF(A54="","",'Mii List'!D54)</f>
        <v/>
      </c>
      <c r="E54" s="52" t="str">
        <f>IF(A54="","",'Mii List'!E54)</f>
        <v/>
      </c>
      <c r="F54" s="52">
        <f t="shared" si="8"/>
        <v>0</v>
      </c>
      <c r="G54" s="52">
        <f t="shared" si="9"/>
        <v>0</v>
      </c>
      <c r="H54" s="52">
        <f t="shared" si="10"/>
        <v>0</v>
      </c>
      <c r="I54" s="52">
        <f t="shared" si="11"/>
        <v>0</v>
      </c>
      <c r="J54" s="52">
        <f t="shared" si="12"/>
        <v>0</v>
      </c>
      <c r="K54" s="52">
        <f t="shared" si="13"/>
        <v>0</v>
      </c>
      <c r="L54" s="52" t="str">
        <f t="array" ref="L54">IF(A54="","",SUMPRODUCT((A$2:A$200&lt;&gt;"")*((F$2:F$200*I54+G$2:G$200*J54+H$2:H$200*K54)&gt;0)*((F54*I$2:I$200+G54*J$2:J$200+H54*K$2:K$200)&gt;0))-IF(F54*I54+G54*J54+H54*K54&gt;0,1,0))</f>
        <v/>
      </c>
      <c r="M54" s="52" t="str">
        <f t="shared" si="14"/>
        <v/>
      </c>
      <c r="N54" s="52"/>
      <c r="O54" s="52"/>
      <c r="P54" s="52"/>
    </row>
    <row r="55" spans="1:16" x14ac:dyDescent="0.35">
      <c r="A55" s="52" t="str">
        <f>IF('Mii List'!A55="","",'Mii List'!A55)</f>
        <v/>
      </c>
      <c r="B55" s="52" t="str">
        <f>IF(A55="","",'Mii List'!B55)</f>
        <v/>
      </c>
      <c r="C55" s="52" t="str">
        <f>IF(A55="","",'Mii List'!C55)</f>
        <v/>
      </c>
      <c r="D55" s="52" t="str">
        <f>IF(A55="","",'Mii List'!D55)</f>
        <v/>
      </c>
      <c r="E55" s="52" t="str">
        <f>IF(A55="","",'Mii List'!E55)</f>
        <v/>
      </c>
      <c r="F55" s="52">
        <f t="shared" si="8"/>
        <v>0</v>
      </c>
      <c r="G55" s="52">
        <f t="shared" si="9"/>
        <v>0</v>
      </c>
      <c r="H55" s="52">
        <f t="shared" si="10"/>
        <v>0</v>
      </c>
      <c r="I55" s="52">
        <f t="shared" si="11"/>
        <v>0</v>
      </c>
      <c r="J55" s="52">
        <f t="shared" si="12"/>
        <v>0</v>
      </c>
      <c r="K55" s="52">
        <f t="shared" si="13"/>
        <v>0</v>
      </c>
      <c r="L55" s="52" t="str">
        <f t="array" ref="L55">IF(A55="","",SUMPRODUCT((A$2:A$200&lt;&gt;"")*((F$2:F$200*I55+G$2:G$200*J55+H$2:H$200*K55)&gt;0)*((F55*I$2:I$200+G55*J$2:J$200+H55*K$2:K$200)&gt;0))-IF(F55*I55+G55*J55+H55*K55&gt;0,1,0))</f>
        <v/>
      </c>
      <c r="M55" s="52" t="str">
        <f t="shared" si="14"/>
        <v/>
      </c>
      <c r="N55" s="52"/>
      <c r="O55" s="52"/>
      <c r="P55" s="52"/>
    </row>
    <row r="56" spans="1:16" x14ac:dyDescent="0.35">
      <c r="A56" s="52" t="str">
        <f>IF('Mii List'!A56="","",'Mii List'!A56)</f>
        <v/>
      </c>
      <c r="B56" s="52" t="str">
        <f>IF(A56="","",'Mii List'!B56)</f>
        <v/>
      </c>
      <c r="C56" s="52" t="str">
        <f>IF(A56="","",'Mii List'!C56)</f>
        <v/>
      </c>
      <c r="D56" s="52" t="str">
        <f>IF(A56="","",'Mii List'!D56)</f>
        <v/>
      </c>
      <c r="E56" s="52" t="str">
        <f>IF(A56="","",'Mii List'!E56)</f>
        <v/>
      </c>
      <c r="F56" s="52">
        <f t="shared" si="8"/>
        <v>0</v>
      </c>
      <c r="G56" s="52">
        <f t="shared" si="9"/>
        <v>0</v>
      </c>
      <c r="H56" s="52">
        <f t="shared" si="10"/>
        <v>0</v>
      </c>
      <c r="I56" s="52">
        <f t="shared" si="11"/>
        <v>0</v>
      </c>
      <c r="J56" s="52">
        <f t="shared" si="12"/>
        <v>0</v>
      </c>
      <c r="K56" s="52">
        <f t="shared" si="13"/>
        <v>0</v>
      </c>
      <c r="L56" s="52" t="str">
        <f t="array" ref="L56">IF(A56="","",SUMPRODUCT((A$2:A$200&lt;&gt;"")*((F$2:F$200*I56+G$2:G$200*J56+H$2:H$200*K56)&gt;0)*((F56*I$2:I$200+G56*J$2:J$200+H56*K$2:K$200)&gt;0))-IF(F56*I56+G56*J56+H56*K56&gt;0,1,0))</f>
        <v/>
      </c>
      <c r="M56" s="52" t="str">
        <f t="shared" si="14"/>
        <v/>
      </c>
      <c r="N56" s="52"/>
      <c r="O56" s="52"/>
      <c r="P56" s="52"/>
    </row>
    <row r="57" spans="1:16" x14ac:dyDescent="0.35">
      <c r="A57" s="52" t="str">
        <f>IF('Mii List'!A57="","",'Mii List'!A57)</f>
        <v/>
      </c>
      <c r="B57" s="52" t="str">
        <f>IF(A57="","",'Mii List'!B57)</f>
        <v/>
      </c>
      <c r="C57" s="52" t="str">
        <f>IF(A57="","",'Mii List'!C57)</f>
        <v/>
      </c>
      <c r="D57" s="52" t="str">
        <f>IF(A57="","",'Mii List'!D57)</f>
        <v/>
      </c>
      <c r="E57" s="52" t="str">
        <f>IF(A57="","",'Mii List'!E57)</f>
        <v/>
      </c>
      <c r="F57" s="52">
        <f t="shared" si="8"/>
        <v>0</v>
      </c>
      <c r="G57" s="52">
        <f t="shared" si="9"/>
        <v>0</v>
      </c>
      <c r="H57" s="52">
        <f t="shared" si="10"/>
        <v>0</v>
      </c>
      <c r="I57" s="52">
        <f t="shared" si="11"/>
        <v>0</v>
      </c>
      <c r="J57" s="52">
        <f t="shared" si="12"/>
        <v>0</v>
      </c>
      <c r="K57" s="52">
        <f t="shared" si="13"/>
        <v>0</v>
      </c>
      <c r="L57" s="52" t="str">
        <f t="array" ref="L57">IF(A57="","",SUMPRODUCT((A$2:A$200&lt;&gt;"")*((F$2:F$200*I57+G$2:G$200*J57+H$2:H$200*K57)&gt;0)*((F57*I$2:I$200+G57*J$2:J$200+H57*K$2:K$200)&gt;0))-IF(F57*I57+G57*J57+H57*K57&gt;0,1,0))</f>
        <v/>
      </c>
      <c r="M57" s="52" t="str">
        <f t="shared" si="14"/>
        <v/>
      </c>
      <c r="N57" s="52"/>
      <c r="O57" s="52"/>
      <c r="P57" s="52"/>
    </row>
    <row r="58" spans="1:16" x14ac:dyDescent="0.35">
      <c r="A58" s="52" t="str">
        <f>IF('Mii List'!A58="","",'Mii List'!A58)</f>
        <v/>
      </c>
      <c r="B58" s="52" t="str">
        <f>IF(A58="","",'Mii List'!B58)</f>
        <v/>
      </c>
      <c r="C58" s="52" t="str">
        <f>IF(A58="","",'Mii List'!C58)</f>
        <v/>
      </c>
      <c r="D58" s="52" t="str">
        <f>IF(A58="","",'Mii List'!D58)</f>
        <v/>
      </c>
      <c r="E58" s="52" t="str">
        <f>IF(A58="","",'Mii List'!E58)</f>
        <v/>
      </c>
      <c r="F58" s="52">
        <f t="shared" si="8"/>
        <v>0</v>
      </c>
      <c r="G58" s="52">
        <f t="shared" si="9"/>
        <v>0</v>
      </c>
      <c r="H58" s="52">
        <f t="shared" si="10"/>
        <v>0</v>
      </c>
      <c r="I58" s="52">
        <f t="shared" si="11"/>
        <v>0</v>
      </c>
      <c r="J58" s="52">
        <f t="shared" si="12"/>
        <v>0</v>
      </c>
      <c r="K58" s="52">
        <f t="shared" si="13"/>
        <v>0</v>
      </c>
      <c r="L58" s="52" t="str">
        <f t="array" ref="L58">IF(A58="","",SUMPRODUCT((A$2:A$200&lt;&gt;"")*((F$2:F$200*I58+G$2:G$200*J58+H$2:H$200*K58)&gt;0)*((F58*I$2:I$200+G58*J$2:J$200+H58*K$2:K$200)&gt;0))-IF(F58*I58+G58*J58+H58*K58&gt;0,1,0))</f>
        <v/>
      </c>
      <c r="M58" s="52" t="str">
        <f t="shared" si="14"/>
        <v/>
      </c>
      <c r="N58" s="52"/>
      <c r="O58" s="52"/>
      <c r="P58" s="52"/>
    </row>
    <row r="59" spans="1:16" x14ac:dyDescent="0.35">
      <c r="A59" s="52" t="str">
        <f>IF('Mii List'!A59="","",'Mii List'!A59)</f>
        <v/>
      </c>
      <c r="B59" s="52" t="str">
        <f>IF(A59="","",'Mii List'!B59)</f>
        <v/>
      </c>
      <c r="C59" s="52" t="str">
        <f>IF(A59="","",'Mii List'!C59)</f>
        <v/>
      </c>
      <c r="D59" s="52" t="str">
        <f>IF(A59="","",'Mii List'!D59)</f>
        <v/>
      </c>
      <c r="E59" s="52" t="str">
        <f>IF(A59="","",'Mii List'!E59)</f>
        <v/>
      </c>
      <c r="F59" s="52">
        <f t="shared" si="8"/>
        <v>0</v>
      </c>
      <c r="G59" s="52">
        <f t="shared" si="9"/>
        <v>0</v>
      </c>
      <c r="H59" s="52">
        <f t="shared" si="10"/>
        <v>0</v>
      </c>
      <c r="I59" s="52">
        <f t="shared" si="11"/>
        <v>0</v>
      </c>
      <c r="J59" s="52">
        <f t="shared" si="12"/>
        <v>0</v>
      </c>
      <c r="K59" s="52">
        <f t="shared" si="13"/>
        <v>0</v>
      </c>
      <c r="L59" s="52" t="str">
        <f t="array" ref="L59">IF(A59="","",SUMPRODUCT((A$2:A$200&lt;&gt;"")*((F$2:F$200*I59+G$2:G$200*J59+H$2:H$200*K59)&gt;0)*((F59*I$2:I$200+G59*J$2:J$200+H59*K$2:K$200)&gt;0))-IF(F59*I59+G59*J59+H59*K59&gt;0,1,0))</f>
        <v/>
      </c>
      <c r="M59" s="52" t="str">
        <f t="shared" si="14"/>
        <v/>
      </c>
      <c r="N59" s="52"/>
      <c r="O59" s="52"/>
      <c r="P59" s="52"/>
    </row>
    <row r="60" spans="1:16" x14ac:dyDescent="0.35">
      <c r="A60" s="52" t="str">
        <f>IF('Mii List'!A60="","",'Mii List'!A60)</f>
        <v/>
      </c>
      <c r="B60" s="52" t="str">
        <f>IF(A60="","",'Mii List'!B60)</f>
        <v/>
      </c>
      <c r="C60" s="52" t="str">
        <f>IF(A60="","",'Mii List'!C60)</f>
        <v/>
      </c>
      <c r="D60" s="52" t="str">
        <f>IF(A60="","",'Mii List'!D60)</f>
        <v/>
      </c>
      <c r="E60" s="52" t="str">
        <f>IF(A60="","",'Mii List'!E60)</f>
        <v/>
      </c>
      <c r="F60" s="52">
        <f t="shared" si="8"/>
        <v>0</v>
      </c>
      <c r="G60" s="52">
        <f t="shared" si="9"/>
        <v>0</v>
      </c>
      <c r="H60" s="52">
        <f t="shared" si="10"/>
        <v>0</v>
      </c>
      <c r="I60" s="52">
        <f t="shared" si="11"/>
        <v>0</v>
      </c>
      <c r="J60" s="52">
        <f t="shared" si="12"/>
        <v>0</v>
      </c>
      <c r="K60" s="52">
        <f t="shared" si="13"/>
        <v>0</v>
      </c>
      <c r="L60" s="52" t="str">
        <f t="array" ref="L60">IF(A60="","",SUMPRODUCT((A$2:A$200&lt;&gt;"")*((F$2:F$200*I60+G$2:G$200*J60+H$2:H$200*K60)&gt;0)*((F60*I$2:I$200+G60*J$2:J$200+H60*K$2:K$200)&gt;0))-IF(F60*I60+G60*J60+H60*K60&gt;0,1,0))</f>
        <v/>
      </c>
      <c r="M60" s="52" t="str">
        <f t="shared" si="14"/>
        <v/>
      </c>
      <c r="N60" s="52"/>
      <c r="O60" s="52"/>
      <c r="P60" s="52"/>
    </row>
    <row r="61" spans="1:16" x14ac:dyDescent="0.35">
      <c r="A61" s="52" t="str">
        <f>IF('Mii List'!A61="","",'Mii List'!A61)</f>
        <v/>
      </c>
      <c r="B61" s="52" t="str">
        <f>IF(A61="","",'Mii List'!B61)</f>
        <v/>
      </c>
      <c r="C61" s="52" t="str">
        <f>IF(A61="","",'Mii List'!C61)</f>
        <v/>
      </c>
      <c r="D61" s="52" t="str">
        <f>IF(A61="","",'Mii List'!D61)</f>
        <v/>
      </c>
      <c r="E61" s="52" t="str">
        <f>IF(A61="","",'Mii List'!E61)</f>
        <v/>
      </c>
      <c r="F61" s="52">
        <f t="shared" si="8"/>
        <v>0</v>
      </c>
      <c r="G61" s="52">
        <f t="shared" si="9"/>
        <v>0</v>
      </c>
      <c r="H61" s="52">
        <f t="shared" si="10"/>
        <v>0</v>
      </c>
      <c r="I61" s="52">
        <f t="shared" si="11"/>
        <v>0</v>
      </c>
      <c r="J61" s="52">
        <f t="shared" si="12"/>
        <v>0</v>
      </c>
      <c r="K61" s="52">
        <f t="shared" si="13"/>
        <v>0</v>
      </c>
      <c r="L61" s="52" t="str">
        <f t="array" ref="L61">IF(A61="","",SUMPRODUCT((A$2:A$200&lt;&gt;"")*((F$2:F$200*I61+G$2:G$200*J61+H$2:H$200*K61)&gt;0)*((F61*I$2:I$200+G61*J$2:J$200+H61*K$2:K$200)&gt;0))-IF(F61*I61+G61*J61+H61*K61&gt;0,1,0))</f>
        <v/>
      </c>
      <c r="M61" s="52" t="str">
        <f t="shared" si="14"/>
        <v/>
      </c>
      <c r="N61" s="52"/>
      <c r="O61" s="52"/>
      <c r="P61" s="52"/>
    </row>
    <row r="62" spans="1:16" x14ac:dyDescent="0.35">
      <c r="A62" s="52" t="str">
        <f>IF('Mii List'!A62="","",'Mii List'!A62)</f>
        <v/>
      </c>
      <c r="B62" s="52" t="str">
        <f>IF(A62="","",'Mii List'!B62)</f>
        <v/>
      </c>
      <c r="C62" s="52" t="str">
        <f>IF(A62="","",'Mii List'!C62)</f>
        <v/>
      </c>
      <c r="D62" s="52" t="str">
        <f>IF(A62="","",'Mii List'!D62)</f>
        <v/>
      </c>
      <c r="E62" s="52" t="str">
        <f>IF(A62="","",'Mii List'!E62)</f>
        <v/>
      </c>
      <c r="F62" s="52">
        <f t="shared" si="8"/>
        <v>0</v>
      </c>
      <c r="G62" s="52">
        <f t="shared" si="9"/>
        <v>0</v>
      </c>
      <c r="H62" s="52">
        <f t="shared" si="10"/>
        <v>0</v>
      </c>
      <c r="I62" s="52">
        <f t="shared" si="11"/>
        <v>0</v>
      </c>
      <c r="J62" s="52">
        <f t="shared" si="12"/>
        <v>0</v>
      </c>
      <c r="K62" s="52">
        <f t="shared" si="13"/>
        <v>0</v>
      </c>
      <c r="L62" s="52" t="str">
        <f t="array" ref="L62">IF(A62="","",SUMPRODUCT((A$2:A$200&lt;&gt;"")*((F$2:F$200*I62+G$2:G$200*J62+H$2:H$200*K62)&gt;0)*((F62*I$2:I$200+G62*J$2:J$200+H62*K$2:K$200)&gt;0))-IF(F62*I62+G62*J62+H62*K62&gt;0,1,0))</f>
        <v/>
      </c>
      <c r="M62" s="52" t="str">
        <f t="shared" si="14"/>
        <v/>
      </c>
      <c r="N62" s="52"/>
      <c r="O62" s="52"/>
      <c r="P62" s="52"/>
    </row>
    <row r="63" spans="1:16" x14ac:dyDescent="0.35">
      <c r="A63" s="52" t="str">
        <f>IF('Mii List'!A63="","",'Mii List'!A63)</f>
        <v/>
      </c>
      <c r="B63" s="52" t="str">
        <f>IF(A63="","",'Mii List'!B63)</f>
        <v/>
      </c>
      <c r="C63" s="52" t="str">
        <f>IF(A63="","",'Mii List'!C63)</f>
        <v/>
      </c>
      <c r="D63" s="52" t="str">
        <f>IF(A63="","",'Mii List'!D63)</f>
        <v/>
      </c>
      <c r="E63" s="52" t="str">
        <f>IF(A63="","",'Mii List'!E63)</f>
        <v/>
      </c>
      <c r="F63" s="52">
        <f t="shared" si="8"/>
        <v>0</v>
      </c>
      <c r="G63" s="52">
        <f t="shared" si="9"/>
        <v>0</v>
      </c>
      <c r="H63" s="52">
        <f t="shared" si="10"/>
        <v>0</v>
      </c>
      <c r="I63" s="52">
        <f t="shared" si="11"/>
        <v>0</v>
      </c>
      <c r="J63" s="52">
        <f t="shared" si="12"/>
        <v>0</v>
      </c>
      <c r="K63" s="52">
        <f t="shared" si="13"/>
        <v>0</v>
      </c>
      <c r="L63" s="52" t="str">
        <f t="array" ref="L63">IF(A63="","",SUMPRODUCT((A$2:A$200&lt;&gt;"")*((F$2:F$200*I63+G$2:G$200*J63+H$2:H$200*K63)&gt;0)*((F63*I$2:I$200+G63*J$2:J$200+H63*K$2:K$200)&gt;0))-IF(F63*I63+G63*J63+H63*K63&gt;0,1,0))</f>
        <v/>
      </c>
      <c r="M63" s="52" t="str">
        <f t="shared" si="14"/>
        <v/>
      </c>
      <c r="N63" s="52"/>
      <c r="O63" s="52"/>
      <c r="P63" s="52"/>
    </row>
    <row r="64" spans="1:16" x14ac:dyDescent="0.35">
      <c r="A64" s="52" t="str">
        <f>IF('Mii List'!A64="","",'Mii List'!A64)</f>
        <v/>
      </c>
      <c r="B64" s="52" t="str">
        <f>IF(A64="","",'Mii List'!B64)</f>
        <v/>
      </c>
      <c r="C64" s="52" t="str">
        <f>IF(A64="","",'Mii List'!C64)</f>
        <v/>
      </c>
      <c r="D64" s="52" t="str">
        <f>IF(A64="","",'Mii List'!D64)</f>
        <v/>
      </c>
      <c r="E64" s="52" t="str">
        <f>IF(A64="","",'Mii List'!E64)</f>
        <v/>
      </c>
      <c r="F64" s="52">
        <f t="shared" si="8"/>
        <v>0</v>
      </c>
      <c r="G64" s="52">
        <f t="shared" si="9"/>
        <v>0</v>
      </c>
      <c r="H64" s="52">
        <f t="shared" si="10"/>
        <v>0</v>
      </c>
      <c r="I64" s="52">
        <f t="shared" si="11"/>
        <v>0</v>
      </c>
      <c r="J64" s="52">
        <f t="shared" si="12"/>
        <v>0</v>
      </c>
      <c r="K64" s="52">
        <f t="shared" si="13"/>
        <v>0</v>
      </c>
      <c r="L64" s="52" t="str">
        <f t="array" ref="L64">IF(A64="","",SUMPRODUCT((A$2:A$200&lt;&gt;"")*((F$2:F$200*I64+G$2:G$200*J64+H$2:H$200*K64)&gt;0)*((F64*I$2:I$200+G64*J$2:J$200+H64*K$2:K$200)&gt;0))-IF(F64*I64+G64*J64+H64*K64&gt;0,1,0))</f>
        <v/>
      </c>
      <c r="M64" s="52" t="str">
        <f t="shared" si="14"/>
        <v/>
      </c>
      <c r="N64" s="52"/>
      <c r="O64" s="52"/>
      <c r="P64" s="52"/>
    </row>
    <row r="65" spans="1:16" x14ac:dyDescent="0.35">
      <c r="A65" s="52" t="str">
        <f>IF('Mii List'!A65="","",'Mii List'!A65)</f>
        <v/>
      </c>
      <c r="B65" s="52" t="str">
        <f>IF(A65="","",'Mii List'!B65)</f>
        <v/>
      </c>
      <c r="C65" s="52" t="str">
        <f>IF(A65="","",'Mii List'!C65)</f>
        <v/>
      </c>
      <c r="D65" s="52" t="str">
        <f>IF(A65="","",'Mii List'!D65)</f>
        <v/>
      </c>
      <c r="E65" s="52" t="str">
        <f>IF(A65="","",'Mii List'!E65)</f>
        <v/>
      </c>
      <c r="F65" s="52">
        <f t="shared" si="8"/>
        <v>0</v>
      </c>
      <c r="G65" s="52">
        <f t="shared" si="9"/>
        <v>0</v>
      </c>
      <c r="H65" s="52">
        <f t="shared" si="10"/>
        <v>0</v>
      </c>
      <c r="I65" s="52">
        <f t="shared" si="11"/>
        <v>0</v>
      </c>
      <c r="J65" s="52">
        <f t="shared" si="12"/>
        <v>0</v>
      </c>
      <c r="K65" s="52">
        <f t="shared" si="13"/>
        <v>0</v>
      </c>
      <c r="L65" s="52" t="str">
        <f t="array" ref="L65">IF(A65="","",SUMPRODUCT((A$2:A$200&lt;&gt;"")*((F$2:F$200*I65+G$2:G$200*J65+H$2:H$200*K65)&gt;0)*((F65*I$2:I$200+G65*J$2:J$200+H65*K$2:K$200)&gt;0))-IF(F65*I65+G65*J65+H65*K65&gt;0,1,0))</f>
        <v/>
      </c>
      <c r="M65" s="52" t="str">
        <f t="shared" si="14"/>
        <v/>
      </c>
      <c r="N65" s="52"/>
      <c r="O65" s="52"/>
      <c r="P65" s="52"/>
    </row>
    <row r="66" spans="1:16" x14ac:dyDescent="0.35">
      <c r="A66" s="52" t="str">
        <f>IF('Mii List'!A66="","",'Mii List'!A66)</f>
        <v/>
      </c>
      <c r="B66" s="52" t="str">
        <f>IF(A66="","",'Mii List'!B66)</f>
        <v/>
      </c>
      <c r="C66" s="52" t="str">
        <f>IF(A66="","",'Mii List'!C66)</f>
        <v/>
      </c>
      <c r="D66" s="52" t="str">
        <f>IF(A66="","",'Mii List'!D66)</f>
        <v/>
      </c>
      <c r="E66" s="52" t="str">
        <f>IF(A66="","",'Mii List'!E66)</f>
        <v/>
      </c>
      <c r="F66" s="52">
        <f t="shared" ref="F66:F97" si="15">IF(A66="",0,(C66="✓")*1)</f>
        <v>0</v>
      </c>
      <c r="G66" s="52">
        <f t="shared" ref="G66:G97" si="16">IF(A66="",0,(D66="✓")*1)</f>
        <v>0</v>
      </c>
      <c r="H66" s="52">
        <f t="shared" ref="H66:H97" si="17">IF(A66="",0,(E66="✓")*1)</f>
        <v>0</v>
      </c>
      <c r="I66" s="52">
        <f t="shared" ref="I66:I97" si="18">IF(A66="",0,(B66="Male")*1)</f>
        <v>0</v>
      </c>
      <c r="J66" s="52">
        <f t="shared" ref="J66:J97" si="19">IF(A66="",0,(B66="Female")*1)</f>
        <v>0</v>
      </c>
      <c r="K66" s="52">
        <f t="shared" ref="K66:K97" si="20">IF(A66="",0,(B66="Nonbinary")*1)</f>
        <v>0</v>
      </c>
      <c r="L66" s="52" t="str">
        <f t="array" ref="L66">IF(A66="","",SUMPRODUCT((A$2:A$200&lt;&gt;"")*((F$2:F$200*I66+G$2:G$200*J66+H$2:H$200*K66)&gt;0)*((F66*I$2:I$200+G66*J$2:J$200+H66*K$2:K$200)&gt;0))-IF(F66*I66+G66*J66+H66*K66&gt;0,1,0))</f>
        <v/>
      </c>
      <c r="M66" s="52" t="str">
        <f t="shared" ref="M66:M97" si="21">IF(A66="","",RANK(L66,L$2:L$200,1)+COUNTIFS(L$2:L$200,L66,A$2:A$200,"&lt;"&amp;A66))</f>
        <v/>
      </c>
      <c r="N66" s="52"/>
      <c r="O66" s="52"/>
      <c r="P66" s="52"/>
    </row>
    <row r="67" spans="1:16" x14ac:dyDescent="0.35">
      <c r="A67" s="52" t="str">
        <f>IF('Mii List'!A67="","",'Mii List'!A67)</f>
        <v/>
      </c>
      <c r="B67" s="52" t="str">
        <f>IF(A67="","",'Mii List'!B67)</f>
        <v/>
      </c>
      <c r="C67" s="52" t="str">
        <f>IF(A67="","",'Mii List'!C67)</f>
        <v/>
      </c>
      <c r="D67" s="52" t="str">
        <f>IF(A67="","",'Mii List'!D67)</f>
        <v/>
      </c>
      <c r="E67" s="52" t="str">
        <f>IF(A67="","",'Mii List'!E67)</f>
        <v/>
      </c>
      <c r="F67" s="52">
        <f t="shared" si="15"/>
        <v>0</v>
      </c>
      <c r="G67" s="52">
        <f t="shared" si="16"/>
        <v>0</v>
      </c>
      <c r="H67" s="52">
        <f t="shared" si="17"/>
        <v>0</v>
      </c>
      <c r="I67" s="52">
        <f t="shared" si="18"/>
        <v>0</v>
      </c>
      <c r="J67" s="52">
        <f t="shared" si="19"/>
        <v>0</v>
      </c>
      <c r="K67" s="52">
        <f t="shared" si="20"/>
        <v>0</v>
      </c>
      <c r="L67" s="52" t="str">
        <f t="array" ref="L67">IF(A67="","",SUMPRODUCT((A$2:A$200&lt;&gt;"")*((F$2:F$200*I67+G$2:G$200*J67+H$2:H$200*K67)&gt;0)*((F67*I$2:I$200+G67*J$2:J$200+H67*K$2:K$200)&gt;0))-IF(F67*I67+G67*J67+H67*K67&gt;0,1,0))</f>
        <v/>
      </c>
      <c r="M67" s="52" t="str">
        <f t="shared" si="21"/>
        <v/>
      </c>
      <c r="N67" s="52"/>
      <c r="O67" s="52"/>
      <c r="P67" s="52"/>
    </row>
    <row r="68" spans="1:16" x14ac:dyDescent="0.35">
      <c r="A68" s="52" t="str">
        <f>IF('Mii List'!A68="","",'Mii List'!A68)</f>
        <v/>
      </c>
      <c r="B68" s="52" t="str">
        <f>IF(A68="","",'Mii List'!B68)</f>
        <v/>
      </c>
      <c r="C68" s="52" t="str">
        <f>IF(A68="","",'Mii List'!C68)</f>
        <v/>
      </c>
      <c r="D68" s="52" t="str">
        <f>IF(A68="","",'Mii List'!D68)</f>
        <v/>
      </c>
      <c r="E68" s="52" t="str">
        <f>IF(A68="","",'Mii List'!E68)</f>
        <v/>
      </c>
      <c r="F68" s="52">
        <f t="shared" si="15"/>
        <v>0</v>
      </c>
      <c r="G68" s="52">
        <f t="shared" si="16"/>
        <v>0</v>
      </c>
      <c r="H68" s="52">
        <f t="shared" si="17"/>
        <v>0</v>
      </c>
      <c r="I68" s="52">
        <f t="shared" si="18"/>
        <v>0</v>
      </c>
      <c r="J68" s="52">
        <f t="shared" si="19"/>
        <v>0</v>
      </c>
      <c r="K68" s="52">
        <f t="shared" si="20"/>
        <v>0</v>
      </c>
      <c r="L68" s="52" t="str">
        <f t="array" ref="L68">IF(A68="","",SUMPRODUCT((A$2:A$200&lt;&gt;"")*((F$2:F$200*I68+G$2:G$200*J68+H$2:H$200*K68)&gt;0)*((F68*I$2:I$200+G68*J$2:J$200+H68*K$2:K$200)&gt;0))-IF(F68*I68+G68*J68+H68*K68&gt;0,1,0))</f>
        <v/>
      </c>
      <c r="M68" s="52" t="str">
        <f t="shared" si="21"/>
        <v/>
      </c>
      <c r="N68" s="52"/>
      <c r="O68" s="52"/>
      <c r="P68" s="52"/>
    </row>
    <row r="69" spans="1:16" x14ac:dyDescent="0.35">
      <c r="A69" s="52" t="str">
        <f>IF('Mii List'!A69="","",'Mii List'!A69)</f>
        <v/>
      </c>
      <c r="B69" s="52" t="str">
        <f>IF(A69="","",'Mii List'!B69)</f>
        <v/>
      </c>
      <c r="C69" s="52" t="str">
        <f>IF(A69="","",'Mii List'!C69)</f>
        <v/>
      </c>
      <c r="D69" s="52" t="str">
        <f>IF(A69="","",'Mii List'!D69)</f>
        <v/>
      </c>
      <c r="E69" s="52" t="str">
        <f>IF(A69="","",'Mii List'!E69)</f>
        <v/>
      </c>
      <c r="F69" s="52">
        <f t="shared" si="15"/>
        <v>0</v>
      </c>
      <c r="G69" s="52">
        <f t="shared" si="16"/>
        <v>0</v>
      </c>
      <c r="H69" s="52">
        <f t="shared" si="17"/>
        <v>0</v>
      </c>
      <c r="I69" s="52">
        <f t="shared" si="18"/>
        <v>0</v>
      </c>
      <c r="J69" s="52">
        <f t="shared" si="19"/>
        <v>0</v>
      </c>
      <c r="K69" s="52">
        <f t="shared" si="20"/>
        <v>0</v>
      </c>
      <c r="L69" s="52" t="str">
        <f t="array" ref="L69">IF(A69="","",SUMPRODUCT((A$2:A$200&lt;&gt;"")*((F$2:F$200*I69+G$2:G$200*J69+H$2:H$200*K69)&gt;0)*((F69*I$2:I$200+G69*J$2:J$200+H69*K$2:K$200)&gt;0))-IF(F69*I69+G69*J69+H69*K69&gt;0,1,0))</f>
        <v/>
      </c>
      <c r="M69" s="52" t="str">
        <f t="shared" si="21"/>
        <v/>
      </c>
      <c r="N69" s="52"/>
      <c r="O69" s="52"/>
      <c r="P69" s="52"/>
    </row>
    <row r="70" spans="1:16" x14ac:dyDescent="0.35">
      <c r="A70" s="52" t="str">
        <f>IF('Mii List'!A70="","",'Mii List'!A70)</f>
        <v/>
      </c>
      <c r="B70" s="52" t="str">
        <f>IF(A70="","",'Mii List'!B70)</f>
        <v/>
      </c>
      <c r="C70" s="52" t="str">
        <f>IF(A70="","",'Mii List'!C70)</f>
        <v/>
      </c>
      <c r="D70" s="52" t="str">
        <f>IF(A70="","",'Mii List'!D70)</f>
        <v/>
      </c>
      <c r="E70" s="52" t="str">
        <f>IF(A70="","",'Mii List'!E70)</f>
        <v/>
      </c>
      <c r="F70" s="52">
        <f t="shared" si="15"/>
        <v>0</v>
      </c>
      <c r="G70" s="52">
        <f t="shared" si="16"/>
        <v>0</v>
      </c>
      <c r="H70" s="52">
        <f t="shared" si="17"/>
        <v>0</v>
      </c>
      <c r="I70" s="52">
        <f t="shared" si="18"/>
        <v>0</v>
      </c>
      <c r="J70" s="52">
        <f t="shared" si="19"/>
        <v>0</v>
      </c>
      <c r="K70" s="52">
        <f t="shared" si="20"/>
        <v>0</v>
      </c>
      <c r="L70" s="52" t="str">
        <f t="array" ref="L70">IF(A70="","",SUMPRODUCT((A$2:A$200&lt;&gt;"")*((F$2:F$200*I70+G$2:G$200*J70+H$2:H$200*K70)&gt;0)*((F70*I$2:I$200+G70*J$2:J$200+H70*K$2:K$200)&gt;0))-IF(F70*I70+G70*J70+H70*K70&gt;0,1,0))</f>
        <v/>
      </c>
      <c r="M70" s="52" t="str">
        <f t="shared" si="21"/>
        <v/>
      </c>
      <c r="N70" s="52"/>
      <c r="O70" s="52"/>
      <c r="P70" s="52"/>
    </row>
    <row r="71" spans="1:16" x14ac:dyDescent="0.35">
      <c r="A71" s="52" t="str">
        <f>IF('Mii List'!A71="","",'Mii List'!A71)</f>
        <v/>
      </c>
      <c r="B71" s="52" t="str">
        <f>IF(A71="","",'Mii List'!B71)</f>
        <v/>
      </c>
      <c r="C71" s="52" t="str">
        <f>IF(A71="","",'Mii List'!C71)</f>
        <v/>
      </c>
      <c r="D71" s="52" t="str">
        <f>IF(A71="","",'Mii List'!D71)</f>
        <v/>
      </c>
      <c r="E71" s="52" t="str">
        <f>IF(A71="","",'Mii List'!E71)</f>
        <v/>
      </c>
      <c r="F71" s="52">
        <f t="shared" si="15"/>
        <v>0</v>
      </c>
      <c r="G71" s="52">
        <f t="shared" si="16"/>
        <v>0</v>
      </c>
      <c r="H71" s="52">
        <f t="shared" si="17"/>
        <v>0</v>
      </c>
      <c r="I71" s="52">
        <f t="shared" si="18"/>
        <v>0</v>
      </c>
      <c r="J71" s="52">
        <f t="shared" si="19"/>
        <v>0</v>
      </c>
      <c r="K71" s="52">
        <f t="shared" si="20"/>
        <v>0</v>
      </c>
      <c r="L71" s="52" t="str">
        <f t="array" ref="L71">IF(A71="","",SUMPRODUCT((A$2:A$200&lt;&gt;"")*((F$2:F$200*I71+G$2:G$200*J71+H$2:H$200*K71)&gt;0)*((F71*I$2:I$200+G71*J$2:J$200+H71*K$2:K$200)&gt;0))-IF(F71*I71+G71*J71+H71*K71&gt;0,1,0))</f>
        <v/>
      </c>
      <c r="M71" s="52" t="str">
        <f t="shared" si="21"/>
        <v/>
      </c>
      <c r="N71" s="52"/>
      <c r="O71" s="52"/>
      <c r="P71" s="52"/>
    </row>
    <row r="72" spans="1:16" x14ac:dyDescent="0.35">
      <c r="A72" s="52" t="str">
        <f>IF('Mii List'!A72="","",'Mii List'!A72)</f>
        <v/>
      </c>
      <c r="B72" s="52" t="str">
        <f>IF(A72="","",'Mii List'!B72)</f>
        <v/>
      </c>
      <c r="C72" s="52" t="str">
        <f>IF(A72="","",'Mii List'!C72)</f>
        <v/>
      </c>
      <c r="D72" s="52" t="str">
        <f>IF(A72="","",'Mii List'!D72)</f>
        <v/>
      </c>
      <c r="E72" s="52" t="str">
        <f>IF(A72="","",'Mii List'!E72)</f>
        <v/>
      </c>
      <c r="F72" s="52">
        <f t="shared" si="15"/>
        <v>0</v>
      </c>
      <c r="G72" s="52">
        <f t="shared" si="16"/>
        <v>0</v>
      </c>
      <c r="H72" s="52">
        <f t="shared" si="17"/>
        <v>0</v>
      </c>
      <c r="I72" s="52">
        <f t="shared" si="18"/>
        <v>0</v>
      </c>
      <c r="J72" s="52">
        <f t="shared" si="19"/>
        <v>0</v>
      </c>
      <c r="K72" s="52">
        <f t="shared" si="20"/>
        <v>0</v>
      </c>
      <c r="L72" s="52" t="str">
        <f t="array" ref="L72">IF(A72="","",SUMPRODUCT((A$2:A$200&lt;&gt;"")*((F$2:F$200*I72+G$2:G$200*J72+H$2:H$200*K72)&gt;0)*((F72*I$2:I$200+G72*J$2:J$200+H72*K$2:K$200)&gt;0))-IF(F72*I72+G72*J72+H72*K72&gt;0,1,0))</f>
        <v/>
      </c>
      <c r="M72" s="52" t="str">
        <f t="shared" si="21"/>
        <v/>
      </c>
      <c r="N72" s="52"/>
      <c r="O72" s="52"/>
      <c r="P72" s="52"/>
    </row>
    <row r="73" spans="1:16" x14ac:dyDescent="0.35">
      <c r="A73" s="52" t="str">
        <f>IF('Mii List'!A73="","",'Mii List'!A73)</f>
        <v/>
      </c>
      <c r="B73" s="52" t="str">
        <f>IF(A73="","",'Mii List'!B73)</f>
        <v/>
      </c>
      <c r="C73" s="52" t="str">
        <f>IF(A73="","",'Mii List'!C73)</f>
        <v/>
      </c>
      <c r="D73" s="52" t="str">
        <f>IF(A73="","",'Mii List'!D73)</f>
        <v/>
      </c>
      <c r="E73" s="52" t="str">
        <f>IF(A73="","",'Mii List'!E73)</f>
        <v/>
      </c>
      <c r="F73" s="52">
        <f t="shared" si="15"/>
        <v>0</v>
      </c>
      <c r="G73" s="52">
        <f t="shared" si="16"/>
        <v>0</v>
      </c>
      <c r="H73" s="52">
        <f t="shared" si="17"/>
        <v>0</v>
      </c>
      <c r="I73" s="52">
        <f t="shared" si="18"/>
        <v>0</v>
      </c>
      <c r="J73" s="52">
        <f t="shared" si="19"/>
        <v>0</v>
      </c>
      <c r="K73" s="52">
        <f t="shared" si="20"/>
        <v>0</v>
      </c>
      <c r="L73" s="52" t="str">
        <f t="array" ref="L73">IF(A73="","",SUMPRODUCT((A$2:A$200&lt;&gt;"")*((F$2:F$200*I73+G$2:G$200*J73+H$2:H$200*K73)&gt;0)*((F73*I$2:I$200+G73*J$2:J$200+H73*K$2:K$200)&gt;0))-IF(F73*I73+G73*J73+H73*K73&gt;0,1,0))</f>
        <v/>
      </c>
      <c r="M73" s="52" t="str">
        <f t="shared" si="21"/>
        <v/>
      </c>
      <c r="N73" s="52"/>
      <c r="O73" s="52"/>
      <c r="P73" s="52"/>
    </row>
    <row r="74" spans="1:16" x14ac:dyDescent="0.35">
      <c r="A74" s="52" t="str">
        <f>IF('Mii List'!A74="","",'Mii List'!A74)</f>
        <v/>
      </c>
      <c r="B74" s="52" t="str">
        <f>IF(A74="","",'Mii List'!B74)</f>
        <v/>
      </c>
      <c r="C74" s="52" t="str">
        <f>IF(A74="","",'Mii List'!C74)</f>
        <v/>
      </c>
      <c r="D74" s="52" t="str">
        <f>IF(A74="","",'Mii List'!D74)</f>
        <v/>
      </c>
      <c r="E74" s="52" t="str">
        <f>IF(A74="","",'Mii List'!E74)</f>
        <v/>
      </c>
      <c r="F74" s="52">
        <f t="shared" si="15"/>
        <v>0</v>
      </c>
      <c r="G74" s="52">
        <f t="shared" si="16"/>
        <v>0</v>
      </c>
      <c r="H74" s="52">
        <f t="shared" si="17"/>
        <v>0</v>
      </c>
      <c r="I74" s="52">
        <f t="shared" si="18"/>
        <v>0</v>
      </c>
      <c r="J74" s="52">
        <f t="shared" si="19"/>
        <v>0</v>
      </c>
      <c r="K74" s="52">
        <f t="shared" si="20"/>
        <v>0</v>
      </c>
      <c r="L74" s="52" t="str">
        <f t="array" ref="L74">IF(A74="","",SUMPRODUCT((A$2:A$200&lt;&gt;"")*((F$2:F$200*I74+G$2:G$200*J74+H$2:H$200*K74)&gt;0)*((F74*I$2:I$200+G74*J$2:J$200+H74*K$2:K$200)&gt;0))-IF(F74*I74+G74*J74+H74*K74&gt;0,1,0))</f>
        <v/>
      </c>
      <c r="M74" s="52" t="str">
        <f t="shared" si="21"/>
        <v/>
      </c>
      <c r="N74" s="52"/>
      <c r="O74" s="52"/>
      <c r="P74" s="52"/>
    </row>
    <row r="75" spans="1:16" x14ac:dyDescent="0.35">
      <c r="A75" s="52" t="str">
        <f>IF('Mii List'!A75="","",'Mii List'!A75)</f>
        <v/>
      </c>
      <c r="B75" s="52" t="str">
        <f>IF(A75="","",'Mii List'!B75)</f>
        <v/>
      </c>
      <c r="C75" s="52" t="str">
        <f>IF(A75="","",'Mii List'!C75)</f>
        <v/>
      </c>
      <c r="D75" s="52" t="str">
        <f>IF(A75="","",'Mii List'!D75)</f>
        <v/>
      </c>
      <c r="E75" s="52" t="str">
        <f>IF(A75="","",'Mii List'!E75)</f>
        <v/>
      </c>
      <c r="F75" s="52">
        <f t="shared" si="15"/>
        <v>0</v>
      </c>
      <c r="G75" s="52">
        <f t="shared" si="16"/>
        <v>0</v>
      </c>
      <c r="H75" s="52">
        <f t="shared" si="17"/>
        <v>0</v>
      </c>
      <c r="I75" s="52">
        <f t="shared" si="18"/>
        <v>0</v>
      </c>
      <c r="J75" s="52">
        <f t="shared" si="19"/>
        <v>0</v>
      </c>
      <c r="K75" s="52">
        <f t="shared" si="20"/>
        <v>0</v>
      </c>
      <c r="L75" s="52" t="str">
        <f t="array" ref="L75">IF(A75="","",SUMPRODUCT((A$2:A$200&lt;&gt;"")*((F$2:F$200*I75+G$2:G$200*J75+H$2:H$200*K75)&gt;0)*((F75*I$2:I$200+G75*J$2:J$200+H75*K$2:K$200)&gt;0))-IF(F75*I75+G75*J75+H75*K75&gt;0,1,0))</f>
        <v/>
      </c>
      <c r="M75" s="52" t="str">
        <f t="shared" si="21"/>
        <v/>
      </c>
      <c r="N75" s="52"/>
      <c r="O75" s="52"/>
      <c r="P75" s="52"/>
    </row>
    <row r="76" spans="1:16" x14ac:dyDescent="0.35">
      <c r="A76" s="52" t="str">
        <f>IF('Mii List'!A76="","",'Mii List'!A76)</f>
        <v/>
      </c>
      <c r="B76" s="52" t="str">
        <f>IF(A76="","",'Mii List'!B76)</f>
        <v/>
      </c>
      <c r="C76" s="52" t="str">
        <f>IF(A76="","",'Mii List'!C76)</f>
        <v/>
      </c>
      <c r="D76" s="52" t="str">
        <f>IF(A76="","",'Mii List'!D76)</f>
        <v/>
      </c>
      <c r="E76" s="52" t="str">
        <f>IF(A76="","",'Mii List'!E76)</f>
        <v/>
      </c>
      <c r="F76" s="52">
        <f t="shared" si="15"/>
        <v>0</v>
      </c>
      <c r="G76" s="52">
        <f t="shared" si="16"/>
        <v>0</v>
      </c>
      <c r="H76" s="52">
        <f t="shared" si="17"/>
        <v>0</v>
      </c>
      <c r="I76" s="52">
        <f t="shared" si="18"/>
        <v>0</v>
      </c>
      <c r="J76" s="52">
        <f t="shared" si="19"/>
        <v>0</v>
      </c>
      <c r="K76" s="52">
        <f t="shared" si="20"/>
        <v>0</v>
      </c>
      <c r="L76" s="52" t="str">
        <f t="array" ref="L76">IF(A76="","",SUMPRODUCT((A$2:A$200&lt;&gt;"")*((F$2:F$200*I76+G$2:G$200*J76+H$2:H$200*K76)&gt;0)*((F76*I$2:I$200+G76*J$2:J$200+H76*K$2:K$200)&gt;0))-IF(F76*I76+G76*J76+H76*K76&gt;0,1,0))</f>
        <v/>
      </c>
      <c r="M76" s="52" t="str">
        <f t="shared" si="21"/>
        <v/>
      </c>
      <c r="N76" s="52"/>
      <c r="O76" s="52"/>
      <c r="P76" s="52"/>
    </row>
    <row r="77" spans="1:16" x14ac:dyDescent="0.35">
      <c r="A77" s="52" t="str">
        <f>IF('Mii List'!A77="","",'Mii List'!A77)</f>
        <v/>
      </c>
      <c r="B77" s="52" t="str">
        <f>IF(A77="","",'Mii List'!B77)</f>
        <v/>
      </c>
      <c r="C77" s="52" t="str">
        <f>IF(A77="","",'Mii List'!C77)</f>
        <v/>
      </c>
      <c r="D77" s="52" t="str">
        <f>IF(A77="","",'Mii List'!D77)</f>
        <v/>
      </c>
      <c r="E77" s="52" t="str">
        <f>IF(A77="","",'Mii List'!E77)</f>
        <v/>
      </c>
      <c r="F77" s="52">
        <f t="shared" si="15"/>
        <v>0</v>
      </c>
      <c r="G77" s="52">
        <f t="shared" si="16"/>
        <v>0</v>
      </c>
      <c r="H77" s="52">
        <f t="shared" si="17"/>
        <v>0</v>
      </c>
      <c r="I77" s="52">
        <f t="shared" si="18"/>
        <v>0</v>
      </c>
      <c r="J77" s="52">
        <f t="shared" si="19"/>
        <v>0</v>
      </c>
      <c r="K77" s="52">
        <f t="shared" si="20"/>
        <v>0</v>
      </c>
      <c r="L77" s="52" t="str">
        <f t="array" ref="L77">IF(A77="","",SUMPRODUCT((A$2:A$200&lt;&gt;"")*((F$2:F$200*I77+G$2:G$200*J77+H$2:H$200*K77)&gt;0)*((F77*I$2:I$200+G77*J$2:J$200+H77*K$2:K$200)&gt;0))-IF(F77*I77+G77*J77+H77*K77&gt;0,1,0))</f>
        <v/>
      </c>
      <c r="M77" s="52" t="str">
        <f t="shared" si="21"/>
        <v/>
      </c>
      <c r="N77" s="52"/>
      <c r="O77" s="52"/>
      <c r="P77" s="52"/>
    </row>
    <row r="78" spans="1:16" x14ac:dyDescent="0.35">
      <c r="A78" s="52" t="str">
        <f>IF('Mii List'!A78="","",'Mii List'!A78)</f>
        <v/>
      </c>
      <c r="B78" s="52" t="str">
        <f>IF(A78="","",'Mii List'!B78)</f>
        <v/>
      </c>
      <c r="C78" s="52" t="str">
        <f>IF(A78="","",'Mii List'!C78)</f>
        <v/>
      </c>
      <c r="D78" s="52" t="str">
        <f>IF(A78="","",'Mii List'!D78)</f>
        <v/>
      </c>
      <c r="E78" s="52" t="str">
        <f>IF(A78="","",'Mii List'!E78)</f>
        <v/>
      </c>
      <c r="F78" s="52">
        <f t="shared" si="15"/>
        <v>0</v>
      </c>
      <c r="G78" s="52">
        <f t="shared" si="16"/>
        <v>0</v>
      </c>
      <c r="H78" s="52">
        <f t="shared" si="17"/>
        <v>0</v>
      </c>
      <c r="I78" s="52">
        <f t="shared" si="18"/>
        <v>0</v>
      </c>
      <c r="J78" s="52">
        <f t="shared" si="19"/>
        <v>0</v>
      </c>
      <c r="K78" s="52">
        <f t="shared" si="20"/>
        <v>0</v>
      </c>
      <c r="L78" s="52" t="str">
        <f t="array" ref="L78">IF(A78="","",SUMPRODUCT((A$2:A$200&lt;&gt;"")*((F$2:F$200*I78+G$2:G$200*J78+H$2:H$200*K78)&gt;0)*((F78*I$2:I$200+G78*J$2:J$200+H78*K$2:K$200)&gt;0))-IF(F78*I78+G78*J78+H78*K78&gt;0,1,0))</f>
        <v/>
      </c>
      <c r="M78" s="52" t="str">
        <f t="shared" si="21"/>
        <v/>
      </c>
      <c r="N78" s="52"/>
      <c r="O78" s="52"/>
      <c r="P78" s="52"/>
    </row>
    <row r="79" spans="1:16" x14ac:dyDescent="0.35">
      <c r="A79" s="52" t="str">
        <f>IF('Mii List'!A79="","",'Mii List'!A79)</f>
        <v/>
      </c>
      <c r="B79" s="52" t="str">
        <f>IF(A79="","",'Mii List'!B79)</f>
        <v/>
      </c>
      <c r="C79" s="52" t="str">
        <f>IF(A79="","",'Mii List'!C79)</f>
        <v/>
      </c>
      <c r="D79" s="52" t="str">
        <f>IF(A79="","",'Mii List'!D79)</f>
        <v/>
      </c>
      <c r="E79" s="52" t="str">
        <f>IF(A79="","",'Mii List'!E79)</f>
        <v/>
      </c>
      <c r="F79" s="52">
        <f t="shared" si="15"/>
        <v>0</v>
      </c>
      <c r="G79" s="52">
        <f t="shared" si="16"/>
        <v>0</v>
      </c>
      <c r="H79" s="52">
        <f t="shared" si="17"/>
        <v>0</v>
      </c>
      <c r="I79" s="52">
        <f t="shared" si="18"/>
        <v>0</v>
      </c>
      <c r="J79" s="52">
        <f t="shared" si="19"/>
        <v>0</v>
      </c>
      <c r="K79" s="52">
        <f t="shared" si="20"/>
        <v>0</v>
      </c>
      <c r="L79" s="52" t="str">
        <f t="array" ref="L79">IF(A79="","",SUMPRODUCT((A$2:A$200&lt;&gt;"")*((F$2:F$200*I79+G$2:G$200*J79+H$2:H$200*K79)&gt;0)*((F79*I$2:I$200+G79*J$2:J$200+H79*K$2:K$200)&gt;0))-IF(F79*I79+G79*J79+H79*K79&gt;0,1,0))</f>
        <v/>
      </c>
      <c r="M79" s="52" t="str">
        <f t="shared" si="21"/>
        <v/>
      </c>
      <c r="N79" s="52"/>
      <c r="O79" s="52"/>
      <c r="P79" s="52"/>
    </row>
    <row r="80" spans="1:16" x14ac:dyDescent="0.35">
      <c r="A80" s="52" t="str">
        <f>IF('Mii List'!A80="","",'Mii List'!A80)</f>
        <v/>
      </c>
      <c r="B80" s="52" t="str">
        <f>IF(A80="","",'Mii List'!B80)</f>
        <v/>
      </c>
      <c r="C80" s="52" t="str">
        <f>IF(A80="","",'Mii List'!C80)</f>
        <v/>
      </c>
      <c r="D80" s="52" t="str">
        <f>IF(A80="","",'Mii List'!D80)</f>
        <v/>
      </c>
      <c r="E80" s="52" t="str">
        <f>IF(A80="","",'Mii List'!E80)</f>
        <v/>
      </c>
      <c r="F80" s="52">
        <f t="shared" si="15"/>
        <v>0</v>
      </c>
      <c r="G80" s="52">
        <f t="shared" si="16"/>
        <v>0</v>
      </c>
      <c r="H80" s="52">
        <f t="shared" si="17"/>
        <v>0</v>
      </c>
      <c r="I80" s="52">
        <f t="shared" si="18"/>
        <v>0</v>
      </c>
      <c r="J80" s="52">
        <f t="shared" si="19"/>
        <v>0</v>
      </c>
      <c r="K80" s="52">
        <f t="shared" si="20"/>
        <v>0</v>
      </c>
      <c r="L80" s="52" t="str">
        <f t="array" ref="L80">IF(A80="","",SUMPRODUCT((A$2:A$200&lt;&gt;"")*((F$2:F$200*I80+G$2:G$200*J80+H$2:H$200*K80)&gt;0)*((F80*I$2:I$200+G80*J$2:J$200+H80*K$2:K$200)&gt;0))-IF(F80*I80+G80*J80+H80*K80&gt;0,1,0))</f>
        <v/>
      </c>
      <c r="M80" s="52" t="str">
        <f t="shared" si="21"/>
        <v/>
      </c>
      <c r="N80" s="52"/>
      <c r="O80" s="52"/>
      <c r="P80" s="52"/>
    </row>
    <row r="81" spans="1:16" x14ac:dyDescent="0.35">
      <c r="A81" s="52" t="str">
        <f>IF('Mii List'!A81="","",'Mii List'!A81)</f>
        <v/>
      </c>
      <c r="B81" s="52" t="str">
        <f>IF(A81="","",'Mii List'!B81)</f>
        <v/>
      </c>
      <c r="C81" s="52" t="str">
        <f>IF(A81="","",'Mii List'!C81)</f>
        <v/>
      </c>
      <c r="D81" s="52" t="str">
        <f>IF(A81="","",'Mii List'!D81)</f>
        <v/>
      </c>
      <c r="E81" s="52" t="str">
        <f>IF(A81="","",'Mii List'!E81)</f>
        <v/>
      </c>
      <c r="F81" s="52">
        <f t="shared" si="15"/>
        <v>0</v>
      </c>
      <c r="G81" s="52">
        <f t="shared" si="16"/>
        <v>0</v>
      </c>
      <c r="H81" s="52">
        <f t="shared" si="17"/>
        <v>0</v>
      </c>
      <c r="I81" s="52">
        <f t="shared" si="18"/>
        <v>0</v>
      </c>
      <c r="J81" s="52">
        <f t="shared" si="19"/>
        <v>0</v>
      </c>
      <c r="K81" s="52">
        <f t="shared" si="20"/>
        <v>0</v>
      </c>
      <c r="L81" s="52" t="str">
        <f t="array" ref="L81">IF(A81="","",SUMPRODUCT((A$2:A$200&lt;&gt;"")*((F$2:F$200*I81+G$2:G$200*J81+H$2:H$200*K81)&gt;0)*((F81*I$2:I$200+G81*J$2:J$200+H81*K$2:K$200)&gt;0))-IF(F81*I81+G81*J81+H81*K81&gt;0,1,0))</f>
        <v/>
      </c>
      <c r="M81" s="52" t="str">
        <f t="shared" si="21"/>
        <v/>
      </c>
      <c r="N81" s="52"/>
      <c r="O81" s="52"/>
      <c r="P81" s="52"/>
    </row>
    <row r="82" spans="1:16" x14ac:dyDescent="0.35">
      <c r="A82" s="52" t="str">
        <f>IF('Mii List'!A82="","",'Mii List'!A82)</f>
        <v/>
      </c>
      <c r="B82" s="52" t="str">
        <f>IF(A82="","",'Mii List'!B82)</f>
        <v/>
      </c>
      <c r="C82" s="52" t="str">
        <f>IF(A82="","",'Mii List'!C82)</f>
        <v/>
      </c>
      <c r="D82" s="52" t="str">
        <f>IF(A82="","",'Mii List'!D82)</f>
        <v/>
      </c>
      <c r="E82" s="52" t="str">
        <f>IF(A82="","",'Mii List'!E82)</f>
        <v/>
      </c>
      <c r="F82" s="52">
        <f t="shared" si="15"/>
        <v>0</v>
      </c>
      <c r="G82" s="52">
        <f t="shared" si="16"/>
        <v>0</v>
      </c>
      <c r="H82" s="52">
        <f t="shared" si="17"/>
        <v>0</v>
      </c>
      <c r="I82" s="52">
        <f t="shared" si="18"/>
        <v>0</v>
      </c>
      <c r="J82" s="52">
        <f t="shared" si="19"/>
        <v>0</v>
      </c>
      <c r="K82" s="52">
        <f t="shared" si="20"/>
        <v>0</v>
      </c>
      <c r="L82" s="52" t="str">
        <f t="array" ref="L82">IF(A82="","",SUMPRODUCT((A$2:A$200&lt;&gt;"")*((F$2:F$200*I82+G$2:G$200*J82+H$2:H$200*K82)&gt;0)*((F82*I$2:I$200+G82*J$2:J$200+H82*K$2:K$200)&gt;0))-IF(F82*I82+G82*J82+H82*K82&gt;0,1,0))</f>
        <v/>
      </c>
      <c r="M82" s="52" t="str">
        <f t="shared" si="21"/>
        <v/>
      </c>
      <c r="N82" s="52"/>
      <c r="O82" s="52"/>
      <c r="P82" s="52"/>
    </row>
    <row r="83" spans="1:16" x14ac:dyDescent="0.35">
      <c r="A83" s="52" t="str">
        <f>IF('Mii List'!A83="","",'Mii List'!A83)</f>
        <v/>
      </c>
      <c r="B83" s="52" t="str">
        <f>IF(A83="","",'Mii List'!B83)</f>
        <v/>
      </c>
      <c r="C83" s="52" t="str">
        <f>IF(A83="","",'Mii List'!C83)</f>
        <v/>
      </c>
      <c r="D83" s="52" t="str">
        <f>IF(A83="","",'Mii List'!D83)</f>
        <v/>
      </c>
      <c r="E83" s="52" t="str">
        <f>IF(A83="","",'Mii List'!E83)</f>
        <v/>
      </c>
      <c r="F83" s="52">
        <f t="shared" si="15"/>
        <v>0</v>
      </c>
      <c r="G83" s="52">
        <f t="shared" si="16"/>
        <v>0</v>
      </c>
      <c r="H83" s="52">
        <f t="shared" si="17"/>
        <v>0</v>
      </c>
      <c r="I83" s="52">
        <f t="shared" si="18"/>
        <v>0</v>
      </c>
      <c r="J83" s="52">
        <f t="shared" si="19"/>
        <v>0</v>
      </c>
      <c r="K83" s="52">
        <f t="shared" si="20"/>
        <v>0</v>
      </c>
      <c r="L83" s="52" t="str">
        <f t="array" ref="L83">IF(A83="","",SUMPRODUCT((A$2:A$200&lt;&gt;"")*((F$2:F$200*I83+G$2:G$200*J83+H$2:H$200*K83)&gt;0)*((F83*I$2:I$200+G83*J$2:J$200+H83*K$2:K$200)&gt;0))-IF(F83*I83+G83*J83+H83*K83&gt;0,1,0))</f>
        <v/>
      </c>
      <c r="M83" s="52" t="str">
        <f t="shared" si="21"/>
        <v/>
      </c>
      <c r="N83" s="52"/>
      <c r="O83" s="52"/>
      <c r="P83" s="52"/>
    </row>
    <row r="84" spans="1:16" x14ac:dyDescent="0.35">
      <c r="A84" s="52" t="str">
        <f>IF('Mii List'!A84="","",'Mii List'!A84)</f>
        <v/>
      </c>
      <c r="B84" s="52" t="str">
        <f>IF(A84="","",'Mii List'!B84)</f>
        <v/>
      </c>
      <c r="C84" s="52" t="str">
        <f>IF(A84="","",'Mii List'!C84)</f>
        <v/>
      </c>
      <c r="D84" s="52" t="str">
        <f>IF(A84="","",'Mii List'!D84)</f>
        <v/>
      </c>
      <c r="E84" s="52" t="str">
        <f>IF(A84="","",'Mii List'!E84)</f>
        <v/>
      </c>
      <c r="F84" s="52">
        <f t="shared" si="15"/>
        <v>0</v>
      </c>
      <c r="G84" s="52">
        <f t="shared" si="16"/>
        <v>0</v>
      </c>
      <c r="H84" s="52">
        <f t="shared" si="17"/>
        <v>0</v>
      </c>
      <c r="I84" s="52">
        <f t="shared" si="18"/>
        <v>0</v>
      </c>
      <c r="J84" s="52">
        <f t="shared" si="19"/>
        <v>0</v>
      </c>
      <c r="K84" s="52">
        <f t="shared" si="20"/>
        <v>0</v>
      </c>
      <c r="L84" s="52" t="str">
        <f t="array" ref="L84">IF(A84="","",SUMPRODUCT((A$2:A$200&lt;&gt;"")*((F$2:F$200*I84+G$2:G$200*J84+H$2:H$200*K84)&gt;0)*((F84*I$2:I$200+G84*J$2:J$200+H84*K$2:K$200)&gt;0))-IF(F84*I84+G84*J84+H84*K84&gt;0,1,0))</f>
        <v/>
      </c>
      <c r="M84" s="52" t="str">
        <f t="shared" si="21"/>
        <v/>
      </c>
      <c r="N84" s="52"/>
      <c r="O84" s="52"/>
      <c r="P84" s="52"/>
    </row>
    <row r="85" spans="1:16" x14ac:dyDescent="0.35">
      <c r="A85" s="52" t="str">
        <f>IF('Mii List'!A85="","",'Mii List'!A85)</f>
        <v/>
      </c>
      <c r="B85" s="52" t="str">
        <f>IF(A85="","",'Mii List'!B85)</f>
        <v/>
      </c>
      <c r="C85" s="52" t="str">
        <f>IF(A85="","",'Mii List'!C85)</f>
        <v/>
      </c>
      <c r="D85" s="52" t="str">
        <f>IF(A85="","",'Mii List'!D85)</f>
        <v/>
      </c>
      <c r="E85" s="52" t="str">
        <f>IF(A85="","",'Mii List'!E85)</f>
        <v/>
      </c>
      <c r="F85" s="52">
        <f t="shared" si="15"/>
        <v>0</v>
      </c>
      <c r="G85" s="52">
        <f t="shared" si="16"/>
        <v>0</v>
      </c>
      <c r="H85" s="52">
        <f t="shared" si="17"/>
        <v>0</v>
      </c>
      <c r="I85" s="52">
        <f t="shared" si="18"/>
        <v>0</v>
      </c>
      <c r="J85" s="52">
        <f t="shared" si="19"/>
        <v>0</v>
      </c>
      <c r="K85" s="52">
        <f t="shared" si="20"/>
        <v>0</v>
      </c>
      <c r="L85" s="52" t="str">
        <f t="array" ref="L85">IF(A85="","",SUMPRODUCT((A$2:A$200&lt;&gt;"")*((F$2:F$200*I85+G$2:G$200*J85+H$2:H$200*K85)&gt;0)*((F85*I$2:I$200+G85*J$2:J$200+H85*K$2:K$200)&gt;0))-IF(F85*I85+G85*J85+H85*K85&gt;0,1,0))</f>
        <v/>
      </c>
      <c r="M85" s="52" t="str">
        <f t="shared" si="21"/>
        <v/>
      </c>
      <c r="N85" s="52"/>
      <c r="O85" s="52"/>
      <c r="P85" s="52"/>
    </row>
    <row r="86" spans="1:16" x14ac:dyDescent="0.35">
      <c r="A86" s="52" t="str">
        <f>IF('Mii List'!A86="","",'Mii List'!A86)</f>
        <v/>
      </c>
      <c r="B86" s="52" t="str">
        <f>IF(A86="","",'Mii List'!B86)</f>
        <v/>
      </c>
      <c r="C86" s="52" t="str">
        <f>IF(A86="","",'Mii List'!C86)</f>
        <v/>
      </c>
      <c r="D86" s="52" t="str">
        <f>IF(A86="","",'Mii List'!D86)</f>
        <v/>
      </c>
      <c r="E86" s="52" t="str">
        <f>IF(A86="","",'Mii List'!E86)</f>
        <v/>
      </c>
      <c r="F86" s="52">
        <f t="shared" si="15"/>
        <v>0</v>
      </c>
      <c r="G86" s="52">
        <f t="shared" si="16"/>
        <v>0</v>
      </c>
      <c r="H86" s="52">
        <f t="shared" si="17"/>
        <v>0</v>
      </c>
      <c r="I86" s="52">
        <f t="shared" si="18"/>
        <v>0</v>
      </c>
      <c r="J86" s="52">
        <f t="shared" si="19"/>
        <v>0</v>
      </c>
      <c r="K86" s="52">
        <f t="shared" si="20"/>
        <v>0</v>
      </c>
      <c r="L86" s="52" t="str">
        <f t="array" ref="L86">IF(A86="","",SUMPRODUCT((A$2:A$200&lt;&gt;"")*((F$2:F$200*I86+G$2:G$200*J86+H$2:H$200*K86)&gt;0)*((F86*I$2:I$200+G86*J$2:J$200+H86*K$2:K$200)&gt;0))-IF(F86*I86+G86*J86+H86*K86&gt;0,1,0))</f>
        <v/>
      </c>
      <c r="M86" s="52" t="str">
        <f t="shared" si="21"/>
        <v/>
      </c>
      <c r="N86" s="52"/>
      <c r="O86" s="52"/>
      <c r="P86" s="52"/>
    </row>
    <row r="87" spans="1:16" x14ac:dyDescent="0.35">
      <c r="A87" s="52" t="str">
        <f>IF('Mii List'!A87="","",'Mii List'!A87)</f>
        <v/>
      </c>
      <c r="B87" s="52" t="str">
        <f>IF(A87="","",'Mii List'!B87)</f>
        <v/>
      </c>
      <c r="C87" s="52" t="str">
        <f>IF(A87="","",'Mii List'!C87)</f>
        <v/>
      </c>
      <c r="D87" s="52" t="str">
        <f>IF(A87="","",'Mii List'!D87)</f>
        <v/>
      </c>
      <c r="E87" s="52" t="str">
        <f>IF(A87="","",'Mii List'!E87)</f>
        <v/>
      </c>
      <c r="F87" s="52">
        <f t="shared" si="15"/>
        <v>0</v>
      </c>
      <c r="G87" s="52">
        <f t="shared" si="16"/>
        <v>0</v>
      </c>
      <c r="H87" s="52">
        <f t="shared" si="17"/>
        <v>0</v>
      </c>
      <c r="I87" s="52">
        <f t="shared" si="18"/>
        <v>0</v>
      </c>
      <c r="J87" s="52">
        <f t="shared" si="19"/>
        <v>0</v>
      </c>
      <c r="K87" s="52">
        <f t="shared" si="20"/>
        <v>0</v>
      </c>
      <c r="L87" s="52" t="str">
        <f t="array" ref="L87">IF(A87="","",SUMPRODUCT((A$2:A$200&lt;&gt;"")*((F$2:F$200*I87+G$2:G$200*J87+H$2:H$200*K87)&gt;0)*((F87*I$2:I$200+G87*J$2:J$200+H87*K$2:K$200)&gt;0))-IF(F87*I87+G87*J87+H87*K87&gt;0,1,0))</f>
        <v/>
      </c>
      <c r="M87" s="52" t="str">
        <f t="shared" si="21"/>
        <v/>
      </c>
      <c r="N87" s="52"/>
      <c r="O87" s="52"/>
      <c r="P87" s="52"/>
    </row>
    <row r="88" spans="1:16" x14ac:dyDescent="0.35">
      <c r="A88" s="52" t="str">
        <f>IF('Mii List'!A88="","",'Mii List'!A88)</f>
        <v/>
      </c>
      <c r="B88" s="52" t="str">
        <f>IF(A88="","",'Mii List'!B88)</f>
        <v/>
      </c>
      <c r="C88" s="52" t="str">
        <f>IF(A88="","",'Mii List'!C88)</f>
        <v/>
      </c>
      <c r="D88" s="52" t="str">
        <f>IF(A88="","",'Mii List'!D88)</f>
        <v/>
      </c>
      <c r="E88" s="52" t="str">
        <f>IF(A88="","",'Mii List'!E88)</f>
        <v/>
      </c>
      <c r="F88" s="52">
        <f t="shared" si="15"/>
        <v>0</v>
      </c>
      <c r="G88" s="52">
        <f t="shared" si="16"/>
        <v>0</v>
      </c>
      <c r="H88" s="52">
        <f t="shared" si="17"/>
        <v>0</v>
      </c>
      <c r="I88" s="52">
        <f t="shared" si="18"/>
        <v>0</v>
      </c>
      <c r="J88" s="52">
        <f t="shared" si="19"/>
        <v>0</v>
      </c>
      <c r="K88" s="52">
        <f t="shared" si="20"/>
        <v>0</v>
      </c>
      <c r="L88" s="52" t="str">
        <f t="array" ref="L88">IF(A88="","",SUMPRODUCT((A$2:A$200&lt;&gt;"")*((F$2:F$200*I88+G$2:G$200*J88+H$2:H$200*K88)&gt;0)*((F88*I$2:I$200+G88*J$2:J$200+H88*K$2:K$200)&gt;0))-IF(F88*I88+G88*J88+H88*K88&gt;0,1,0))</f>
        <v/>
      </c>
      <c r="M88" s="52" t="str">
        <f t="shared" si="21"/>
        <v/>
      </c>
      <c r="N88" s="52"/>
      <c r="O88" s="52"/>
      <c r="P88" s="52"/>
    </row>
    <row r="89" spans="1:16" x14ac:dyDescent="0.35">
      <c r="A89" s="52" t="str">
        <f>IF('Mii List'!A89="","",'Mii List'!A89)</f>
        <v/>
      </c>
      <c r="B89" s="52" t="str">
        <f>IF(A89="","",'Mii List'!B89)</f>
        <v/>
      </c>
      <c r="C89" s="52" t="str">
        <f>IF(A89="","",'Mii List'!C89)</f>
        <v/>
      </c>
      <c r="D89" s="52" t="str">
        <f>IF(A89="","",'Mii List'!D89)</f>
        <v/>
      </c>
      <c r="E89" s="52" t="str">
        <f>IF(A89="","",'Mii List'!E89)</f>
        <v/>
      </c>
      <c r="F89" s="52">
        <f t="shared" si="15"/>
        <v>0</v>
      </c>
      <c r="G89" s="52">
        <f t="shared" si="16"/>
        <v>0</v>
      </c>
      <c r="H89" s="52">
        <f t="shared" si="17"/>
        <v>0</v>
      </c>
      <c r="I89" s="52">
        <f t="shared" si="18"/>
        <v>0</v>
      </c>
      <c r="J89" s="52">
        <f t="shared" si="19"/>
        <v>0</v>
      </c>
      <c r="K89" s="52">
        <f t="shared" si="20"/>
        <v>0</v>
      </c>
      <c r="L89" s="52" t="str">
        <f t="array" ref="L89">IF(A89="","",SUMPRODUCT((A$2:A$200&lt;&gt;"")*((F$2:F$200*I89+G$2:G$200*J89+H$2:H$200*K89)&gt;0)*((F89*I$2:I$200+G89*J$2:J$200+H89*K$2:K$200)&gt;0))-IF(F89*I89+G89*J89+H89*K89&gt;0,1,0))</f>
        <v/>
      </c>
      <c r="M89" s="52" t="str">
        <f t="shared" si="21"/>
        <v/>
      </c>
      <c r="N89" s="52"/>
      <c r="O89" s="52"/>
      <c r="P89" s="52"/>
    </row>
    <row r="90" spans="1:16" x14ac:dyDescent="0.35">
      <c r="A90" s="52" t="str">
        <f>IF('Mii List'!A90="","",'Mii List'!A90)</f>
        <v/>
      </c>
      <c r="B90" s="52" t="str">
        <f>IF(A90="","",'Mii List'!B90)</f>
        <v/>
      </c>
      <c r="C90" s="52" t="str">
        <f>IF(A90="","",'Mii List'!C90)</f>
        <v/>
      </c>
      <c r="D90" s="52" t="str">
        <f>IF(A90="","",'Mii List'!D90)</f>
        <v/>
      </c>
      <c r="E90" s="52" t="str">
        <f>IF(A90="","",'Mii List'!E90)</f>
        <v/>
      </c>
      <c r="F90" s="52">
        <f t="shared" si="15"/>
        <v>0</v>
      </c>
      <c r="G90" s="52">
        <f t="shared" si="16"/>
        <v>0</v>
      </c>
      <c r="H90" s="52">
        <f t="shared" si="17"/>
        <v>0</v>
      </c>
      <c r="I90" s="52">
        <f t="shared" si="18"/>
        <v>0</v>
      </c>
      <c r="J90" s="52">
        <f t="shared" si="19"/>
        <v>0</v>
      </c>
      <c r="K90" s="52">
        <f t="shared" si="20"/>
        <v>0</v>
      </c>
      <c r="L90" s="52" t="str">
        <f t="array" ref="L90">IF(A90="","",SUMPRODUCT((A$2:A$200&lt;&gt;"")*((F$2:F$200*I90+G$2:G$200*J90+H$2:H$200*K90)&gt;0)*((F90*I$2:I$200+G90*J$2:J$200+H90*K$2:K$200)&gt;0))-IF(F90*I90+G90*J90+H90*K90&gt;0,1,0))</f>
        <v/>
      </c>
      <c r="M90" s="52" t="str">
        <f t="shared" si="21"/>
        <v/>
      </c>
      <c r="N90" s="52"/>
      <c r="O90" s="52"/>
      <c r="P90" s="52"/>
    </row>
    <row r="91" spans="1:16" x14ac:dyDescent="0.35">
      <c r="A91" s="52" t="str">
        <f>IF('Mii List'!A91="","",'Mii List'!A91)</f>
        <v/>
      </c>
      <c r="B91" s="52" t="str">
        <f>IF(A91="","",'Mii List'!B91)</f>
        <v/>
      </c>
      <c r="C91" s="52" t="str">
        <f>IF(A91="","",'Mii List'!C91)</f>
        <v/>
      </c>
      <c r="D91" s="52" t="str">
        <f>IF(A91="","",'Mii List'!D91)</f>
        <v/>
      </c>
      <c r="E91" s="52" t="str">
        <f>IF(A91="","",'Mii List'!E91)</f>
        <v/>
      </c>
      <c r="F91" s="52">
        <f t="shared" si="15"/>
        <v>0</v>
      </c>
      <c r="G91" s="52">
        <f t="shared" si="16"/>
        <v>0</v>
      </c>
      <c r="H91" s="52">
        <f t="shared" si="17"/>
        <v>0</v>
      </c>
      <c r="I91" s="52">
        <f t="shared" si="18"/>
        <v>0</v>
      </c>
      <c r="J91" s="52">
        <f t="shared" si="19"/>
        <v>0</v>
      </c>
      <c r="K91" s="52">
        <f t="shared" si="20"/>
        <v>0</v>
      </c>
      <c r="L91" s="52" t="str">
        <f t="array" ref="L91">IF(A91="","",SUMPRODUCT((A$2:A$200&lt;&gt;"")*((F$2:F$200*I91+G$2:G$200*J91+H$2:H$200*K91)&gt;0)*((F91*I$2:I$200+G91*J$2:J$200+H91*K$2:K$200)&gt;0))-IF(F91*I91+G91*J91+H91*K91&gt;0,1,0))</f>
        <v/>
      </c>
      <c r="M91" s="52" t="str">
        <f t="shared" si="21"/>
        <v/>
      </c>
      <c r="N91" s="52"/>
      <c r="O91" s="52"/>
      <c r="P91" s="52"/>
    </row>
    <row r="92" spans="1:16" x14ac:dyDescent="0.35">
      <c r="A92" s="52" t="str">
        <f>IF('Mii List'!A92="","",'Mii List'!A92)</f>
        <v/>
      </c>
      <c r="B92" s="52" t="str">
        <f>IF(A92="","",'Mii List'!B92)</f>
        <v/>
      </c>
      <c r="C92" s="52" t="str">
        <f>IF(A92="","",'Mii List'!C92)</f>
        <v/>
      </c>
      <c r="D92" s="52" t="str">
        <f>IF(A92="","",'Mii List'!D92)</f>
        <v/>
      </c>
      <c r="E92" s="52" t="str">
        <f>IF(A92="","",'Mii List'!E92)</f>
        <v/>
      </c>
      <c r="F92" s="52">
        <f t="shared" si="15"/>
        <v>0</v>
      </c>
      <c r="G92" s="52">
        <f t="shared" si="16"/>
        <v>0</v>
      </c>
      <c r="H92" s="52">
        <f t="shared" si="17"/>
        <v>0</v>
      </c>
      <c r="I92" s="52">
        <f t="shared" si="18"/>
        <v>0</v>
      </c>
      <c r="J92" s="52">
        <f t="shared" si="19"/>
        <v>0</v>
      </c>
      <c r="K92" s="52">
        <f t="shared" si="20"/>
        <v>0</v>
      </c>
      <c r="L92" s="52" t="str">
        <f t="array" ref="L92">IF(A92="","",SUMPRODUCT((A$2:A$200&lt;&gt;"")*((F$2:F$200*I92+G$2:G$200*J92+H$2:H$200*K92)&gt;0)*((F92*I$2:I$200+G92*J$2:J$200+H92*K$2:K$200)&gt;0))-IF(F92*I92+G92*J92+H92*K92&gt;0,1,0))</f>
        <v/>
      </c>
      <c r="M92" s="52" t="str">
        <f t="shared" si="21"/>
        <v/>
      </c>
      <c r="N92" s="52"/>
      <c r="O92" s="52"/>
      <c r="P92" s="52"/>
    </row>
    <row r="93" spans="1:16" x14ac:dyDescent="0.35">
      <c r="A93" s="52" t="str">
        <f>IF('Mii List'!A93="","",'Mii List'!A93)</f>
        <v/>
      </c>
      <c r="B93" s="52" t="str">
        <f>IF(A93="","",'Mii List'!B93)</f>
        <v/>
      </c>
      <c r="C93" s="52" t="str">
        <f>IF(A93="","",'Mii List'!C93)</f>
        <v/>
      </c>
      <c r="D93" s="52" t="str">
        <f>IF(A93="","",'Mii List'!D93)</f>
        <v/>
      </c>
      <c r="E93" s="52" t="str">
        <f>IF(A93="","",'Mii List'!E93)</f>
        <v/>
      </c>
      <c r="F93" s="52">
        <f t="shared" si="15"/>
        <v>0</v>
      </c>
      <c r="G93" s="52">
        <f t="shared" si="16"/>
        <v>0</v>
      </c>
      <c r="H93" s="52">
        <f t="shared" si="17"/>
        <v>0</v>
      </c>
      <c r="I93" s="52">
        <f t="shared" si="18"/>
        <v>0</v>
      </c>
      <c r="J93" s="52">
        <f t="shared" si="19"/>
        <v>0</v>
      </c>
      <c r="K93" s="52">
        <f t="shared" si="20"/>
        <v>0</v>
      </c>
      <c r="L93" s="52" t="str">
        <f t="array" ref="L93">IF(A93="","",SUMPRODUCT((A$2:A$200&lt;&gt;"")*((F$2:F$200*I93+G$2:G$200*J93+H$2:H$200*K93)&gt;0)*((F93*I$2:I$200+G93*J$2:J$200+H93*K$2:K$200)&gt;0))-IF(F93*I93+G93*J93+H93*K93&gt;0,1,0))</f>
        <v/>
      </c>
      <c r="M93" s="52" t="str">
        <f t="shared" si="21"/>
        <v/>
      </c>
      <c r="N93" s="52"/>
      <c r="O93" s="52"/>
      <c r="P93" s="52"/>
    </row>
    <row r="94" spans="1:16" x14ac:dyDescent="0.35">
      <c r="A94" s="52" t="str">
        <f>IF('Mii List'!A94="","",'Mii List'!A94)</f>
        <v/>
      </c>
      <c r="B94" s="52" t="str">
        <f>IF(A94="","",'Mii List'!B94)</f>
        <v/>
      </c>
      <c r="C94" s="52" t="str">
        <f>IF(A94="","",'Mii List'!C94)</f>
        <v/>
      </c>
      <c r="D94" s="52" t="str">
        <f>IF(A94="","",'Mii List'!D94)</f>
        <v/>
      </c>
      <c r="E94" s="52" t="str">
        <f>IF(A94="","",'Mii List'!E94)</f>
        <v/>
      </c>
      <c r="F94" s="52">
        <f t="shared" si="15"/>
        <v>0</v>
      </c>
      <c r="G94" s="52">
        <f t="shared" si="16"/>
        <v>0</v>
      </c>
      <c r="H94" s="52">
        <f t="shared" si="17"/>
        <v>0</v>
      </c>
      <c r="I94" s="52">
        <f t="shared" si="18"/>
        <v>0</v>
      </c>
      <c r="J94" s="52">
        <f t="shared" si="19"/>
        <v>0</v>
      </c>
      <c r="K94" s="52">
        <f t="shared" si="20"/>
        <v>0</v>
      </c>
      <c r="L94" s="52" t="str">
        <f t="array" ref="L94">IF(A94="","",SUMPRODUCT((A$2:A$200&lt;&gt;"")*((F$2:F$200*I94+G$2:G$200*J94+H$2:H$200*K94)&gt;0)*((F94*I$2:I$200+G94*J$2:J$200+H94*K$2:K$200)&gt;0))-IF(F94*I94+G94*J94+H94*K94&gt;0,1,0))</f>
        <v/>
      </c>
      <c r="M94" s="52" t="str">
        <f t="shared" si="21"/>
        <v/>
      </c>
      <c r="N94" s="52"/>
      <c r="O94" s="52"/>
      <c r="P94" s="52"/>
    </row>
    <row r="95" spans="1:16" x14ac:dyDescent="0.35">
      <c r="A95" s="52" t="str">
        <f>IF('Mii List'!A95="","",'Mii List'!A95)</f>
        <v/>
      </c>
      <c r="B95" s="52" t="str">
        <f>IF(A95="","",'Mii List'!B95)</f>
        <v/>
      </c>
      <c r="C95" s="52" t="str">
        <f>IF(A95="","",'Mii List'!C95)</f>
        <v/>
      </c>
      <c r="D95" s="52" t="str">
        <f>IF(A95="","",'Mii List'!D95)</f>
        <v/>
      </c>
      <c r="E95" s="52" t="str">
        <f>IF(A95="","",'Mii List'!E95)</f>
        <v/>
      </c>
      <c r="F95" s="52">
        <f t="shared" si="15"/>
        <v>0</v>
      </c>
      <c r="G95" s="52">
        <f t="shared" si="16"/>
        <v>0</v>
      </c>
      <c r="H95" s="52">
        <f t="shared" si="17"/>
        <v>0</v>
      </c>
      <c r="I95" s="52">
        <f t="shared" si="18"/>
        <v>0</v>
      </c>
      <c r="J95" s="52">
        <f t="shared" si="19"/>
        <v>0</v>
      </c>
      <c r="K95" s="52">
        <f t="shared" si="20"/>
        <v>0</v>
      </c>
      <c r="L95" s="52" t="str">
        <f t="array" ref="L95">IF(A95="","",SUMPRODUCT((A$2:A$200&lt;&gt;"")*((F$2:F$200*I95+G$2:G$200*J95+H$2:H$200*K95)&gt;0)*((F95*I$2:I$200+G95*J$2:J$200+H95*K$2:K$200)&gt;0))-IF(F95*I95+G95*J95+H95*K95&gt;0,1,0))</f>
        <v/>
      </c>
      <c r="M95" s="52" t="str">
        <f t="shared" si="21"/>
        <v/>
      </c>
      <c r="N95" s="52"/>
      <c r="O95" s="52"/>
      <c r="P95" s="52"/>
    </row>
    <row r="96" spans="1:16" x14ac:dyDescent="0.35">
      <c r="A96" s="52" t="str">
        <f>IF('Mii List'!A96="","",'Mii List'!A96)</f>
        <v/>
      </c>
      <c r="B96" s="52" t="str">
        <f>IF(A96="","",'Mii List'!B96)</f>
        <v/>
      </c>
      <c r="C96" s="52" t="str">
        <f>IF(A96="","",'Mii List'!C96)</f>
        <v/>
      </c>
      <c r="D96" s="52" t="str">
        <f>IF(A96="","",'Mii List'!D96)</f>
        <v/>
      </c>
      <c r="E96" s="52" t="str">
        <f>IF(A96="","",'Mii List'!E96)</f>
        <v/>
      </c>
      <c r="F96" s="52">
        <f t="shared" si="15"/>
        <v>0</v>
      </c>
      <c r="G96" s="52">
        <f t="shared" si="16"/>
        <v>0</v>
      </c>
      <c r="H96" s="52">
        <f t="shared" si="17"/>
        <v>0</v>
      </c>
      <c r="I96" s="52">
        <f t="shared" si="18"/>
        <v>0</v>
      </c>
      <c r="J96" s="52">
        <f t="shared" si="19"/>
        <v>0</v>
      </c>
      <c r="K96" s="52">
        <f t="shared" si="20"/>
        <v>0</v>
      </c>
      <c r="L96" s="52" t="str">
        <f t="array" ref="L96">IF(A96="","",SUMPRODUCT((A$2:A$200&lt;&gt;"")*((F$2:F$200*I96+G$2:G$200*J96+H$2:H$200*K96)&gt;0)*((F96*I$2:I$200+G96*J$2:J$200+H96*K$2:K$200)&gt;0))-IF(F96*I96+G96*J96+H96*K96&gt;0,1,0))</f>
        <v/>
      </c>
      <c r="M96" s="52" t="str">
        <f t="shared" si="21"/>
        <v/>
      </c>
      <c r="N96" s="52"/>
      <c r="O96" s="52"/>
      <c r="P96" s="52"/>
    </row>
    <row r="97" spans="1:16" x14ac:dyDescent="0.35">
      <c r="A97" s="52" t="str">
        <f>IF('Mii List'!A97="","",'Mii List'!A97)</f>
        <v/>
      </c>
      <c r="B97" s="52" t="str">
        <f>IF(A97="","",'Mii List'!B97)</f>
        <v/>
      </c>
      <c r="C97" s="52" t="str">
        <f>IF(A97="","",'Mii List'!C97)</f>
        <v/>
      </c>
      <c r="D97" s="52" t="str">
        <f>IF(A97="","",'Mii List'!D97)</f>
        <v/>
      </c>
      <c r="E97" s="52" t="str">
        <f>IF(A97="","",'Mii List'!E97)</f>
        <v/>
      </c>
      <c r="F97" s="52">
        <f t="shared" si="15"/>
        <v>0</v>
      </c>
      <c r="G97" s="52">
        <f t="shared" si="16"/>
        <v>0</v>
      </c>
      <c r="H97" s="52">
        <f t="shared" si="17"/>
        <v>0</v>
      </c>
      <c r="I97" s="52">
        <f t="shared" si="18"/>
        <v>0</v>
      </c>
      <c r="J97" s="52">
        <f t="shared" si="19"/>
        <v>0</v>
      </c>
      <c r="K97" s="52">
        <f t="shared" si="20"/>
        <v>0</v>
      </c>
      <c r="L97" s="52" t="str">
        <f t="array" ref="L97">IF(A97="","",SUMPRODUCT((A$2:A$200&lt;&gt;"")*((F$2:F$200*I97+G$2:G$200*J97+H$2:H$200*K97)&gt;0)*((F97*I$2:I$200+G97*J$2:J$200+H97*K$2:K$200)&gt;0))-IF(F97*I97+G97*J97+H97*K97&gt;0,1,0))</f>
        <v/>
      </c>
      <c r="M97" s="52" t="str">
        <f t="shared" si="21"/>
        <v/>
      </c>
      <c r="N97" s="52"/>
      <c r="O97" s="52"/>
      <c r="P97" s="52"/>
    </row>
    <row r="98" spans="1:16" x14ac:dyDescent="0.35">
      <c r="A98" s="52" t="str">
        <f>IF('Mii List'!A98="","",'Mii List'!A98)</f>
        <v/>
      </c>
      <c r="B98" s="52" t="str">
        <f>IF(A98="","",'Mii List'!B98)</f>
        <v/>
      </c>
      <c r="C98" s="52" t="str">
        <f>IF(A98="","",'Mii List'!C98)</f>
        <v/>
      </c>
      <c r="D98" s="52" t="str">
        <f>IF(A98="","",'Mii List'!D98)</f>
        <v/>
      </c>
      <c r="E98" s="52" t="str">
        <f>IF(A98="","",'Mii List'!E98)</f>
        <v/>
      </c>
      <c r="F98" s="52">
        <f t="shared" ref="F98:F129" si="22">IF(A98="",0,(C98="✓")*1)</f>
        <v>0</v>
      </c>
      <c r="G98" s="52">
        <f t="shared" ref="G98:G129" si="23">IF(A98="",0,(D98="✓")*1)</f>
        <v>0</v>
      </c>
      <c r="H98" s="52">
        <f t="shared" ref="H98:H129" si="24">IF(A98="",0,(E98="✓")*1)</f>
        <v>0</v>
      </c>
      <c r="I98" s="52">
        <f t="shared" ref="I98:I129" si="25">IF(A98="",0,(B98="Male")*1)</f>
        <v>0</v>
      </c>
      <c r="J98" s="52">
        <f t="shared" ref="J98:J129" si="26">IF(A98="",0,(B98="Female")*1)</f>
        <v>0</v>
      </c>
      <c r="K98" s="52">
        <f t="shared" ref="K98:K129" si="27">IF(A98="",0,(B98="Nonbinary")*1)</f>
        <v>0</v>
      </c>
      <c r="L98" s="52" t="str">
        <f t="array" ref="L98">IF(A98="","",SUMPRODUCT((A$2:A$200&lt;&gt;"")*((F$2:F$200*I98+G$2:G$200*J98+H$2:H$200*K98)&gt;0)*((F98*I$2:I$200+G98*J$2:J$200+H98*K$2:K$200)&gt;0))-IF(F98*I98+G98*J98+H98*K98&gt;0,1,0))</f>
        <v/>
      </c>
      <c r="M98" s="52" t="str">
        <f t="shared" ref="M98:M129" si="28">IF(A98="","",RANK(L98,L$2:L$200,1)+COUNTIFS(L$2:L$200,L98,A$2:A$200,"&lt;"&amp;A98))</f>
        <v/>
      </c>
      <c r="N98" s="52"/>
      <c r="O98" s="52"/>
      <c r="P98" s="52"/>
    </row>
    <row r="99" spans="1:16" x14ac:dyDescent="0.35">
      <c r="A99" s="52" t="str">
        <f>IF('Mii List'!A99="","",'Mii List'!A99)</f>
        <v/>
      </c>
      <c r="B99" s="52" t="str">
        <f>IF(A99="","",'Mii List'!B99)</f>
        <v/>
      </c>
      <c r="C99" s="52" t="str">
        <f>IF(A99="","",'Mii List'!C99)</f>
        <v/>
      </c>
      <c r="D99" s="52" t="str">
        <f>IF(A99="","",'Mii List'!D99)</f>
        <v/>
      </c>
      <c r="E99" s="52" t="str">
        <f>IF(A99="","",'Mii List'!E99)</f>
        <v/>
      </c>
      <c r="F99" s="52">
        <f t="shared" si="22"/>
        <v>0</v>
      </c>
      <c r="G99" s="52">
        <f t="shared" si="23"/>
        <v>0</v>
      </c>
      <c r="H99" s="52">
        <f t="shared" si="24"/>
        <v>0</v>
      </c>
      <c r="I99" s="52">
        <f t="shared" si="25"/>
        <v>0</v>
      </c>
      <c r="J99" s="52">
        <f t="shared" si="26"/>
        <v>0</v>
      </c>
      <c r="K99" s="52">
        <f t="shared" si="27"/>
        <v>0</v>
      </c>
      <c r="L99" s="52" t="str">
        <f t="array" ref="L99">IF(A99="","",SUMPRODUCT((A$2:A$200&lt;&gt;"")*((F$2:F$200*I99+G$2:G$200*J99+H$2:H$200*K99)&gt;0)*((F99*I$2:I$200+G99*J$2:J$200+H99*K$2:K$200)&gt;0))-IF(F99*I99+G99*J99+H99*K99&gt;0,1,0))</f>
        <v/>
      </c>
      <c r="M99" s="52" t="str">
        <f t="shared" si="28"/>
        <v/>
      </c>
      <c r="N99" s="52"/>
      <c r="O99" s="52"/>
      <c r="P99" s="52"/>
    </row>
    <row r="100" spans="1:16" x14ac:dyDescent="0.35">
      <c r="A100" s="52" t="str">
        <f>IF('Mii List'!A100="","",'Mii List'!A100)</f>
        <v/>
      </c>
      <c r="B100" s="52" t="str">
        <f>IF(A100="","",'Mii List'!B100)</f>
        <v/>
      </c>
      <c r="C100" s="52" t="str">
        <f>IF(A100="","",'Mii List'!C100)</f>
        <v/>
      </c>
      <c r="D100" s="52" t="str">
        <f>IF(A100="","",'Mii List'!D100)</f>
        <v/>
      </c>
      <c r="E100" s="52" t="str">
        <f>IF(A100="","",'Mii List'!E100)</f>
        <v/>
      </c>
      <c r="F100" s="52">
        <f t="shared" si="22"/>
        <v>0</v>
      </c>
      <c r="G100" s="52">
        <f t="shared" si="23"/>
        <v>0</v>
      </c>
      <c r="H100" s="52">
        <f t="shared" si="24"/>
        <v>0</v>
      </c>
      <c r="I100" s="52">
        <f t="shared" si="25"/>
        <v>0</v>
      </c>
      <c r="J100" s="52">
        <f t="shared" si="26"/>
        <v>0</v>
      </c>
      <c r="K100" s="52">
        <f t="shared" si="27"/>
        <v>0</v>
      </c>
      <c r="L100" s="52" t="str">
        <f t="array" ref="L100">IF(A100="","",SUMPRODUCT((A$2:A$200&lt;&gt;"")*((F$2:F$200*I100+G$2:G$200*J100+H$2:H$200*K100)&gt;0)*((F100*I$2:I$200+G100*J$2:J$200+H100*K$2:K$200)&gt;0))-IF(F100*I100+G100*J100+H100*K100&gt;0,1,0))</f>
        <v/>
      </c>
      <c r="M100" s="52" t="str">
        <f t="shared" si="28"/>
        <v/>
      </c>
      <c r="N100" s="52"/>
      <c r="O100" s="52"/>
      <c r="P100" s="52"/>
    </row>
    <row r="101" spans="1:16" x14ac:dyDescent="0.35">
      <c r="A101" s="52" t="str">
        <f>IF('Mii List'!A101="","",'Mii List'!A101)</f>
        <v/>
      </c>
      <c r="B101" s="52" t="str">
        <f>IF(A101="","",'Mii List'!B101)</f>
        <v/>
      </c>
      <c r="C101" s="52" t="str">
        <f>IF(A101="","",'Mii List'!C101)</f>
        <v/>
      </c>
      <c r="D101" s="52" t="str">
        <f>IF(A101="","",'Mii List'!D101)</f>
        <v/>
      </c>
      <c r="E101" s="52" t="str">
        <f>IF(A101="","",'Mii List'!E101)</f>
        <v/>
      </c>
      <c r="F101" s="52">
        <f t="shared" si="22"/>
        <v>0</v>
      </c>
      <c r="G101" s="52">
        <f t="shared" si="23"/>
        <v>0</v>
      </c>
      <c r="H101" s="52">
        <f t="shared" si="24"/>
        <v>0</v>
      </c>
      <c r="I101" s="52">
        <f t="shared" si="25"/>
        <v>0</v>
      </c>
      <c r="J101" s="52">
        <f t="shared" si="26"/>
        <v>0</v>
      </c>
      <c r="K101" s="52">
        <f t="shared" si="27"/>
        <v>0</v>
      </c>
      <c r="L101" s="52" t="str">
        <f t="array" ref="L101">IF(A101="","",SUMPRODUCT((A$2:A$200&lt;&gt;"")*((F$2:F$200*I101+G$2:G$200*J101+H$2:H$200*K101)&gt;0)*((F101*I$2:I$200+G101*J$2:J$200+H101*K$2:K$200)&gt;0))-IF(F101*I101+G101*J101+H101*K101&gt;0,1,0))</f>
        <v/>
      </c>
      <c r="M101" s="52" t="str">
        <f t="shared" si="28"/>
        <v/>
      </c>
      <c r="N101" s="52"/>
      <c r="O101" s="52"/>
      <c r="P101" s="52"/>
    </row>
    <row r="102" spans="1:16" x14ac:dyDescent="0.35">
      <c r="A102" s="52" t="str">
        <f>IF('Mii List'!A102="","",'Mii List'!A102)</f>
        <v/>
      </c>
      <c r="B102" s="52" t="str">
        <f>IF(A102="","",'Mii List'!B102)</f>
        <v/>
      </c>
      <c r="C102" s="52" t="str">
        <f>IF(A102="","",'Mii List'!C102)</f>
        <v/>
      </c>
      <c r="D102" s="52" t="str">
        <f>IF(A102="","",'Mii List'!D102)</f>
        <v/>
      </c>
      <c r="E102" s="52" t="str">
        <f>IF(A102="","",'Mii List'!E102)</f>
        <v/>
      </c>
      <c r="F102" s="52">
        <f t="shared" si="22"/>
        <v>0</v>
      </c>
      <c r="G102" s="52">
        <f t="shared" si="23"/>
        <v>0</v>
      </c>
      <c r="H102" s="52">
        <f t="shared" si="24"/>
        <v>0</v>
      </c>
      <c r="I102" s="52">
        <f t="shared" si="25"/>
        <v>0</v>
      </c>
      <c r="J102" s="52">
        <f t="shared" si="26"/>
        <v>0</v>
      </c>
      <c r="K102" s="52">
        <f t="shared" si="27"/>
        <v>0</v>
      </c>
      <c r="L102" s="52" t="str">
        <f t="array" ref="L102">IF(A102="","",SUMPRODUCT((A$2:A$200&lt;&gt;"")*((F$2:F$200*I102+G$2:G$200*J102+H$2:H$200*K102)&gt;0)*((F102*I$2:I$200+G102*J$2:J$200+H102*K$2:K$200)&gt;0))-IF(F102*I102+G102*J102+H102*K102&gt;0,1,0))</f>
        <v/>
      </c>
      <c r="M102" s="52" t="str">
        <f t="shared" si="28"/>
        <v/>
      </c>
      <c r="N102" s="52"/>
      <c r="O102" s="52"/>
      <c r="P102" s="52"/>
    </row>
    <row r="103" spans="1:16" x14ac:dyDescent="0.35">
      <c r="A103" s="52" t="str">
        <f>IF('Mii List'!A103="","",'Mii List'!A103)</f>
        <v/>
      </c>
      <c r="B103" s="52" t="str">
        <f>IF(A103="","",'Mii List'!B103)</f>
        <v/>
      </c>
      <c r="C103" s="52" t="str">
        <f>IF(A103="","",'Mii List'!C103)</f>
        <v/>
      </c>
      <c r="D103" s="52" t="str">
        <f>IF(A103="","",'Mii List'!D103)</f>
        <v/>
      </c>
      <c r="E103" s="52" t="str">
        <f>IF(A103="","",'Mii List'!E103)</f>
        <v/>
      </c>
      <c r="F103" s="52">
        <f t="shared" si="22"/>
        <v>0</v>
      </c>
      <c r="G103" s="52">
        <f t="shared" si="23"/>
        <v>0</v>
      </c>
      <c r="H103" s="52">
        <f t="shared" si="24"/>
        <v>0</v>
      </c>
      <c r="I103" s="52">
        <f t="shared" si="25"/>
        <v>0</v>
      </c>
      <c r="J103" s="52">
        <f t="shared" si="26"/>
        <v>0</v>
      </c>
      <c r="K103" s="52">
        <f t="shared" si="27"/>
        <v>0</v>
      </c>
      <c r="L103" s="52" t="str">
        <f t="array" ref="L103">IF(A103="","",SUMPRODUCT((A$2:A$200&lt;&gt;"")*((F$2:F$200*I103+G$2:G$200*J103+H$2:H$200*K103)&gt;0)*((F103*I$2:I$200+G103*J$2:J$200+H103*K$2:K$200)&gt;0))-IF(F103*I103+G103*J103+H103*K103&gt;0,1,0))</f>
        <v/>
      </c>
      <c r="M103" s="52" t="str">
        <f t="shared" si="28"/>
        <v/>
      </c>
      <c r="N103" s="52"/>
      <c r="O103" s="52"/>
      <c r="P103" s="52"/>
    </row>
    <row r="104" spans="1:16" x14ac:dyDescent="0.35">
      <c r="A104" s="52" t="str">
        <f>IF('Mii List'!A104="","",'Mii List'!A104)</f>
        <v/>
      </c>
      <c r="B104" s="52" t="str">
        <f>IF(A104="","",'Mii List'!B104)</f>
        <v/>
      </c>
      <c r="C104" s="52" t="str">
        <f>IF(A104="","",'Mii List'!C104)</f>
        <v/>
      </c>
      <c r="D104" s="52" t="str">
        <f>IF(A104="","",'Mii List'!D104)</f>
        <v/>
      </c>
      <c r="E104" s="52" t="str">
        <f>IF(A104="","",'Mii List'!E104)</f>
        <v/>
      </c>
      <c r="F104" s="52">
        <f t="shared" si="22"/>
        <v>0</v>
      </c>
      <c r="G104" s="52">
        <f t="shared" si="23"/>
        <v>0</v>
      </c>
      <c r="H104" s="52">
        <f t="shared" si="24"/>
        <v>0</v>
      </c>
      <c r="I104" s="52">
        <f t="shared" si="25"/>
        <v>0</v>
      </c>
      <c r="J104" s="52">
        <f t="shared" si="26"/>
        <v>0</v>
      </c>
      <c r="K104" s="52">
        <f t="shared" si="27"/>
        <v>0</v>
      </c>
      <c r="L104" s="52" t="str">
        <f t="array" ref="L104">IF(A104="","",SUMPRODUCT((A$2:A$200&lt;&gt;"")*((F$2:F$200*I104+G$2:G$200*J104+H$2:H$200*K104)&gt;0)*((F104*I$2:I$200+G104*J$2:J$200+H104*K$2:K$200)&gt;0))-IF(F104*I104+G104*J104+H104*K104&gt;0,1,0))</f>
        <v/>
      </c>
      <c r="M104" s="52" t="str">
        <f t="shared" si="28"/>
        <v/>
      </c>
      <c r="N104" s="52"/>
      <c r="O104" s="52"/>
      <c r="P104" s="52"/>
    </row>
    <row r="105" spans="1:16" x14ac:dyDescent="0.35">
      <c r="A105" s="52" t="str">
        <f>IF('Mii List'!A105="","",'Mii List'!A105)</f>
        <v/>
      </c>
      <c r="B105" s="52" t="str">
        <f>IF(A105="","",'Mii List'!B105)</f>
        <v/>
      </c>
      <c r="C105" s="52" t="str">
        <f>IF(A105="","",'Mii List'!C105)</f>
        <v/>
      </c>
      <c r="D105" s="52" t="str">
        <f>IF(A105="","",'Mii List'!D105)</f>
        <v/>
      </c>
      <c r="E105" s="52" t="str">
        <f>IF(A105="","",'Mii List'!E105)</f>
        <v/>
      </c>
      <c r="F105" s="52">
        <f t="shared" si="22"/>
        <v>0</v>
      </c>
      <c r="G105" s="52">
        <f t="shared" si="23"/>
        <v>0</v>
      </c>
      <c r="H105" s="52">
        <f t="shared" si="24"/>
        <v>0</v>
      </c>
      <c r="I105" s="52">
        <f t="shared" si="25"/>
        <v>0</v>
      </c>
      <c r="J105" s="52">
        <f t="shared" si="26"/>
        <v>0</v>
      </c>
      <c r="K105" s="52">
        <f t="shared" si="27"/>
        <v>0</v>
      </c>
      <c r="L105" s="52" t="str">
        <f t="array" ref="L105">IF(A105="","",SUMPRODUCT((A$2:A$200&lt;&gt;"")*((F$2:F$200*I105+G$2:G$200*J105+H$2:H$200*K105)&gt;0)*((F105*I$2:I$200+G105*J$2:J$200+H105*K$2:K$200)&gt;0))-IF(F105*I105+G105*J105+H105*K105&gt;0,1,0))</f>
        <v/>
      </c>
      <c r="M105" s="52" t="str">
        <f t="shared" si="28"/>
        <v/>
      </c>
      <c r="N105" s="52"/>
      <c r="O105" s="52"/>
      <c r="P105" s="52"/>
    </row>
    <row r="106" spans="1:16" x14ac:dyDescent="0.35">
      <c r="A106" s="52" t="str">
        <f>IF('Mii List'!A106="","",'Mii List'!A106)</f>
        <v/>
      </c>
      <c r="B106" s="52" t="str">
        <f>IF(A106="","",'Mii List'!B106)</f>
        <v/>
      </c>
      <c r="C106" s="52" t="str">
        <f>IF(A106="","",'Mii List'!C106)</f>
        <v/>
      </c>
      <c r="D106" s="52" t="str">
        <f>IF(A106="","",'Mii List'!D106)</f>
        <v/>
      </c>
      <c r="E106" s="52" t="str">
        <f>IF(A106="","",'Mii List'!E106)</f>
        <v/>
      </c>
      <c r="F106" s="52">
        <f t="shared" si="22"/>
        <v>0</v>
      </c>
      <c r="G106" s="52">
        <f t="shared" si="23"/>
        <v>0</v>
      </c>
      <c r="H106" s="52">
        <f t="shared" si="24"/>
        <v>0</v>
      </c>
      <c r="I106" s="52">
        <f t="shared" si="25"/>
        <v>0</v>
      </c>
      <c r="J106" s="52">
        <f t="shared" si="26"/>
        <v>0</v>
      </c>
      <c r="K106" s="52">
        <f t="shared" si="27"/>
        <v>0</v>
      </c>
      <c r="L106" s="52" t="str">
        <f t="array" ref="L106">IF(A106="","",SUMPRODUCT((A$2:A$200&lt;&gt;"")*((F$2:F$200*I106+G$2:G$200*J106+H$2:H$200*K106)&gt;0)*((F106*I$2:I$200+G106*J$2:J$200+H106*K$2:K$200)&gt;0))-IF(F106*I106+G106*J106+H106*K106&gt;0,1,0))</f>
        <v/>
      </c>
      <c r="M106" s="52" t="str">
        <f t="shared" si="28"/>
        <v/>
      </c>
      <c r="N106" s="52"/>
      <c r="O106" s="52"/>
      <c r="P106" s="52"/>
    </row>
    <row r="107" spans="1:16" x14ac:dyDescent="0.35">
      <c r="A107" s="52" t="str">
        <f>IF('Mii List'!A107="","",'Mii List'!A107)</f>
        <v/>
      </c>
      <c r="B107" s="52" t="str">
        <f>IF(A107="","",'Mii List'!B107)</f>
        <v/>
      </c>
      <c r="C107" s="52" t="str">
        <f>IF(A107="","",'Mii List'!C107)</f>
        <v/>
      </c>
      <c r="D107" s="52" t="str">
        <f>IF(A107="","",'Mii List'!D107)</f>
        <v/>
      </c>
      <c r="E107" s="52" t="str">
        <f>IF(A107="","",'Mii List'!E107)</f>
        <v/>
      </c>
      <c r="F107" s="52">
        <f t="shared" si="22"/>
        <v>0</v>
      </c>
      <c r="G107" s="52">
        <f t="shared" si="23"/>
        <v>0</v>
      </c>
      <c r="H107" s="52">
        <f t="shared" si="24"/>
        <v>0</v>
      </c>
      <c r="I107" s="52">
        <f t="shared" si="25"/>
        <v>0</v>
      </c>
      <c r="J107" s="52">
        <f t="shared" si="26"/>
        <v>0</v>
      </c>
      <c r="K107" s="52">
        <f t="shared" si="27"/>
        <v>0</v>
      </c>
      <c r="L107" s="52" t="str">
        <f t="array" ref="L107">IF(A107="","",SUMPRODUCT((A$2:A$200&lt;&gt;"")*((F$2:F$200*I107+G$2:G$200*J107+H$2:H$200*K107)&gt;0)*((F107*I$2:I$200+G107*J$2:J$200+H107*K$2:K$200)&gt;0))-IF(F107*I107+G107*J107+H107*K107&gt;0,1,0))</f>
        <v/>
      </c>
      <c r="M107" s="52" t="str">
        <f t="shared" si="28"/>
        <v/>
      </c>
      <c r="N107" s="52"/>
      <c r="O107" s="52"/>
      <c r="P107" s="52"/>
    </row>
    <row r="108" spans="1:16" x14ac:dyDescent="0.35">
      <c r="A108" s="52" t="str">
        <f>IF('Mii List'!A108="","",'Mii List'!A108)</f>
        <v/>
      </c>
      <c r="B108" s="52" t="str">
        <f>IF(A108="","",'Mii List'!B108)</f>
        <v/>
      </c>
      <c r="C108" s="52" t="str">
        <f>IF(A108="","",'Mii List'!C108)</f>
        <v/>
      </c>
      <c r="D108" s="52" t="str">
        <f>IF(A108="","",'Mii List'!D108)</f>
        <v/>
      </c>
      <c r="E108" s="52" t="str">
        <f>IF(A108="","",'Mii List'!E108)</f>
        <v/>
      </c>
      <c r="F108" s="52">
        <f t="shared" si="22"/>
        <v>0</v>
      </c>
      <c r="G108" s="52">
        <f t="shared" si="23"/>
        <v>0</v>
      </c>
      <c r="H108" s="52">
        <f t="shared" si="24"/>
        <v>0</v>
      </c>
      <c r="I108" s="52">
        <f t="shared" si="25"/>
        <v>0</v>
      </c>
      <c r="J108" s="52">
        <f t="shared" si="26"/>
        <v>0</v>
      </c>
      <c r="K108" s="52">
        <f t="shared" si="27"/>
        <v>0</v>
      </c>
      <c r="L108" s="52" t="str">
        <f t="array" ref="L108">IF(A108="","",SUMPRODUCT((A$2:A$200&lt;&gt;"")*((F$2:F$200*I108+G$2:G$200*J108+H$2:H$200*K108)&gt;0)*((F108*I$2:I$200+G108*J$2:J$200+H108*K$2:K$200)&gt;0))-IF(F108*I108+G108*J108+H108*K108&gt;0,1,0))</f>
        <v/>
      </c>
      <c r="M108" s="52" t="str">
        <f t="shared" si="28"/>
        <v/>
      </c>
      <c r="N108" s="52"/>
      <c r="O108" s="52"/>
      <c r="P108" s="52"/>
    </row>
    <row r="109" spans="1:16" x14ac:dyDescent="0.35">
      <c r="A109" s="52" t="str">
        <f>IF('Mii List'!A109="","",'Mii List'!A109)</f>
        <v/>
      </c>
      <c r="B109" s="52" t="str">
        <f>IF(A109="","",'Mii List'!B109)</f>
        <v/>
      </c>
      <c r="C109" s="52" t="str">
        <f>IF(A109="","",'Mii List'!C109)</f>
        <v/>
      </c>
      <c r="D109" s="52" t="str">
        <f>IF(A109="","",'Mii List'!D109)</f>
        <v/>
      </c>
      <c r="E109" s="52" t="str">
        <f>IF(A109="","",'Mii List'!E109)</f>
        <v/>
      </c>
      <c r="F109" s="52">
        <f t="shared" si="22"/>
        <v>0</v>
      </c>
      <c r="G109" s="52">
        <f t="shared" si="23"/>
        <v>0</v>
      </c>
      <c r="H109" s="52">
        <f t="shared" si="24"/>
        <v>0</v>
      </c>
      <c r="I109" s="52">
        <f t="shared" si="25"/>
        <v>0</v>
      </c>
      <c r="J109" s="52">
        <f t="shared" si="26"/>
        <v>0</v>
      </c>
      <c r="K109" s="52">
        <f t="shared" si="27"/>
        <v>0</v>
      </c>
      <c r="L109" s="52" t="str">
        <f t="array" ref="L109">IF(A109="","",SUMPRODUCT((A$2:A$200&lt;&gt;"")*((F$2:F$200*I109+G$2:G$200*J109+H$2:H$200*K109)&gt;0)*((F109*I$2:I$200+G109*J$2:J$200+H109*K$2:K$200)&gt;0))-IF(F109*I109+G109*J109+H109*K109&gt;0,1,0))</f>
        <v/>
      </c>
      <c r="M109" s="52" t="str">
        <f t="shared" si="28"/>
        <v/>
      </c>
      <c r="N109" s="52"/>
      <c r="O109" s="52"/>
      <c r="P109" s="52"/>
    </row>
    <row r="110" spans="1:16" x14ac:dyDescent="0.35">
      <c r="A110" s="52" t="str">
        <f>IF('Mii List'!A110="","",'Mii List'!A110)</f>
        <v/>
      </c>
      <c r="B110" s="52" t="str">
        <f>IF(A110="","",'Mii List'!B110)</f>
        <v/>
      </c>
      <c r="C110" s="52" t="str">
        <f>IF(A110="","",'Mii List'!C110)</f>
        <v/>
      </c>
      <c r="D110" s="52" t="str">
        <f>IF(A110="","",'Mii List'!D110)</f>
        <v/>
      </c>
      <c r="E110" s="52" t="str">
        <f>IF(A110="","",'Mii List'!E110)</f>
        <v/>
      </c>
      <c r="F110" s="52">
        <f t="shared" si="22"/>
        <v>0</v>
      </c>
      <c r="G110" s="52">
        <f t="shared" si="23"/>
        <v>0</v>
      </c>
      <c r="H110" s="52">
        <f t="shared" si="24"/>
        <v>0</v>
      </c>
      <c r="I110" s="52">
        <f t="shared" si="25"/>
        <v>0</v>
      </c>
      <c r="J110" s="52">
        <f t="shared" si="26"/>
        <v>0</v>
      </c>
      <c r="K110" s="52">
        <f t="shared" si="27"/>
        <v>0</v>
      </c>
      <c r="L110" s="52" t="str">
        <f t="array" ref="L110">IF(A110="","",SUMPRODUCT((A$2:A$200&lt;&gt;"")*((F$2:F$200*I110+G$2:G$200*J110+H$2:H$200*K110)&gt;0)*((F110*I$2:I$200+G110*J$2:J$200+H110*K$2:K$200)&gt;0))-IF(F110*I110+G110*J110+H110*K110&gt;0,1,0))</f>
        <v/>
      </c>
      <c r="M110" s="52" t="str">
        <f t="shared" si="28"/>
        <v/>
      </c>
      <c r="N110" s="52"/>
      <c r="O110" s="52"/>
      <c r="P110" s="52"/>
    </row>
    <row r="111" spans="1:16" x14ac:dyDescent="0.35">
      <c r="A111" s="52" t="str">
        <f>IF('Mii List'!A111="","",'Mii List'!A111)</f>
        <v/>
      </c>
      <c r="B111" s="52" t="str">
        <f>IF(A111="","",'Mii List'!B111)</f>
        <v/>
      </c>
      <c r="C111" s="52" t="str">
        <f>IF(A111="","",'Mii List'!C111)</f>
        <v/>
      </c>
      <c r="D111" s="52" t="str">
        <f>IF(A111="","",'Mii List'!D111)</f>
        <v/>
      </c>
      <c r="E111" s="52" t="str">
        <f>IF(A111="","",'Mii List'!E111)</f>
        <v/>
      </c>
      <c r="F111" s="52">
        <f t="shared" si="22"/>
        <v>0</v>
      </c>
      <c r="G111" s="52">
        <f t="shared" si="23"/>
        <v>0</v>
      </c>
      <c r="H111" s="52">
        <f t="shared" si="24"/>
        <v>0</v>
      </c>
      <c r="I111" s="52">
        <f t="shared" si="25"/>
        <v>0</v>
      </c>
      <c r="J111" s="52">
        <f t="shared" si="26"/>
        <v>0</v>
      </c>
      <c r="K111" s="52">
        <f t="shared" si="27"/>
        <v>0</v>
      </c>
      <c r="L111" s="52" t="str">
        <f t="array" ref="L111">IF(A111="","",SUMPRODUCT((A$2:A$200&lt;&gt;"")*((F$2:F$200*I111+G$2:G$200*J111+H$2:H$200*K111)&gt;0)*((F111*I$2:I$200+G111*J$2:J$200+H111*K$2:K$200)&gt;0))-IF(F111*I111+G111*J111+H111*K111&gt;0,1,0))</f>
        <v/>
      </c>
      <c r="M111" s="52" t="str">
        <f t="shared" si="28"/>
        <v/>
      </c>
      <c r="N111" s="52"/>
      <c r="O111" s="52"/>
      <c r="P111" s="52"/>
    </row>
    <row r="112" spans="1:16" x14ac:dyDescent="0.35">
      <c r="A112" s="52" t="str">
        <f>IF('Mii List'!A112="","",'Mii List'!A112)</f>
        <v/>
      </c>
      <c r="B112" s="52" t="str">
        <f>IF(A112="","",'Mii List'!B112)</f>
        <v/>
      </c>
      <c r="C112" s="52" t="str">
        <f>IF(A112="","",'Mii List'!C112)</f>
        <v/>
      </c>
      <c r="D112" s="52" t="str">
        <f>IF(A112="","",'Mii List'!D112)</f>
        <v/>
      </c>
      <c r="E112" s="52" t="str">
        <f>IF(A112="","",'Mii List'!E112)</f>
        <v/>
      </c>
      <c r="F112" s="52">
        <f t="shared" si="22"/>
        <v>0</v>
      </c>
      <c r="G112" s="52">
        <f t="shared" si="23"/>
        <v>0</v>
      </c>
      <c r="H112" s="52">
        <f t="shared" si="24"/>
        <v>0</v>
      </c>
      <c r="I112" s="52">
        <f t="shared" si="25"/>
        <v>0</v>
      </c>
      <c r="J112" s="52">
        <f t="shared" si="26"/>
        <v>0</v>
      </c>
      <c r="K112" s="52">
        <f t="shared" si="27"/>
        <v>0</v>
      </c>
      <c r="L112" s="52" t="str">
        <f t="array" ref="L112">IF(A112="","",SUMPRODUCT((A$2:A$200&lt;&gt;"")*((F$2:F$200*I112+G$2:G$200*J112+H$2:H$200*K112)&gt;0)*((F112*I$2:I$200+G112*J$2:J$200+H112*K$2:K$200)&gt;0))-IF(F112*I112+G112*J112+H112*K112&gt;0,1,0))</f>
        <v/>
      </c>
      <c r="M112" s="52" t="str">
        <f t="shared" si="28"/>
        <v/>
      </c>
      <c r="N112" s="52"/>
      <c r="O112" s="52"/>
      <c r="P112" s="52"/>
    </row>
    <row r="113" spans="1:16" x14ac:dyDescent="0.35">
      <c r="A113" s="52" t="str">
        <f>IF('Mii List'!A113="","",'Mii List'!A113)</f>
        <v/>
      </c>
      <c r="B113" s="52" t="str">
        <f>IF(A113="","",'Mii List'!B113)</f>
        <v/>
      </c>
      <c r="C113" s="52" t="str">
        <f>IF(A113="","",'Mii List'!C113)</f>
        <v/>
      </c>
      <c r="D113" s="52" t="str">
        <f>IF(A113="","",'Mii List'!D113)</f>
        <v/>
      </c>
      <c r="E113" s="52" t="str">
        <f>IF(A113="","",'Mii List'!E113)</f>
        <v/>
      </c>
      <c r="F113" s="52">
        <f t="shared" si="22"/>
        <v>0</v>
      </c>
      <c r="G113" s="52">
        <f t="shared" si="23"/>
        <v>0</v>
      </c>
      <c r="H113" s="52">
        <f t="shared" si="24"/>
        <v>0</v>
      </c>
      <c r="I113" s="52">
        <f t="shared" si="25"/>
        <v>0</v>
      </c>
      <c r="J113" s="52">
        <f t="shared" si="26"/>
        <v>0</v>
      </c>
      <c r="K113" s="52">
        <f t="shared" si="27"/>
        <v>0</v>
      </c>
      <c r="L113" s="52" t="str">
        <f t="array" ref="L113">IF(A113="","",SUMPRODUCT((A$2:A$200&lt;&gt;"")*((F$2:F$200*I113+G$2:G$200*J113+H$2:H$200*K113)&gt;0)*((F113*I$2:I$200+G113*J$2:J$200+H113*K$2:K$200)&gt;0))-IF(F113*I113+G113*J113+H113*K113&gt;0,1,0))</f>
        <v/>
      </c>
      <c r="M113" s="52" t="str">
        <f t="shared" si="28"/>
        <v/>
      </c>
      <c r="N113" s="52"/>
      <c r="O113" s="52"/>
      <c r="P113" s="52"/>
    </row>
    <row r="114" spans="1:16" x14ac:dyDescent="0.35">
      <c r="A114" s="52" t="str">
        <f>IF('Mii List'!A114="","",'Mii List'!A114)</f>
        <v/>
      </c>
      <c r="B114" s="52" t="str">
        <f>IF(A114="","",'Mii List'!B114)</f>
        <v/>
      </c>
      <c r="C114" s="52" t="str">
        <f>IF(A114="","",'Mii List'!C114)</f>
        <v/>
      </c>
      <c r="D114" s="52" t="str">
        <f>IF(A114="","",'Mii List'!D114)</f>
        <v/>
      </c>
      <c r="E114" s="52" t="str">
        <f>IF(A114="","",'Mii List'!E114)</f>
        <v/>
      </c>
      <c r="F114" s="52">
        <f t="shared" si="22"/>
        <v>0</v>
      </c>
      <c r="G114" s="52">
        <f t="shared" si="23"/>
        <v>0</v>
      </c>
      <c r="H114" s="52">
        <f t="shared" si="24"/>
        <v>0</v>
      </c>
      <c r="I114" s="52">
        <f t="shared" si="25"/>
        <v>0</v>
      </c>
      <c r="J114" s="52">
        <f t="shared" si="26"/>
        <v>0</v>
      </c>
      <c r="K114" s="52">
        <f t="shared" si="27"/>
        <v>0</v>
      </c>
      <c r="L114" s="52" t="str">
        <f t="array" ref="L114">IF(A114="","",SUMPRODUCT((A$2:A$200&lt;&gt;"")*((F$2:F$200*I114+G$2:G$200*J114+H$2:H$200*K114)&gt;0)*((F114*I$2:I$200+G114*J$2:J$200+H114*K$2:K$200)&gt;0))-IF(F114*I114+G114*J114+H114*K114&gt;0,1,0))</f>
        <v/>
      </c>
      <c r="M114" s="52" t="str">
        <f t="shared" si="28"/>
        <v/>
      </c>
      <c r="N114" s="52"/>
      <c r="O114" s="52"/>
      <c r="P114" s="52"/>
    </row>
    <row r="115" spans="1:16" x14ac:dyDescent="0.35">
      <c r="A115" s="52" t="str">
        <f>IF('Mii List'!A115="","",'Mii List'!A115)</f>
        <v/>
      </c>
      <c r="B115" s="52" t="str">
        <f>IF(A115="","",'Mii List'!B115)</f>
        <v/>
      </c>
      <c r="C115" s="52" t="str">
        <f>IF(A115="","",'Mii List'!C115)</f>
        <v/>
      </c>
      <c r="D115" s="52" t="str">
        <f>IF(A115="","",'Mii List'!D115)</f>
        <v/>
      </c>
      <c r="E115" s="52" t="str">
        <f>IF(A115="","",'Mii List'!E115)</f>
        <v/>
      </c>
      <c r="F115" s="52">
        <f t="shared" si="22"/>
        <v>0</v>
      </c>
      <c r="G115" s="52">
        <f t="shared" si="23"/>
        <v>0</v>
      </c>
      <c r="H115" s="52">
        <f t="shared" si="24"/>
        <v>0</v>
      </c>
      <c r="I115" s="52">
        <f t="shared" si="25"/>
        <v>0</v>
      </c>
      <c r="J115" s="52">
        <f t="shared" si="26"/>
        <v>0</v>
      </c>
      <c r="K115" s="52">
        <f t="shared" si="27"/>
        <v>0</v>
      </c>
      <c r="L115" s="52" t="str">
        <f t="array" ref="L115">IF(A115="","",SUMPRODUCT((A$2:A$200&lt;&gt;"")*((F$2:F$200*I115+G$2:G$200*J115+H$2:H$200*K115)&gt;0)*((F115*I$2:I$200+G115*J$2:J$200+H115*K$2:K$200)&gt;0))-IF(F115*I115+G115*J115+H115*K115&gt;0,1,0))</f>
        <v/>
      </c>
      <c r="M115" s="52" t="str">
        <f t="shared" si="28"/>
        <v/>
      </c>
      <c r="N115" s="52"/>
      <c r="O115" s="52"/>
      <c r="P115" s="52"/>
    </row>
    <row r="116" spans="1:16" x14ac:dyDescent="0.35">
      <c r="A116" s="52" t="str">
        <f>IF('Mii List'!A116="","",'Mii List'!A116)</f>
        <v/>
      </c>
      <c r="B116" s="52" t="str">
        <f>IF(A116="","",'Mii List'!B116)</f>
        <v/>
      </c>
      <c r="C116" s="52" t="str">
        <f>IF(A116="","",'Mii List'!C116)</f>
        <v/>
      </c>
      <c r="D116" s="52" t="str">
        <f>IF(A116="","",'Mii List'!D116)</f>
        <v/>
      </c>
      <c r="E116" s="52" t="str">
        <f>IF(A116="","",'Mii List'!E116)</f>
        <v/>
      </c>
      <c r="F116" s="52">
        <f t="shared" si="22"/>
        <v>0</v>
      </c>
      <c r="G116" s="52">
        <f t="shared" si="23"/>
        <v>0</v>
      </c>
      <c r="H116" s="52">
        <f t="shared" si="24"/>
        <v>0</v>
      </c>
      <c r="I116" s="52">
        <f t="shared" si="25"/>
        <v>0</v>
      </c>
      <c r="J116" s="52">
        <f t="shared" si="26"/>
        <v>0</v>
      </c>
      <c r="K116" s="52">
        <f t="shared" si="27"/>
        <v>0</v>
      </c>
      <c r="L116" s="52" t="str">
        <f t="array" ref="L116">IF(A116="","",SUMPRODUCT((A$2:A$200&lt;&gt;"")*((F$2:F$200*I116+G$2:G$200*J116+H$2:H$200*K116)&gt;0)*((F116*I$2:I$200+G116*J$2:J$200+H116*K$2:K$200)&gt;0))-IF(F116*I116+G116*J116+H116*K116&gt;0,1,0))</f>
        <v/>
      </c>
      <c r="M116" s="52" t="str">
        <f t="shared" si="28"/>
        <v/>
      </c>
      <c r="N116" s="52"/>
      <c r="O116" s="52"/>
      <c r="P116" s="52"/>
    </row>
    <row r="117" spans="1:16" x14ac:dyDescent="0.35">
      <c r="A117" s="52" t="str">
        <f>IF('Mii List'!A117="","",'Mii List'!A117)</f>
        <v/>
      </c>
      <c r="B117" s="52" t="str">
        <f>IF(A117="","",'Mii List'!B117)</f>
        <v/>
      </c>
      <c r="C117" s="52" t="str">
        <f>IF(A117="","",'Mii List'!C117)</f>
        <v/>
      </c>
      <c r="D117" s="52" t="str">
        <f>IF(A117="","",'Mii List'!D117)</f>
        <v/>
      </c>
      <c r="E117" s="52" t="str">
        <f>IF(A117="","",'Mii List'!E117)</f>
        <v/>
      </c>
      <c r="F117" s="52">
        <f t="shared" si="22"/>
        <v>0</v>
      </c>
      <c r="G117" s="52">
        <f t="shared" si="23"/>
        <v>0</v>
      </c>
      <c r="H117" s="52">
        <f t="shared" si="24"/>
        <v>0</v>
      </c>
      <c r="I117" s="52">
        <f t="shared" si="25"/>
        <v>0</v>
      </c>
      <c r="J117" s="52">
        <f t="shared" si="26"/>
        <v>0</v>
      </c>
      <c r="K117" s="52">
        <f t="shared" si="27"/>
        <v>0</v>
      </c>
      <c r="L117" s="52" t="str">
        <f t="array" ref="L117">IF(A117="","",SUMPRODUCT((A$2:A$200&lt;&gt;"")*((F$2:F$200*I117+G$2:G$200*J117+H$2:H$200*K117)&gt;0)*((F117*I$2:I$200+G117*J$2:J$200+H117*K$2:K$200)&gt;0))-IF(F117*I117+G117*J117+H117*K117&gt;0,1,0))</f>
        <v/>
      </c>
      <c r="M117" s="52" t="str">
        <f t="shared" si="28"/>
        <v/>
      </c>
      <c r="N117" s="52"/>
      <c r="O117" s="52"/>
      <c r="P117" s="52"/>
    </row>
    <row r="118" spans="1:16" x14ac:dyDescent="0.35">
      <c r="A118" s="52" t="str">
        <f>IF('Mii List'!A118="","",'Mii List'!A118)</f>
        <v/>
      </c>
      <c r="B118" s="52" t="str">
        <f>IF(A118="","",'Mii List'!B118)</f>
        <v/>
      </c>
      <c r="C118" s="52" t="str">
        <f>IF(A118="","",'Mii List'!C118)</f>
        <v/>
      </c>
      <c r="D118" s="52" t="str">
        <f>IF(A118="","",'Mii List'!D118)</f>
        <v/>
      </c>
      <c r="E118" s="52" t="str">
        <f>IF(A118="","",'Mii List'!E118)</f>
        <v/>
      </c>
      <c r="F118" s="52">
        <f t="shared" si="22"/>
        <v>0</v>
      </c>
      <c r="G118" s="52">
        <f t="shared" si="23"/>
        <v>0</v>
      </c>
      <c r="H118" s="52">
        <f t="shared" si="24"/>
        <v>0</v>
      </c>
      <c r="I118" s="52">
        <f t="shared" si="25"/>
        <v>0</v>
      </c>
      <c r="J118" s="52">
        <f t="shared" si="26"/>
        <v>0</v>
      </c>
      <c r="K118" s="52">
        <f t="shared" si="27"/>
        <v>0</v>
      </c>
      <c r="L118" s="52" t="str">
        <f t="array" ref="L118">IF(A118="","",SUMPRODUCT((A$2:A$200&lt;&gt;"")*((F$2:F$200*I118+G$2:G$200*J118+H$2:H$200*K118)&gt;0)*((F118*I$2:I$200+G118*J$2:J$200+H118*K$2:K$200)&gt;0))-IF(F118*I118+G118*J118+H118*K118&gt;0,1,0))</f>
        <v/>
      </c>
      <c r="M118" s="52" t="str">
        <f t="shared" si="28"/>
        <v/>
      </c>
      <c r="N118" s="52"/>
      <c r="O118" s="52"/>
      <c r="P118" s="52"/>
    </row>
    <row r="119" spans="1:16" x14ac:dyDescent="0.35">
      <c r="A119" s="52" t="str">
        <f>IF('Mii List'!A119="","",'Mii List'!A119)</f>
        <v/>
      </c>
      <c r="B119" s="52" t="str">
        <f>IF(A119="","",'Mii List'!B119)</f>
        <v/>
      </c>
      <c r="C119" s="52" t="str">
        <f>IF(A119="","",'Mii List'!C119)</f>
        <v/>
      </c>
      <c r="D119" s="52" t="str">
        <f>IF(A119="","",'Mii List'!D119)</f>
        <v/>
      </c>
      <c r="E119" s="52" t="str">
        <f>IF(A119="","",'Mii List'!E119)</f>
        <v/>
      </c>
      <c r="F119" s="52">
        <f t="shared" si="22"/>
        <v>0</v>
      </c>
      <c r="G119" s="52">
        <f t="shared" si="23"/>
        <v>0</v>
      </c>
      <c r="H119" s="52">
        <f t="shared" si="24"/>
        <v>0</v>
      </c>
      <c r="I119" s="52">
        <f t="shared" si="25"/>
        <v>0</v>
      </c>
      <c r="J119" s="52">
        <f t="shared" si="26"/>
        <v>0</v>
      </c>
      <c r="K119" s="52">
        <f t="shared" si="27"/>
        <v>0</v>
      </c>
      <c r="L119" s="52" t="str">
        <f t="array" ref="L119">IF(A119="","",SUMPRODUCT((A$2:A$200&lt;&gt;"")*((F$2:F$200*I119+G$2:G$200*J119+H$2:H$200*K119)&gt;0)*((F119*I$2:I$200+G119*J$2:J$200+H119*K$2:K$200)&gt;0))-IF(F119*I119+G119*J119+H119*K119&gt;0,1,0))</f>
        <v/>
      </c>
      <c r="M119" s="52" t="str">
        <f t="shared" si="28"/>
        <v/>
      </c>
      <c r="N119" s="52"/>
      <c r="O119" s="52"/>
      <c r="P119" s="52"/>
    </row>
    <row r="120" spans="1:16" x14ac:dyDescent="0.35">
      <c r="A120" s="52" t="str">
        <f>IF('Mii List'!A120="","",'Mii List'!A120)</f>
        <v/>
      </c>
      <c r="B120" s="52" t="str">
        <f>IF(A120="","",'Mii List'!B120)</f>
        <v/>
      </c>
      <c r="C120" s="52" t="str">
        <f>IF(A120="","",'Mii List'!C120)</f>
        <v/>
      </c>
      <c r="D120" s="52" t="str">
        <f>IF(A120="","",'Mii List'!D120)</f>
        <v/>
      </c>
      <c r="E120" s="52" t="str">
        <f>IF(A120="","",'Mii List'!E120)</f>
        <v/>
      </c>
      <c r="F120" s="52">
        <f t="shared" si="22"/>
        <v>0</v>
      </c>
      <c r="G120" s="52">
        <f t="shared" si="23"/>
        <v>0</v>
      </c>
      <c r="H120" s="52">
        <f t="shared" si="24"/>
        <v>0</v>
      </c>
      <c r="I120" s="52">
        <f t="shared" si="25"/>
        <v>0</v>
      </c>
      <c r="J120" s="52">
        <f t="shared" si="26"/>
        <v>0</v>
      </c>
      <c r="K120" s="52">
        <f t="shared" si="27"/>
        <v>0</v>
      </c>
      <c r="L120" s="52" t="str">
        <f t="array" ref="L120">IF(A120="","",SUMPRODUCT((A$2:A$200&lt;&gt;"")*((F$2:F$200*I120+G$2:G$200*J120+H$2:H$200*K120)&gt;0)*((F120*I$2:I$200+G120*J$2:J$200+H120*K$2:K$200)&gt;0))-IF(F120*I120+G120*J120+H120*K120&gt;0,1,0))</f>
        <v/>
      </c>
      <c r="M120" s="52" t="str">
        <f t="shared" si="28"/>
        <v/>
      </c>
      <c r="N120" s="52"/>
      <c r="O120" s="52"/>
      <c r="P120" s="52"/>
    </row>
    <row r="121" spans="1:16" x14ac:dyDescent="0.35">
      <c r="A121" s="52" t="str">
        <f>IF('Mii List'!A121="","",'Mii List'!A121)</f>
        <v/>
      </c>
      <c r="B121" s="52" t="str">
        <f>IF(A121="","",'Mii List'!B121)</f>
        <v/>
      </c>
      <c r="C121" s="52" t="str">
        <f>IF(A121="","",'Mii List'!C121)</f>
        <v/>
      </c>
      <c r="D121" s="52" t="str">
        <f>IF(A121="","",'Mii List'!D121)</f>
        <v/>
      </c>
      <c r="E121" s="52" t="str">
        <f>IF(A121="","",'Mii List'!E121)</f>
        <v/>
      </c>
      <c r="F121" s="52">
        <f t="shared" si="22"/>
        <v>0</v>
      </c>
      <c r="G121" s="52">
        <f t="shared" si="23"/>
        <v>0</v>
      </c>
      <c r="H121" s="52">
        <f t="shared" si="24"/>
        <v>0</v>
      </c>
      <c r="I121" s="52">
        <f t="shared" si="25"/>
        <v>0</v>
      </c>
      <c r="J121" s="52">
        <f t="shared" si="26"/>
        <v>0</v>
      </c>
      <c r="K121" s="52">
        <f t="shared" si="27"/>
        <v>0</v>
      </c>
      <c r="L121" s="52" t="str">
        <f t="array" ref="L121">IF(A121="","",SUMPRODUCT((A$2:A$200&lt;&gt;"")*((F$2:F$200*I121+G$2:G$200*J121+H$2:H$200*K121)&gt;0)*((F121*I$2:I$200+G121*J$2:J$200+H121*K$2:K$200)&gt;0))-IF(F121*I121+G121*J121+H121*K121&gt;0,1,0))</f>
        <v/>
      </c>
      <c r="M121" s="52" t="str">
        <f t="shared" si="28"/>
        <v/>
      </c>
      <c r="N121" s="52"/>
      <c r="O121" s="52"/>
      <c r="P121" s="52"/>
    </row>
    <row r="122" spans="1:16" x14ac:dyDescent="0.35">
      <c r="A122" s="52" t="str">
        <f>IF('Mii List'!A122="","",'Mii List'!A122)</f>
        <v/>
      </c>
      <c r="B122" s="52" t="str">
        <f>IF(A122="","",'Mii List'!B122)</f>
        <v/>
      </c>
      <c r="C122" s="52" t="str">
        <f>IF(A122="","",'Mii List'!C122)</f>
        <v/>
      </c>
      <c r="D122" s="52" t="str">
        <f>IF(A122="","",'Mii List'!D122)</f>
        <v/>
      </c>
      <c r="E122" s="52" t="str">
        <f>IF(A122="","",'Mii List'!E122)</f>
        <v/>
      </c>
      <c r="F122" s="52">
        <f t="shared" si="22"/>
        <v>0</v>
      </c>
      <c r="G122" s="52">
        <f t="shared" si="23"/>
        <v>0</v>
      </c>
      <c r="H122" s="52">
        <f t="shared" si="24"/>
        <v>0</v>
      </c>
      <c r="I122" s="52">
        <f t="shared" si="25"/>
        <v>0</v>
      </c>
      <c r="J122" s="52">
        <f t="shared" si="26"/>
        <v>0</v>
      </c>
      <c r="K122" s="52">
        <f t="shared" si="27"/>
        <v>0</v>
      </c>
      <c r="L122" s="52" t="str">
        <f t="array" ref="L122">IF(A122="","",SUMPRODUCT((A$2:A$200&lt;&gt;"")*((F$2:F$200*I122+G$2:G$200*J122+H$2:H$200*K122)&gt;0)*((F122*I$2:I$200+G122*J$2:J$200+H122*K$2:K$200)&gt;0))-IF(F122*I122+G122*J122+H122*K122&gt;0,1,0))</f>
        <v/>
      </c>
      <c r="M122" s="52" t="str">
        <f t="shared" si="28"/>
        <v/>
      </c>
      <c r="N122" s="52"/>
      <c r="O122" s="52"/>
      <c r="P122" s="52"/>
    </row>
    <row r="123" spans="1:16" x14ac:dyDescent="0.35">
      <c r="A123" s="52" t="str">
        <f>IF('Mii List'!A123="","",'Mii List'!A123)</f>
        <v/>
      </c>
      <c r="B123" s="52" t="str">
        <f>IF(A123="","",'Mii List'!B123)</f>
        <v/>
      </c>
      <c r="C123" s="52" t="str">
        <f>IF(A123="","",'Mii List'!C123)</f>
        <v/>
      </c>
      <c r="D123" s="52" t="str">
        <f>IF(A123="","",'Mii List'!D123)</f>
        <v/>
      </c>
      <c r="E123" s="52" t="str">
        <f>IF(A123="","",'Mii List'!E123)</f>
        <v/>
      </c>
      <c r="F123" s="52">
        <f t="shared" si="22"/>
        <v>0</v>
      </c>
      <c r="G123" s="52">
        <f t="shared" si="23"/>
        <v>0</v>
      </c>
      <c r="H123" s="52">
        <f t="shared" si="24"/>
        <v>0</v>
      </c>
      <c r="I123" s="52">
        <f t="shared" si="25"/>
        <v>0</v>
      </c>
      <c r="J123" s="52">
        <f t="shared" si="26"/>
        <v>0</v>
      </c>
      <c r="K123" s="52">
        <f t="shared" si="27"/>
        <v>0</v>
      </c>
      <c r="L123" s="52" t="str">
        <f t="array" ref="L123">IF(A123="","",SUMPRODUCT((A$2:A$200&lt;&gt;"")*((F$2:F$200*I123+G$2:G$200*J123+H$2:H$200*K123)&gt;0)*((F123*I$2:I$200+G123*J$2:J$200+H123*K$2:K$200)&gt;0))-IF(F123*I123+G123*J123+H123*K123&gt;0,1,0))</f>
        <v/>
      </c>
      <c r="M123" s="52" t="str">
        <f t="shared" si="28"/>
        <v/>
      </c>
      <c r="N123" s="52"/>
      <c r="O123" s="52"/>
      <c r="P123" s="52"/>
    </row>
    <row r="124" spans="1:16" x14ac:dyDescent="0.35">
      <c r="A124" s="52" t="str">
        <f>IF('Mii List'!A124="","",'Mii List'!A124)</f>
        <v/>
      </c>
      <c r="B124" s="52" t="str">
        <f>IF(A124="","",'Mii List'!B124)</f>
        <v/>
      </c>
      <c r="C124" s="52" t="str">
        <f>IF(A124="","",'Mii List'!C124)</f>
        <v/>
      </c>
      <c r="D124" s="52" t="str">
        <f>IF(A124="","",'Mii List'!D124)</f>
        <v/>
      </c>
      <c r="E124" s="52" t="str">
        <f>IF(A124="","",'Mii List'!E124)</f>
        <v/>
      </c>
      <c r="F124" s="52">
        <f t="shared" si="22"/>
        <v>0</v>
      </c>
      <c r="G124" s="52">
        <f t="shared" si="23"/>
        <v>0</v>
      </c>
      <c r="H124" s="52">
        <f t="shared" si="24"/>
        <v>0</v>
      </c>
      <c r="I124" s="52">
        <f t="shared" si="25"/>
        <v>0</v>
      </c>
      <c r="J124" s="52">
        <f t="shared" si="26"/>
        <v>0</v>
      </c>
      <c r="K124" s="52">
        <f t="shared" si="27"/>
        <v>0</v>
      </c>
      <c r="L124" s="52" t="str">
        <f t="array" ref="L124">IF(A124="","",SUMPRODUCT((A$2:A$200&lt;&gt;"")*((F$2:F$200*I124+G$2:G$200*J124+H$2:H$200*K124)&gt;0)*((F124*I$2:I$200+G124*J$2:J$200+H124*K$2:K$200)&gt;0))-IF(F124*I124+G124*J124+H124*K124&gt;0,1,0))</f>
        <v/>
      </c>
      <c r="M124" s="52" t="str">
        <f t="shared" si="28"/>
        <v/>
      </c>
      <c r="N124" s="52"/>
      <c r="O124" s="52"/>
      <c r="P124" s="52"/>
    </row>
    <row r="125" spans="1:16" x14ac:dyDescent="0.35">
      <c r="A125" s="52" t="str">
        <f>IF('Mii List'!A125="","",'Mii List'!A125)</f>
        <v/>
      </c>
      <c r="B125" s="52" t="str">
        <f>IF(A125="","",'Mii List'!B125)</f>
        <v/>
      </c>
      <c r="C125" s="52" t="str">
        <f>IF(A125="","",'Mii List'!C125)</f>
        <v/>
      </c>
      <c r="D125" s="52" t="str">
        <f>IF(A125="","",'Mii List'!D125)</f>
        <v/>
      </c>
      <c r="E125" s="52" t="str">
        <f>IF(A125="","",'Mii List'!E125)</f>
        <v/>
      </c>
      <c r="F125" s="52">
        <f t="shared" si="22"/>
        <v>0</v>
      </c>
      <c r="G125" s="52">
        <f t="shared" si="23"/>
        <v>0</v>
      </c>
      <c r="H125" s="52">
        <f t="shared" si="24"/>
        <v>0</v>
      </c>
      <c r="I125" s="52">
        <f t="shared" si="25"/>
        <v>0</v>
      </c>
      <c r="J125" s="52">
        <f t="shared" si="26"/>
        <v>0</v>
      </c>
      <c r="K125" s="52">
        <f t="shared" si="27"/>
        <v>0</v>
      </c>
      <c r="L125" s="52" t="str">
        <f t="array" ref="L125">IF(A125="","",SUMPRODUCT((A$2:A$200&lt;&gt;"")*((F$2:F$200*I125+G$2:G$200*J125+H$2:H$200*K125)&gt;0)*((F125*I$2:I$200+G125*J$2:J$200+H125*K$2:K$200)&gt;0))-IF(F125*I125+G125*J125+H125*K125&gt;0,1,0))</f>
        <v/>
      </c>
      <c r="M125" s="52" t="str">
        <f t="shared" si="28"/>
        <v/>
      </c>
      <c r="N125" s="52"/>
      <c r="O125" s="52"/>
      <c r="P125" s="52"/>
    </row>
    <row r="126" spans="1:16" x14ac:dyDescent="0.35">
      <c r="A126" s="52" t="str">
        <f>IF('Mii List'!A126="","",'Mii List'!A126)</f>
        <v/>
      </c>
      <c r="B126" s="52" t="str">
        <f>IF(A126="","",'Mii List'!B126)</f>
        <v/>
      </c>
      <c r="C126" s="52" t="str">
        <f>IF(A126="","",'Mii List'!C126)</f>
        <v/>
      </c>
      <c r="D126" s="52" t="str">
        <f>IF(A126="","",'Mii List'!D126)</f>
        <v/>
      </c>
      <c r="E126" s="52" t="str">
        <f>IF(A126="","",'Mii List'!E126)</f>
        <v/>
      </c>
      <c r="F126" s="52">
        <f t="shared" si="22"/>
        <v>0</v>
      </c>
      <c r="G126" s="52">
        <f t="shared" si="23"/>
        <v>0</v>
      </c>
      <c r="H126" s="52">
        <f t="shared" si="24"/>
        <v>0</v>
      </c>
      <c r="I126" s="52">
        <f t="shared" si="25"/>
        <v>0</v>
      </c>
      <c r="J126" s="52">
        <f t="shared" si="26"/>
        <v>0</v>
      </c>
      <c r="K126" s="52">
        <f t="shared" si="27"/>
        <v>0</v>
      </c>
      <c r="L126" s="52" t="str">
        <f t="array" ref="L126">IF(A126="","",SUMPRODUCT((A$2:A$200&lt;&gt;"")*((F$2:F$200*I126+G$2:G$200*J126+H$2:H$200*K126)&gt;0)*((F126*I$2:I$200+G126*J$2:J$200+H126*K$2:K$200)&gt;0))-IF(F126*I126+G126*J126+H126*K126&gt;0,1,0))</f>
        <v/>
      </c>
      <c r="M126" s="52" t="str">
        <f t="shared" si="28"/>
        <v/>
      </c>
      <c r="N126" s="52"/>
      <c r="O126" s="52"/>
      <c r="P126" s="52"/>
    </row>
    <row r="127" spans="1:16" x14ac:dyDescent="0.35">
      <c r="A127" s="52" t="str">
        <f>IF('Mii List'!A127="","",'Mii List'!A127)</f>
        <v/>
      </c>
      <c r="B127" s="52" t="str">
        <f>IF(A127="","",'Mii List'!B127)</f>
        <v/>
      </c>
      <c r="C127" s="52" t="str">
        <f>IF(A127="","",'Mii List'!C127)</f>
        <v/>
      </c>
      <c r="D127" s="52" t="str">
        <f>IF(A127="","",'Mii List'!D127)</f>
        <v/>
      </c>
      <c r="E127" s="52" t="str">
        <f>IF(A127="","",'Mii List'!E127)</f>
        <v/>
      </c>
      <c r="F127" s="52">
        <f t="shared" si="22"/>
        <v>0</v>
      </c>
      <c r="G127" s="52">
        <f t="shared" si="23"/>
        <v>0</v>
      </c>
      <c r="H127" s="52">
        <f t="shared" si="24"/>
        <v>0</v>
      </c>
      <c r="I127" s="52">
        <f t="shared" si="25"/>
        <v>0</v>
      </c>
      <c r="J127" s="52">
        <f t="shared" si="26"/>
        <v>0</v>
      </c>
      <c r="K127" s="52">
        <f t="shared" si="27"/>
        <v>0</v>
      </c>
      <c r="L127" s="52" t="str">
        <f t="array" ref="L127">IF(A127="","",SUMPRODUCT((A$2:A$200&lt;&gt;"")*((F$2:F$200*I127+G$2:G$200*J127+H$2:H$200*K127)&gt;0)*((F127*I$2:I$200+G127*J$2:J$200+H127*K$2:K$200)&gt;0))-IF(F127*I127+G127*J127+H127*K127&gt;0,1,0))</f>
        <v/>
      </c>
      <c r="M127" s="52" t="str">
        <f t="shared" si="28"/>
        <v/>
      </c>
      <c r="N127" s="52"/>
      <c r="O127" s="52"/>
      <c r="P127" s="52"/>
    </row>
    <row r="128" spans="1:16" x14ac:dyDescent="0.35">
      <c r="A128" s="52" t="str">
        <f>IF('Mii List'!A128="","",'Mii List'!A128)</f>
        <v/>
      </c>
      <c r="B128" s="52" t="str">
        <f>IF(A128="","",'Mii List'!B128)</f>
        <v/>
      </c>
      <c r="C128" s="52" t="str">
        <f>IF(A128="","",'Mii List'!C128)</f>
        <v/>
      </c>
      <c r="D128" s="52" t="str">
        <f>IF(A128="","",'Mii List'!D128)</f>
        <v/>
      </c>
      <c r="E128" s="52" t="str">
        <f>IF(A128="","",'Mii List'!E128)</f>
        <v/>
      </c>
      <c r="F128" s="52">
        <f t="shared" si="22"/>
        <v>0</v>
      </c>
      <c r="G128" s="52">
        <f t="shared" si="23"/>
        <v>0</v>
      </c>
      <c r="H128" s="52">
        <f t="shared" si="24"/>
        <v>0</v>
      </c>
      <c r="I128" s="52">
        <f t="shared" si="25"/>
        <v>0</v>
      </c>
      <c r="J128" s="52">
        <f t="shared" si="26"/>
        <v>0</v>
      </c>
      <c r="K128" s="52">
        <f t="shared" si="27"/>
        <v>0</v>
      </c>
      <c r="L128" s="52" t="str">
        <f t="array" ref="L128">IF(A128="","",SUMPRODUCT((A$2:A$200&lt;&gt;"")*((F$2:F$200*I128+G$2:G$200*J128+H$2:H$200*K128)&gt;0)*((F128*I$2:I$200+G128*J$2:J$200+H128*K$2:K$200)&gt;0))-IF(F128*I128+G128*J128+H128*K128&gt;0,1,0))</f>
        <v/>
      </c>
      <c r="M128" s="52" t="str">
        <f t="shared" si="28"/>
        <v/>
      </c>
      <c r="N128" s="52"/>
      <c r="O128" s="52"/>
      <c r="P128" s="52"/>
    </row>
    <row r="129" spans="1:16" x14ac:dyDescent="0.35">
      <c r="A129" s="52" t="str">
        <f>IF('Mii List'!A129="","",'Mii List'!A129)</f>
        <v/>
      </c>
      <c r="B129" s="52" t="str">
        <f>IF(A129="","",'Mii List'!B129)</f>
        <v/>
      </c>
      <c r="C129" s="52" t="str">
        <f>IF(A129="","",'Mii List'!C129)</f>
        <v/>
      </c>
      <c r="D129" s="52" t="str">
        <f>IF(A129="","",'Mii List'!D129)</f>
        <v/>
      </c>
      <c r="E129" s="52" t="str">
        <f>IF(A129="","",'Mii List'!E129)</f>
        <v/>
      </c>
      <c r="F129" s="52">
        <f t="shared" si="22"/>
        <v>0</v>
      </c>
      <c r="G129" s="52">
        <f t="shared" si="23"/>
        <v>0</v>
      </c>
      <c r="H129" s="52">
        <f t="shared" si="24"/>
        <v>0</v>
      </c>
      <c r="I129" s="52">
        <f t="shared" si="25"/>
        <v>0</v>
      </c>
      <c r="J129" s="52">
        <f t="shared" si="26"/>
        <v>0</v>
      </c>
      <c r="K129" s="52">
        <f t="shared" si="27"/>
        <v>0</v>
      </c>
      <c r="L129" s="52" t="str">
        <f t="array" ref="L129">IF(A129="","",SUMPRODUCT((A$2:A$200&lt;&gt;"")*((F$2:F$200*I129+G$2:G$200*J129+H$2:H$200*K129)&gt;0)*((F129*I$2:I$200+G129*J$2:J$200+H129*K$2:K$200)&gt;0))-IF(F129*I129+G129*J129+H129*K129&gt;0,1,0))</f>
        <v/>
      </c>
      <c r="M129" s="52" t="str">
        <f t="shared" si="28"/>
        <v/>
      </c>
      <c r="N129" s="52"/>
      <c r="O129" s="52"/>
      <c r="P129" s="52"/>
    </row>
    <row r="130" spans="1:16" x14ac:dyDescent="0.35">
      <c r="A130" s="52" t="str">
        <f>IF('Mii List'!A130="","",'Mii List'!A130)</f>
        <v/>
      </c>
      <c r="B130" s="52" t="str">
        <f>IF(A130="","",'Mii List'!B130)</f>
        <v/>
      </c>
      <c r="C130" s="52" t="str">
        <f>IF(A130="","",'Mii List'!C130)</f>
        <v/>
      </c>
      <c r="D130" s="52" t="str">
        <f>IF(A130="","",'Mii List'!D130)</f>
        <v/>
      </c>
      <c r="E130" s="52" t="str">
        <f>IF(A130="","",'Mii List'!E130)</f>
        <v/>
      </c>
      <c r="F130" s="52">
        <f t="shared" ref="F130:F161" si="29">IF(A130="",0,(C130="✓")*1)</f>
        <v>0</v>
      </c>
      <c r="G130" s="52">
        <f t="shared" ref="G130:G161" si="30">IF(A130="",0,(D130="✓")*1)</f>
        <v>0</v>
      </c>
      <c r="H130" s="52">
        <f t="shared" ref="H130:H161" si="31">IF(A130="",0,(E130="✓")*1)</f>
        <v>0</v>
      </c>
      <c r="I130" s="52">
        <f t="shared" ref="I130:I161" si="32">IF(A130="",0,(B130="Male")*1)</f>
        <v>0</v>
      </c>
      <c r="J130" s="52">
        <f t="shared" ref="J130:J161" si="33">IF(A130="",0,(B130="Female")*1)</f>
        <v>0</v>
      </c>
      <c r="K130" s="52">
        <f t="shared" ref="K130:K161" si="34">IF(A130="",0,(B130="Nonbinary")*1)</f>
        <v>0</v>
      </c>
      <c r="L130" s="52" t="str">
        <f t="array" ref="L130">IF(A130="","",SUMPRODUCT((A$2:A$200&lt;&gt;"")*((F$2:F$200*I130+G$2:G$200*J130+H$2:H$200*K130)&gt;0)*((F130*I$2:I$200+G130*J$2:J$200+H130*K$2:K$200)&gt;0))-IF(F130*I130+G130*J130+H130*K130&gt;0,1,0))</f>
        <v/>
      </c>
      <c r="M130" s="52" t="str">
        <f t="shared" ref="M130:M161" si="35">IF(A130="","",RANK(L130,L$2:L$200,1)+COUNTIFS(L$2:L$200,L130,A$2:A$200,"&lt;"&amp;A130))</f>
        <v/>
      </c>
      <c r="N130" s="52"/>
      <c r="O130" s="52"/>
      <c r="P130" s="52"/>
    </row>
    <row r="131" spans="1:16" x14ac:dyDescent="0.35">
      <c r="A131" s="52" t="str">
        <f>IF('Mii List'!A131="","",'Mii List'!A131)</f>
        <v/>
      </c>
      <c r="B131" s="52" t="str">
        <f>IF(A131="","",'Mii List'!B131)</f>
        <v/>
      </c>
      <c r="C131" s="52" t="str">
        <f>IF(A131="","",'Mii List'!C131)</f>
        <v/>
      </c>
      <c r="D131" s="52" t="str">
        <f>IF(A131="","",'Mii List'!D131)</f>
        <v/>
      </c>
      <c r="E131" s="52" t="str">
        <f>IF(A131="","",'Mii List'!E131)</f>
        <v/>
      </c>
      <c r="F131" s="52">
        <f t="shared" si="29"/>
        <v>0</v>
      </c>
      <c r="G131" s="52">
        <f t="shared" si="30"/>
        <v>0</v>
      </c>
      <c r="H131" s="52">
        <f t="shared" si="31"/>
        <v>0</v>
      </c>
      <c r="I131" s="52">
        <f t="shared" si="32"/>
        <v>0</v>
      </c>
      <c r="J131" s="52">
        <f t="shared" si="33"/>
        <v>0</v>
      </c>
      <c r="K131" s="52">
        <f t="shared" si="34"/>
        <v>0</v>
      </c>
      <c r="L131" s="52" t="str">
        <f t="array" ref="L131">IF(A131="","",SUMPRODUCT((A$2:A$200&lt;&gt;"")*((F$2:F$200*I131+G$2:G$200*J131+H$2:H$200*K131)&gt;0)*((F131*I$2:I$200+G131*J$2:J$200+H131*K$2:K$200)&gt;0))-IF(F131*I131+G131*J131+H131*K131&gt;0,1,0))</f>
        <v/>
      </c>
      <c r="M131" s="52" t="str">
        <f t="shared" si="35"/>
        <v/>
      </c>
      <c r="N131" s="52"/>
      <c r="O131" s="52"/>
      <c r="P131" s="52"/>
    </row>
    <row r="132" spans="1:16" x14ac:dyDescent="0.35">
      <c r="A132" s="52" t="str">
        <f>IF('Mii List'!A132="","",'Mii List'!A132)</f>
        <v/>
      </c>
      <c r="B132" s="52" t="str">
        <f>IF(A132="","",'Mii List'!B132)</f>
        <v/>
      </c>
      <c r="C132" s="52" t="str">
        <f>IF(A132="","",'Mii List'!C132)</f>
        <v/>
      </c>
      <c r="D132" s="52" t="str">
        <f>IF(A132="","",'Mii List'!D132)</f>
        <v/>
      </c>
      <c r="E132" s="52" t="str">
        <f>IF(A132="","",'Mii List'!E132)</f>
        <v/>
      </c>
      <c r="F132" s="52">
        <f t="shared" si="29"/>
        <v>0</v>
      </c>
      <c r="G132" s="52">
        <f t="shared" si="30"/>
        <v>0</v>
      </c>
      <c r="H132" s="52">
        <f t="shared" si="31"/>
        <v>0</v>
      </c>
      <c r="I132" s="52">
        <f t="shared" si="32"/>
        <v>0</v>
      </c>
      <c r="J132" s="52">
        <f t="shared" si="33"/>
        <v>0</v>
      </c>
      <c r="K132" s="52">
        <f t="shared" si="34"/>
        <v>0</v>
      </c>
      <c r="L132" s="52" t="str">
        <f t="array" ref="L132">IF(A132="","",SUMPRODUCT((A$2:A$200&lt;&gt;"")*((F$2:F$200*I132+G$2:G$200*J132+H$2:H$200*K132)&gt;0)*((F132*I$2:I$200+G132*J$2:J$200+H132*K$2:K$200)&gt;0))-IF(F132*I132+G132*J132+H132*K132&gt;0,1,0))</f>
        <v/>
      </c>
      <c r="M132" s="52" t="str">
        <f t="shared" si="35"/>
        <v/>
      </c>
      <c r="N132" s="52"/>
      <c r="O132" s="52"/>
      <c r="P132" s="52"/>
    </row>
    <row r="133" spans="1:16" x14ac:dyDescent="0.35">
      <c r="A133" s="52" t="str">
        <f>IF('Mii List'!A133="","",'Mii List'!A133)</f>
        <v/>
      </c>
      <c r="B133" s="52" t="str">
        <f>IF(A133="","",'Mii List'!B133)</f>
        <v/>
      </c>
      <c r="C133" s="52" t="str">
        <f>IF(A133="","",'Mii List'!C133)</f>
        <v/>
      </c>
      <c r="D133" s="52" t="str">
        <f>IF(A133="","",'Mii List'!D133)</f>
        <v/>
      </c>
      <c r="E133" s="52" t="str">
        <f>IF(A133="","",'Mii List'!E133)</f>
        <v/>
      </c>
      <c r="F133" s="52">
        <f t="shared" si="29"/>
        <v>0</v>
      </c>
      <c r="G133" s="52">
        <f t="shared" si="30"/>
        <v>0</v>
      </c>
      <c r="H133" s="52">
        <f t="shared" si="31"/>
        <v>0</v>
      </c>
      <c r="I133" s="52">
        <f t="shared" si="32"/>
        <v>0</v>
      </c>
      <c r="J133" s="52">
        <f t="shared" si="33"/>
        <v>0</v>
      </c>
      <c r="K133" s="52">
        <f t="shared" si="34"/>
        <v>0</v>
      </c>
      <c r="L133" s="52" t="str">
        <f t="array" ref="L133">IF(A133="","",SUMPRODUCT((A$2:A$200&lt;&gt;"")*((F$2:F$200*I133+G$2:G$200*J133+H$2:H$200*K133)&gt;0)*((F133*I$2:I$200+G133*J$2:J$200+H133*K$2:K$200)&gt;0))-IF(F133*I133+G133*J133+H133*K133&gt;0,1,0))</f>
        <v/>
      </c>
      <c r="M133" s="52" t="str">
        <f t="shared" si="35"/>
        <v/>
      </c>
      <c r="N133" s="52"/>
      <c r="O133" s="52"/>
      <c r="P133" s="52"/>
    </row>
    <row r="134" spans="1:16" x14ac:dyDescent="0.35">
      <c r="A134" s="52" t="str">
        <f>IF('Mii List'!A134="","",'Mii List'!A134)</f>
        <v/>
      </c>
      <c r="B134" s="52" t="str">
        <f>IF(A134="","",'Mii List'!B134)</f>
        <v/>
      </c>
      <c r="C134" s="52" t="str">
        <f>IF(A134="","",'Mii List'!C134)</f>
        <v/>
      </c>
      <c r="D134" s="52" t="str">
        <f>IF(A134="","",'Mii List'!D134)</f>
        <v/>
      </c>
      <c r="E134" s="52" t="str">
        <f>IF(A134="","",'Mii List'!E134)</f>
        <v/>
      </c>
      <c r="F134" s="52">
        <f t="shared" si="29"/>
        <v>0</v>
      </c>
      <c r="G134" s="52">
        <f t="shared" si="30"/>
        <v>0</v>
      </c>
      <c r="H134" s="52">
        <f t="shared" si="31"/>
        <v>0</v>
      </c>
      <c r="I134" s="52">
        <f t="shared" si="32"/>
        <v>0</v>
      </c>
      <c r="J134" s="52">
        <f t="shared" si="33"/>
        <v>0</v>
      </c>
      <c r="K134" s="52">
        <f t="shared" si="34"/>
        <v>0</v>
      </c>
      <c r="L134" s="52" t="str">
        <f t="array" ref="L134">IF(A134="","",SUMPRODUCT((A$2:A$200&lt;&gt;"")*((F$2:F$200*I134+G$2:G$200*J134+H$2:H$200*K134)&gt;0)*((F134*I$2:I$200+G134*J$2:J$200+H134*K$2:K$200)&gt;0))-IF(F134*I134+G134*J134+H134*K134&gt;0,1,0))</f>
        <v/>
      </c>
      <c r="M134" s="52" t="str">
        <f t="shared" si="35"/>
        <v/>
      </c>
      <c r="N134" s="52"/>
      <c r="O134" s="52"/>
      <c r="P134" s="52"/>
    </row>
    <row r="135" spans="1:16" x14ac:dyDescent="0.35">
      <c r="A135" s="52" t="str">
        <f>IF('Mii List'!A135="","",'Mii List'!A135)</f>
        <v/>
      </c>
      <c r="B135" s="52" t="str">
        <f>IF(A135="","",'Mii List'!B135)</f>
        <v/>
      </c>
      <c r="C135" s="52" t="str">
        <f>IF(A135="","",'Mii List'!C135)</f>
        <v/>
      </c>
      <c r="D135" s="52" t="str">
        <f>IF(A135="","",'Mii List'!D135)</f>
        <v/>
      </c>
      <c r="E135" s="52" t="str">
        <f>IF(A135="","",'Mii List'!E135)</f>
        <v/>
      </c>
      <c r="F135" s="52">
        <f t="shared" si="29"/>
        <v>0</v>
      </c>
      <c r="G135" s="52">
        <f t="shared" si="30"/>
        <v>0</v>
      </c>
      <c r="H135" s="52">
        <f t="shared" si="31"/>
        <v>0</v>
      </c>
      <c r="I135" s="52">
        <f t="shared" si="32"/>
        <v>0</v>
      </c>
      <c r="J135" s="52">
        <f t="shared" si="33"/>
        <v>0</v>
      </c>
      <c r="K135" s="52">
        <f t="shared" si="34"/>
        <v>0</v>
      </c>
      <c r="L135" s="52" t="str">
        <f t="array" ref="L135">IF(A135="","",SUMPRODUCT((A$2:A$200&lt;&gt;"")*((F$2:F$200*I135+G$2:G$200*J135+H$2:H$200*K135)&gt;0)*((F135*I$2:I$200+G135*J$2:J$200+H135*K$2:K$200)&gt;0))-IF(F135*I135+G135*J135+H135*K135&gt;0,1,0))</f>
        <v/>
      </c>
      <c r="M135" s="52" t="str">
        <f t="shared" si="35"/>
        <v/>
      </c>
      <c r="N135" s="52"/>
      <c r="O135" s="52"/>
      <c r="P135" s="52"/>
    </row>
    <row r="136" spans="1:16" x14ac:dyDescent="0.35">
      <c r="A136" s="52" t="str">
        <f>IF('Mii List'!A136="","",'Mii List'!A136)</f>
        <v/>
      </c>
      <c r="B136" s="52" t="str">
        <f>IF(A136="","",'Mii List'!B136)</f>
        <v/>
      </c>
      <c r="C136" s="52" t="str">
        <f>IF(A136="","",'Mii List'!C136)</f>
        <v/>
      </c>
      <c r="D136" s="52" t="str">
        <f>IF(A136="","",'Mii List'!D136)</f>
        <v/>
      </c>
      <c r="E136" s="52" t="str">
        <f>IF(A136="","",'Mii List'!E136)</f>
        <v/>
      </c>
      <c r="F136" s="52">
        <f t="shared" si="29"/>
        <v>0</v>
      </c>
      <c r="G136" s="52">
        <f t="shared" si="30"/>
        <v>0</v>
      </c>
      <c r="H136" s="52">
        <f t="shared" si="31"/>
        <v>0</v>
      </c>
      <c r="I136" s="52">
        <f t="shared" si="32"/>
        <v>0</v>
      </c>
      <c r="J136" s="52">
        <f t="shared" si="33"/>
        <v>0</v>
      </c>
      <c r="K136" s="52">
        <f t="shared" si="34"/>
        <v>0</v>
      </c>
      <c r="L136" s="52" t="str">
        <f t="array" ref="L136">IF(A136="","",SUMPRODUCT((A$2:A$200&lt;&gt;"")*((F$2:F$200*I136+G$2:G$200*J136+H$2:H$200*K136)&gt;0)*((F136*I$2:I$200+G136*J$2:J$200+H136*K$2:K$200)&gt;0))-IF(F136*I136+G136*J136+H136*K136&gt;0,1,0))</f>
        <v/>
      </c>
      <c r="M136" s="52" t="str">
        <f t="shared" si="35"/>
        <v/>
      </c>
      <c r="N136" s="52"/>
      <c r="O136" s="52"/>
      <c r="P136" s="52"/>
    </row>
    <row r="137" spans="1:16" x14ac:dyDescent="0.35">
      <c r="A137" s="52" t="str">
        <f>IF('Mii List'!A137="","",'Mii List'!A137)</f>
        <v/>
      </c>
      <c r="B137" s="52" t="str">
        <f>IF(A137="","",'Mii List'!B137)</f>
        <v/>
      </c>
      <c r="C137" s="52" t="str">
        <f>IF(A137="","",'Mii List'!C137)</f>
        <v/>
      </c>
      <c r="D137" s="52" t="str">
        <f>IF(A137="","",'Mii List'!D137)</f>
        <v/>
      </c>
      <c r="E137" s="52" t="str">
        <f>IF(A137="","",'Mii List'!E137)</f>
        <v/>
      </c>
      <c r="F137" s="52">
        <f t="shared" si="29"/>
        <v>0</v>
      </c>
      <c r="G137" s="52">
        <f t="shared" si="30"/>
        <v>0</v>
      </c>
      <c r="H137" s="52">
        <f t="shared" si="31"/>
        <v>0</v>
      </c>
      <c r="I137" s="52">
        <f t="shared" si="32"/>
        <v>0</v>
      </c>
      <c r="J137" s="52">
        <f t="shared" si="33"/>
        <v>0</v>
      </c>
      <c r="K137" s="52">
        <f t="shared" si="34"/>
        <v>0</v>
      </c>
      <c r="L137" s="52" t="str">
        <f t="array" ref="L137">IF(A137="","",SUMPRODUCT((A$2:A$200&lt;&gt;"")*((F$2:F$200*I137+G$2:G$200*J137+H$2:H$200*K137)&gt;0)*((F137*I$2:I$200+G137*J$2:J$200+H137*K$2:K$200)&gt;0))-IF(F137*I137+G137*J137+H137*K137&gt;0,1,0))</f>
        <v/>
      </c>
      <c r="M137" s="52" t="str">
        <f t="shared" si="35"/>
        <v/>
      </c>
      <c r="N137" s="52"/>
      <c r="O137" s="52"/>
      <c r="P137" s="52"/>
    </row>
    <row r="138" spans="1:16" x14ac:dyDescent="0.35">
      <c r="A138" s="52" t="str">
        <f>IF('Mii List'!A138="","",'Mii List'!A138)</f>
        <v/>
      </c>
      <c r="B138" s="52" t="str">
        <f>IF(A138="","",'Mii List'!B138)</f>
        <v/>
      </c>
      <c r="C138" s="52" t="str">
        <f>IF(A138="","",'Mii List'!C138)</f>
        <v/>
      </c>
      <c r="D138" s="52" t="str">
        <f>IF(A138="","",'Mii List'!D138)</f>
        <v/>
      </c>
      <c r="E138" s="52" t="str">
        <f>IF(A138="","",'Mii List'!E138)</f>
        <v/>
      </c>
      <c r="F138" s="52">
        <f t="shared" si="29"/>
        <v>0</v>
      </c>
      <c r="G138" s="52">
        <f t="shared" si="30"/>
        <v>0</v>
      </c>
      <c r="H138" s="52">
        <f t="shared" si="31"/>
        <v>0</v>
      </c>
      <c r="I138" s="52">
        <f t="shared" si="32"/>
        <v>0</v>
      </c>
      <c r="J138" s="52">
        <f t="shared" si="33"/>
        <v>0</v>
      </c>
      <c r="K138" s="52">
        <f t="shared" si="34"/>
        <v>0</v>
      </c>
      <c r="L138" s="52" t="str">
        <f t="array" ref="L138">IF(A138="","",SUMPRODUCT((A$2:A$200&lt;&gt;"")*((F$2:F$200*I138+G$2:G$200*J138+H$2:H$200*K138)&gt;0)*((F138*I$2:I$200+G138*J$2:J$200+H138*K$2:K$200)&gt;0))-IF(F138*I138+G138*J138+H138*K138&gt;0,1,0))</f>
        <v/>
      </c>
      <c r="M138" s="52" t="str">
        <f t="shared" si="35"/>
        <v/>
      </c>
      <c r="N138" s="52"/>
      <c r="O138" s="52"/>
      <c r="P138" s="52"/>
    </row>
    <row r="139" spans="1:16" x14ac:dyDescent="0.35">
      <c r="A139" s="52" t="str">
        <f>IF('Mii List'!A139="","",'Mii List'!A139)</f>
        <v/>
      </c>
      <c r="B139" s="52" t="str">
        <f>IF(A139="","",'Mii List'!B139)</f>
        <v/>
      </c>
      <c r="C139" s="52" t="str">
        <f>IF(A139="","",'Mii List'!C139)</f>
        <v/>
      </c>
      <c r="D139" s="52" t="str">
        <f>IF(A139="","",'Mii List'!D139)</f>
        <v/>
      </c>
      <c r="E139" s="52" t="str">
        <f>IF(A139="","",'Mii List'!E139)</f>
        <v/>
      </c>
      <c r="F139" s="52">
        <f t="shared" si="29"/>
        <v>0</v>
      </c>
      <c r="G139" s="52">
        <f t="shared" si="30"/>
        <v>0</v>
      </c>
      <c r="H139" s="52">
        <f t="shared" si="31"/>
        <v>0</v>
      </c>
      <c r="I139" s="52">
        <f t="shared" si="32"/>
        <v>0</v>
      </c>
      <c r="J139" s="52">
        <f t="shared" si="33"/>
        <v>0</v>
      </c>
      <c r="K139" s="52">
        <f t="shared" si="34"/>
        <v>0</v>
      </c>
      <c r="L139" s="52" t="str">
        <f t="array" ref="L139">IF(A139="","",SUMPRODUCT((A$2:A$200&lt;&gt;"")*((F$2:F$200*I139+G$2:G$200*J139+H$2:H$200*K139)&gt;0)*((F139*I$2:I$200+G139*J$2:J$200+H139*K$2:K$200)&gt;0))-IF(F139*I139+G139*J139+H139*K139&gt;0,1,0))</f>
        <v/>
      </c>
      <c r="M139" s="52" t="str">
        <f t="shared" si="35"/>
        <v/>
      </c>
      <c r="N139" s="52"/>
      <c r="O139" s="52"/>
      <c r="P139" s="52"/>
    </row>
    <row r="140" spans="1:16" x14ac:dyDescent="0.35">
      <c r="A140" s="52" t="str">
        <f>IF('Mii List'!A140="","",'Mii List'!A140)</f>
        <v/>
      </c>
      <c r="B140" s="52" t="str">
        <f>IF(A140="","",'Mii List'!B140)</f>
        <v/>
      </c>
      <c r="C140" s="52" t="str">
        <f>IF(A140="","",'Mii List'!C140)</f>
        <v/>
      </c>
      <c r="D140" s="52" t="str">
        <f>IF(A140="","",'Mii List'!D140)</f>
        <v/>
      </c>
      <c r="E140" s="52" t="str">
        <f>IF(A140="","",'Mii List'!E140)</f>
        <v/>
      </c>
      <c r="F140" s="52">
        <f t="shared" si="29"/>
        <v>0</v>
      </c>
      <c r="G140" s="52">
        <f t="shared" si="30"/>
        <v>0</v>
      </c>
      <c r="H140" s="52">
        <f t="shared" si="31"/>
        <v>0</v>
      </c>
      <c r="I140" s="52">
        <f t="shared" si="32"/>
        <v>0</v>
      </c>
      <c r="J140" s="52">
        <f t="shared" si="33"/>
        <v>0</v>
      </c>
      <c r="K140" s="52">
        <f t="shared" si="34"/>
        <v>0</v>
      </c>
      <c r="L140" s="52" t="str">
        <f t="array" ref="L140">IF(A140="","",SUMPRODUCT((A$2:A$200&lt;&gt;"")*((F$2:F$200*I140+G$2:G$200*J140+H$2:H$200*K140)&gt;0)*((F140*I$2:I$200+G140*J$2:J$200+H140*K$2:K$200)&gt;0))-IF(F140*I140+G140*J140+H140*K140&gt;0,1,0))</f>
        <v/>
      </c>
      <c r="M140" s="52" t="str">
        <f t="shared" si="35"/>
        <v/>
      </c>
      <c r="N140" s="52"/>
      <c r="O140" s="52"/>
      <c r="P140" s="52"/>
    </row>
    <row r="141" spans="1:16" x14ac:dyDescent="0.35">
      <c r="A141" s="52" t="str">
        <f>IF('Mii List'!A141="","",'Mii List'!A141)</f>
        <v/>
      </c>
      <c r="B141" s="52" t="str">
        <f>IF(A141="","",'Mii List'!B141)</f>
        <v/>
      </c>
      <c r="C141" s="52" t="str">
        <f>IF(A141="","",'Mii List'!C141)</f>
        <v/>
      </c>
      <c r="D141" s="52" t="str">
        <f>IF(A141="","",'Mii List'!D141)</f>
        <v/>
      </c>
      <c r="E141" s="52" t="str">
        <f>IF(A141="","",'Mii List'!E141)</f>
        <v/>
      </c>
      <c r="F141" s="52">
        <f t="shared" si="29"/>
        <v>0</v>
      </c>
      <c r="G141" s="52">
        <f t="shared" si="30"/>
        <v>0</v>
      </c>
      <c r="H141" s="52">
        <f t="shared" si="31"/>
        <v>0</v>
      </c>
      <c r="I141" s="52">
        <f t="shared" si="32"/>
        <v>0</v>
      </c>
      <c r="J141" s="52">
        <f t="shared" si="33"/>
        <v>0</v>
      </c>
      <c r="K141" s="52">
        <f t="shared" si="34"/>
        <v>0</v>
      </c>
      <c r="L141" s="52" t="str">
        <f t="array" ref="L141">IF(A141="","",SUMPRODUCT((A$2:A$200&lt;&gt;"")*((F$2:F$200*I141+G$2:G$200*J141+H$2:H$200*K141)&gt;0)*((F141*I$2:I$200+G141*J$2:J$200+H141*K$2:K$200)&gt;0))-IF(F141*I141+G141*J141+H141*K141&gt;0,1,0))</f>
        <v/>
      </c>
      <c r="M141" s="52" t="str">
        <f t="shared" si="35"/>
        <v/>
      </c>
      <c r="N141" s="52"/>
      <c r="O141" s="52"/>
      <c r="P141" s="52"/>
    </row>
    <row r="142" spans="1:16" x14ac:dyDescent="0.35">
      <c r="A142" s="52" t="str">
        <f>IF('Mii List'!A142="","",'Mii List'!A142)</f>
        <v/>
      </c>
      <c r="B142" s="52" t="str">
        <f>IF(A142="","",'Mii List'!B142)</f>
        <v/>
      </c>
      <c r="C142" s="52" t="str">
        <f>IF(A142="","",'Mii List'!C142)</f>
        <v/>
      </c>
      <c r="D142" s="52" t="str">
        <f>IF(A142="","",'Mii List'!D142)</f>
        <v/>
      </c>
      <c r="E142" s="52" t="str">
        <f>IF(A142="","",'Mii List'!E142)</f>
        <v/>
      </c>
      <c r="F142" s="52">
        <f t="shared" si="29"/>
        <v>0</v>
      </c>
      <c r="G142" s="52">
        <f t="shared" si="30"/>
        <v>0</v>
      </c>
      <c r="H142" s="52">
        <f t="shared" si="31"/>
        <v>0</v>
      </c>
      <c r="I142" s="52">
        <f t="shared" si="32"/>
        <v>0</v>
      </c>
      <c r="J142" s="52">
        <f t="shared" si="33"/>
        <v>0</v>
      </c>
      <c r="K142" s="52">
        <f t="shared" si="34"/>
        <v>0</v>
      </c>
      <c r="L142" s="52" t="str">
        <f t="array" ref="L142">IF(A142="","",SUMPRODUCT((A$2:A$200&lt;&gt;"")*((F$2:F$200*I142+G$2:G$200*J142+H$2:H$200*K142)&gt;0)*((F142*I$2:I$200+G142*J$2:J$200+H142*K$2:K$200)&gt;0))-IF(F142*I142+G142*J142+H142*K142&gt;0,1,0))</f>
        <v/>
      </c>
      <c r="M142" s="52" t="str">
        <f t="shared" si="35"/>
        <v/>
      </c>
      <c r="N142" s="52"/>
      <c r="O142" s="52"/>
      <c r="P142" s="52"/>
    </row>
    <row r="143" spans="1:16" x14ac:dyDescent="0.35">
      <c r="A143" s="52" t="str">
        <f>IF('Mii List'!A143="","",'Mii List'!A143)</f>
        <v/>
      </c>
      <c r="B143" s="52" t="str">
        <f>IF(A143="","",'Mii List'!B143)</f>
        <v/>
      </c>
      <c r="C143" s="52" t="str">
        <f>IF(A143="","",'Mii List'!C143)</f>
        <v/>
      </c>
      <c r="D143" s="52" t="str">
        <f>IF(A143="","",'Mii List'!D143)</f>
        <v/>
      </c>
      <c r="E143" s="52" t="str">
        <f>IF(A143="","",'Mii List'!E143)</f>
        <v/>
      </c>
      <c r="F143" s="52">
        <f t="shared" si="29"/>
        <v>0</v>
      </c>
      <c r="G143" s="52">
        <f t="shared" si="30"/>
        <v>0</v>
      </c>
      <c r="H143" s="52">
        <f t="shared" si="31"/>
        <v>0</v>
      </c>
      <c r="I143" s="52">
        <f t="shared" si="32"/>
        <v>0</v>
      </c>
      <c r="J143" s="52">
        <f t="shared" si="33"/>
        <v>0</v>
      </c>
      <c r="K143" s="52">
        <f t="shared" si="34"/>
        <v>0</v>
      </c>
      <c r="L143" s="52" t="str">
        <f t="array" ref="L143">IF(A143="","",SUMPRODUCT((A$2:A$200&lt;&gt;"")*((F$2:F$200*I143+G$2:G$200*J143+H$2:H$200*K143)&gt;0)*((F143*I$2:I$200+G143*J$2:J$200+H143*K$2:K$200)&gt;0))-IF(F143*I143+G143*J143+H143*K143&gt;0,1,0))</f>
        <v/>
      </c>
      <c r="M143" s="52" t="str">
        <f t="shared" si="35"/>
        <v/>
      </c>
      <c r="N143" s="52"/>
      <c r="O143" s="52"/>
      <c r="P143" s="52"/>
    </row>
    <row r="144" spans="1:16" x14ac:dyDescent="0.35">
      <c r="A144" s="52" t="str">
        <f>IF('Mii List'!A144="","",'Mii List'!A144)</f>
        <v/>
      </c>
      <c r="B144" s="52" t="str">
        <f>IF(A144="","",'Mii List'!B144)</f>
        <v/>
      </c>
      <c r="C144" s="52" t="str">
        <f>IF(A144="","",'Mii List'!C144)</f>
        <v/>
      </c>
      <c r="D144" s="52" t="str">
        <f>IF(A144="","",'Mii List'!D144)</f>
        <v/>
      </c>
      <c r="E144" s="52" t="str">
        <f>IF(A144="","",'Mii List'!E144)</f>
        <v/>
      </c>
      <c r="F144" s="52">
        <f t="shared" si="29"/>
        <v>0</v>
      </c>
      <c r="G144" s="52">
        <f t="shared" si="30"/>
        <v>0</v>
      </c>
      <c r="H144" s="52">
        <f t="shared" si="31"/>
        <v>0</v>
      </c>
      <c r="I144" s="52">
        <f t="shared" si="32"/>
        <v>0</v>
      </c>
      <c r="J144" s="52">
        <f t="shared" si="33"/>
        <v>0</v>
      </c>
      <c r="K144" s="52">
        <f t="shared" si="34"/>
        <v>0</v>
      </c>
      <c r="L144" s="52" t="str">
        <f t="array" ref="L144">IF(A144="","",SUMPRODUCT((A$2:A$200&lt;&gt;"")*((F$2:F$200*I144+G$2:G$200*J144+H$2:H$200*K144)&gt;0)*((F144*I$2:I$200+G144*J$2:J$200+H144*K$2:K$200)&gt;0))-IF(F144*I144+G144*J144+H144*K144&gt;0,1,0))</f>
        <v/>
      </c>
      <c r="M144" s="52" t="str">
        <f t="shared" si="35"/>
        <v/>
      </c>
      <c r="N144" s="52"/>
      <c r="O144" s="52"/>
      <c r="P144" s="52"/>
    </row>
    <row r="145" spans="1:16" x14ac:dyDescent="0.35">
      <c r="A145" s="52" t="str">
        <f>IF('Mii List'!A145="","",'Mii List'!A145)</f>
        <v/>
      </c>
      <c r="B145" s="52" t="str">
        <f>IF(A145="","",'Mii List'!B145)</f>
        <v/>
      </c>
      <c r="C145" s="52" t="str">
        <f>IF(A145="","",'Mii List'!C145)</f>
        <v/>
      </c>
      <c r="D145" s="52" t="str">
        <f>IF(A145="","",'Mii List'!D145)</f>
        <v/>
      </c>
      <c r="E145" s="52" t="str">
        <f>IF(A145="","",'Mii List'!E145)</f>
        <v/>
      </c>
      <c r="F145" s="52">
        <f t="shared" si="29"/>
        <v>0</v>
      </c>
      <c r="G145" s="52">
        <f t="shared" si="30"/>
        <v>0</v>
      </c>
      <c r="H145" s="52">
        <f t="shared" si="31"/>
        <v>0</v>
      </c>
      <c r="I145" s="52">
        <f t="shared" si="32"/>
        <v>0</v>
      </c>
      <c r="J145" s="52">
        <f t="shared" si="33"/>
        <v>0</v>
      </c>
      <c r="K145" s="52">
        <f t="shared" si="34"/>
        <v>0</v>
      </c>
      <c r="L145" s="52" t="str">
        <f t="array" ref="L145">IF(A145="","",SUMPRODUCT((A$2:A$200&lt;&gt;"")*((F$2:F$200*I145+G$2:G$200*J145+H$2:H$200*K145)&gt;0)*((F145*I$2:I$200+G145*J$2:J$200+H145*K$2:K$200)&gt;0))-IF(F145*I145+G145*J145+H145*K145&gt;0,1,0))</f>
        <v/>
      </c>
      <c r="M145" s="52" t="str">
        <f t="shared" si="35"/>
        <v/>
      </c>
      <c r="N145" s="52"/>
      <c r="O145" s="52"/>
      <c r="P145" s="52"/>
    </row>
    <row r="146" spans="1:16" x14ac:dyDescent="0.35">
      <c r="A146" s="52" t="str">
        <f>IF('Mii List'!A146="","",'Mii List'!A146)</f>
        <v/>
      </c>
      <c r="B146" s="52" t="str">
        <f>IF(A146="","",'Mii List'!B146)</f>
        <v/>
      </c>
      <c r="C146" s="52" t="str">
        <f>IF(A146="","",'Mii List'!C146)</f>
        <v/>
      </c>
      <c r="D146" s="52" t="str">
        <f>IF(A146="","",'Mii List'!D146)</f>
        <v/>
      </c>
      <c r="E146" s="52" t="str">
        <f>IF(A146="","",'Mii List'!E146)</f>
        <v/>
      </c>
      <c r="F146" s="52">
        <f t="shared" si="29"/>
        <v>0</v>
      </c>
      <c r="G146" s="52">
        <f t="shared" si="30"/>
        <v>0</v>
      </c>
      <c r="H146" s="52">
        <f t="shared" si="31"/>
        <v>0</v>
      </c>
      <c r="I146" s="52">
        <f t="shared" si="32"/>
        <v>0</v>
      </c>
      <c r="J146" s="52">
        <f t="shared" si="33"/>
        <v>0</v>
      </c>
      <c r="K146" s="52">
        <f t="shared" si="34"/>
        <v>0</v>
      </c>
      <c r="L146" s="52" t="str">
        <f t="array" ref="L146">IF(A146="","",SUMPRODUCT((A$2:A$200&lt;&gt;"")*((F$2:F$200*I146+G$2:G$200*J146+H$2:H$200*K146)&gt;0)*((F146*I$2:I$200+G146*J$2:J$200+H146*K$2:K$200)&gt;0))-IF(F146*I146+G146*J146+H146*K146&gt;0,1,0))</f>
        <v/>
      </c>
      <c r="M146" s="52" t="str">
        <f t="shared" si="35"/>
        <v/>
      </c>
      <c r="N146" s="52"/>
      <c r="O146" s="52"/>
      <c r="P146" s="52"/>
    </row>
    <row r="147" spans="1:16" x14ac:dyDescent="0.35">
      <c r="A147" s="52" t="str">
        <f>IF('Mii List'!A147="","",'Mii List'!A147)</f>
        <v/>
      </c>
      <c r="B147" s="52" t="str">
        <f>IF(A147="","",'Mii List'!B147)</f>
        <v/>
      </c>
      <c r="C147" s="52" t="str">
        <f>IF(A147="","",'Mii List'!C147)</f>
        <v/>
      </c>
      <c r="D147" s="52" t="str">
        <f>IF(A147="","",'Mii List'!D147)</f>
        <v/>
      </c>
      <c r="E147" s="52" t="str">
        <f>IF(A147="","",'Mii List'!E147)</f>
        <v/>
      </c>
      <c r="F147" s="52">
        <f t="shared" si="29"/>
        <v>0</v>
      </c>
      <c r="G147" s="52">
        <f t="shared" si="30"/>
        <v>0</v>
      </c>
      <c r="H147" s="52">
        <f t="shared" si="31"/>
        <v>0</v>
      </c>
      <c r="I147" s="52">
        <f t="shared" si="32"/>
        <v>0</v>
      </c>
      <c r="J147" s="52">
        <f t="shared" si="33"/>
        <v>0</v>
      </c>
      <c r="K147" s="52">
        <f t="shared" si="34"/>
        <v>0</v>
      </c>
      <c r="L147" s="52" t="str">
        <f t="array" ref="L147">IF(A147="","",SUMPRODUCT((A$2:A$200&lt;&gt;"")*((F$2:F$200*I147+G$2:G$200*J147+H$2:H$200*K147)&gt;0)*((F147*I$2:I$200+G147*J$2:J$200+H147*K$2:K$200)&gt;0))-IF(F147*I147+G147*J147+H147*K147&gt;0,1,0))</f>
        <v/>
      </c>
      <c r="M147" s="52" t="str">
        <f t="shared" si="35"/>
        <v/>
      </c>
      <c r="N147" s="52"/>
      <c r="O147" s="52"/>
      <c r="P147" s="52"/>
    </row>
    <row r="148" spans="1:16" x14ac:dyDescent="0.35">
      <c r="A148" s="52" t="str">
        <f>IF('Mii List'!A148="","",'Mii List'!A148)</f>
        <v/>
      </c>
      <c r="B148" s="52" t="str">
        <f>IF(A148="","",'Mii List'!B148)</f>
        <v/>
      </c>
      <c r="C148" s="52" t="str">
        <f>IF(A148="","",'Mii List'!C148)</f>
        <v/>
      </c>
      <c r="D148" s="52" t="str">
        <f>IF(A148="","",'Mii List'!D148)</f>
        <v/>
      </c>
      <c r="E148" s="52" t="str">
        <f>IF(A148="","",'Mii List'!E148)</f>
        <v/>
      </c>
      <c r="F148" s="52">
        <f t="shared" si="29"/>
        <v>0</v>
      </c>
      <c r="G148" s="52">
        <f t="shared" si="30"/>
        <v>0</v>
      </c>
      <c r="H148" s="52">
        <f t="shared" si="31"/>
        <v>0</v>
      </c>
      <c r="I148" s="52">
        <f t="shared" si="32"/>
        <v>0</v>
      </c>
      <c r="J148" s="52">
        <f t="shared" si="33"/>
        <v>0</v>
      </c>
      <c r="K148" s="52">
        <f t="shared" si="34"/>
        <v>0</v>
      </c>
      <c r="L148" s="52" t="str">
        <f t="array" ref="L148">IF(A148="","",SUMPRODUCT((A$2:A$200&lt;&gt;"")*((F$2:F$200*I148+G$2:G$200*J148+H$2:H$200*K148)&gt;0)*((F148*I$2:I$200+G148*J$2:J$200+H148*K$2:K$200)&gt;0))-IF(F148*I148+G148*J148+H148*K148&gt;0,1,0))</f>
        <v/>
      </c>
      <c r="M148" s="52" t="str">
        <f t="shared" si="35"/>
        <v/>
      </c>
      <c r="N148" s="52"/>
      <c r="O148" s="52"/>
      <c r="P148" s="52"/>
    </row>
    <row r="149" spans="1:16" x14ac:dyDescent="0.35">
      <c r="A149" s="52" t="str">
        <f>IF('Mii List'!A149="","",'Mii List'!A149)</f>
        <v/>
      </c>
      <c r="B149" s="52" t="str">
        <f>IF(A149="","",'Mii List'!B149)</f>
        <v/>
      </c>
      <c r="C149" s="52" t="str">
        <f>IF(A149="","",'Mii List'!C149)</f>
        <v/>
      </c>
      <c r="D149" s="52" t="str">
        <f>IF(A149="","",'Mii List'!D149)</f>
        <v/>
      </c>
      <c r="E149" s="52" t="str">
        <f>IF(A149="","",'Mii List'!E149)</f>
        <v/>
      </c>
      <c r="F149" s="52">
        <f t="shared" si="29"/>
        <v>0</v>
      </c>
      <c r="G149" s="52">
        <f t="shared" si="30"/>
        <v>0</v>
      </c>
      <c r="H149" s="52">
        <f t="shared" si="31"/>
        <v>0</v>
      </c>
      <c r="I149" s="52">
        <f t="shared" si="32"/>
        <v>0</v>
      </c>
      <c r="J149" s="52">
        <f t="shared" si="33"/>
        <v>0</v>
      </c>
      <c r="K149" s="52">
        <f t="shared" si="34"/>
        <v>0</v>
      </c>
      <c r="L149" s="52" t="str">
        <f t="array" ref="L149">IF(A149="","",SUMPRODUCT((A$2:A$200&lt;&gt;"")*((F$2:F$200*I149+G$2:G$200*J149+H$2:H$200*K149)&gt;0)*((F149*I$2:I$200+G149*J$2:J$200+H149*K$2:K$200)&gt;0))-IF(F149*I149+G149*J149+H149*K149&gt;0,1,0))</f>
        <v/>
      </c>
      <c r="M149" s="52" t="str">
        <f t="shared" si="35"/>
        <v/>
      </c>
      <c r="N149" s="52"/>
      <c r="O149" s="52"/>
      <c r="P149" s="52"/>
    </row>
    <row r="150" spans="1:16" x14ac:dyDescent="0.35">
      <c r="A150" s="52" t="str">
        <f>IF('Mii List'!A150="","",'Mii List'!A150)</f>
        <v/>
      </c>
      <c r="B150" s="52" t="str">
        <f>IF(A150="","",'Mii List'!B150)</f>
        <v/>
      </c>
      <c r="C150" s="52" t="str">
        <f>IF(A150="","",'Mii List'!C150)</f>
        <v/>
      </c>
      <c r="D150" s="52" t="str">
        <f>IF(A150="","",'Mii List'!D150)</f>
        <v/>
      </c>
      <c r="E150" s="52" t="str">
        <f>IF(A150="","",'Mii List'!E150)</f>
        <v/>
      </c>
      <c r="F150" s="52">
        <f t="shared" si="29"/>
        <v>0</v>
      </c>
      <c r="G150" s="52">
        <f t="shared" si="30"/>
        <v>0</v>
      </c>
      <c r="H150" s="52">
        <f t="shared" si="31"/>
        <v>0</v>
      </c>
      <c r="I150" s="52">
        <f t="shared" si="32"/>
        <v>0</v>
      </c>
      <c r="J150" s="52">
        <f t="shared" si="33"/>
        <v>0</v>
      </c>
      <c r="K150" s="52">
        <f t="shared" si="34"/>
        <v>0</v>
      </c>
      <c r="L150" s="52" t="str">
        <f t="array" ref="L150">IF(A150="","",SUMPRODUCT((A$2:A$200&lt;&gt;"")*((F$2:F$200*I150+G$2:G$200*J150+H$2:H$200*K150)&gt;0)*((F150*I$2:I$200+G150*J$2:J$200+H150*K$2:K$200)&gt;0))-IF(F150*I150+G150*J150+H150*K150&gt;0,1,0))</f>
        <v/>
      </c>
      <c r="M150" s="52" t="str">
        <f t="shared" si="35"/>
        <v/>
      </c>
      <c r="N150" s="52"/>
      <c r="O150" s="52"/>
      <c r="P150" s="52"/>
    </row>
    <row r="151" spans="1:16" x14ac:dyDescent="0.35">
      <c r="A151" s="52" t="str">
        <f>IF('Mii List'!A151="","",'Mii List'!A151)</f>
        <v/>
      </c>
      <c r="B151" s="52" t="str">
        <f>IF(A151="","",'Mii List'!B151)</f>
        <v/>
      </c>
      <c r="C151" s="52" t="str">
        <f>IF(A151="","",'Mii List'!C151)</f>
        <v/>
      </c>
      <c r="D151" s="52" t="str">
        <f>IF(A151="","",'Mii List'!D151)</f>
        <v/>
      </c>
      <c r="E151" s="52" t="str">
        <f>IF(A151="","",'Mii List'!E151)</f>
        <v/>
      </c>
      <c r="F151" s="52">
        <f t="shared" si="29"/>
        <v>0</v>
      </c>
      <c r="G151" s="52">
        <f t="shared" si="30"/>
        <v>0</v>
      </c>
      <c r="H151" s="52">
        <f t="shared" si="31"/>
        <v>0</v>
      </c>
      <c r="I151" s="52">
        <f t="shared" si="32"/>
        <v>0</v>
      </c>
      <c r="J151" s="52">
        <f t="shared" si="33"/>
        <v>0</v>
      </c>
      <c r="K151" s="52">
        <f t="shared" si="34"/>
        <v>0</v>
      </c>
      <c r="L151" s="52" t="str">
        <f t="array" ref="L151">IF(A151="","",SUMPRODUCT((A$2:A$200&lt;&gt;"")*((F$2:F$200*I151+G$2:G$200*J151+H$2:H$200*K151)&gt;0)*((F151*I$2:I$200+G151*J$2:J$200+H151*K$2:K$200)&gt;0))-IF(F151*I151+G151*J151+H151*K151&gt;0,1,0))</f>
        <v/>
      </c>
      <c r="M151" s="52" t="str">
        <f t="shared" si="35"/>
        <v/>
      </c>
      <c r="N151" s="52"/>
      <c r="O151" s="52"/>
      <c r="P151" s="52"/>
    </row>
    <row r="152" spans="1:16" x14ac:dyDescent="0.35">
      <c r="A152" s="52" t="str">
        <f>IF('Mii List'!A152="","",'Mii List'!A152)</f>
        <v/>
      </c>
      <c r="B152" s="52" t="str">
        <f>IF(A152="","",'Mii List'!B152)</f>
        <v/>
      </c>
      <c r="C152" s="52" t="str">
        <f>IF(A152="","",'Mii List'!C152)</f>
        <v/>
      </c>
      <c r="D152" s="52" t="str">
        <f>IF(A152="","",'Mii List'!D152)</f>
        <v/>
      </c>
      <c r="E152" s="52" t="str">
        <f>IF(A152="","",'Mii List'!E152)</f>
        <v/>
      </c>
      <c r="F152" s="52">
        <f t="shared" si="29"/>
        <v>0</v>
      </c>
      <c r="G152" s="52">
        <f t="shared" si="30"/>
        <v>0</v>
      </c>
      <c r="H152" s="52">
        <f t="shared" si="31"/>
        <v>0</v>
      </c>
      <c r="I152" s="52">
        <f t="shared" si="32"/>
        <v>0</v>
      </c>
      <c r="J152" s="52">
        <f t="shared" si="33"/>
        <v>0</v>
      </c>
      <c r="K152" s="52">
        <f t="shared" si="34"/>
        <v>0</v>
      </c>
      <c r="L152" s="52" t="str">
        <f t="array" ref="L152">IF(A152="","",SUMPRODUCT((A$2:A$200&lt;&gt;"")*((F$2:F$200*I152+G$2:G$200*J152+H$2:H$200*K152)&gt;0)*((F152*I$2:I$200+G152*J$2:J$200+H152*K$2:K$200)&gt;0))-IF(F152*I152+G152*J152+H152*K152&gt;0,1,0))</f>
        <v/>
      </c>
      <c r="M152" s="52" t="str">
        <f t="shared" si="35"/>
        <v/>
      </c>
      <c r="N152" s="52"/>
      <c r="O152" s="52"/>
      <c r="P152" s="52"/>
    </row>
    <row r="153" spans="1:16" x14ac:dyDescent="0.35">
      <c r="A153" s="52" t="str">
        <f>IF('Mii List'!A153="","",'Mii List'!A153)</f>
        <v/>
      </c>
      <c r="B153" s="52" t="str">
        <f>IF(A153="","",'Mii List'!B153)</f>
        <v/>
      </c>
      <c r="C153" s="52" t="str">
        <f>IF(A153="","",'Mii List'!C153)</f>
        <v/>
      </c>
      <c r="D153" s="52" t="str">
        <f>IF(A153="","",'Mii List'!D153)</f>
        <v/>
      </c>
      <c r="E153" s="52" t="str">
        <f>IF(A153="","",'Mii List'!E153)</f>
        <v/>
      </c>
      <c r="F153" s="52">
        <f t="shared" si="29"/>
        <v>0</v>
      </c>
      <c r="G153" s="52">
        <f t="shared" si="30"/>
        <v>0</v>
      </c>
      <c r="H153" s="52">
        <f t="shared" si="31"/>
        <v>0</v>
      </c>
      <c r="I153" s="52">
        <f t="shared" si="32"/>
        <v>0</v>
      </c>
      <c r="J153" s="52">
        <f t="shared" si="33"/>
        <v>0</v>
      </c>
      <c r="K153" s="52">
        <f t="shared" si="34"/>
        <v>0</v>
      </c>
      <c r="L153" s="52" t="str">
        <f t="array" ref="L153">IF(A153="","",SUMPRODUCT((A$2:A$200&lt;&gt;"")*((F$2:F$200*I153+G$2:G$200*J153+H$2:H$200*K153)&gt;0)*((F153*I$2:I$200+G153*J$2:J$200+H153*K$2:K$200)&gt;0))-IF(F153*I153+G153*J153+H153*K153&gt;0,1,0))</f>
        <v/>
      </c>
      <c r="M153" s="52" t="str">
        <f t="shared" si="35"/>
        <v/>
      </c>
      <c r="N153" s="52"/>
      <c r="O153" s="52"/>
      <c r="P153" s="52"/>
    </row>
    <row r="154" spans="1:16" x14ac:dyDescent="0.35">
      <c r="A154" s="52" t="str">
        <f>IF('Mii List'!A154="","",'Mii List'!A154)</f>
        <v/>
      </c>
      <c r="B154" s="52" t="str">
        <f>IF(A154="","",'Mii List'!B154)</f>
        <v/>
      </c>
      <c r="C154" s="52" t="str">
        <f>IF(A154="","",'Mii List'!C154)</f>
        <v/>
      </c>
      <c r="D154" s="52" t="str">
        <f>IF(A154="","",'Mii List'!D154)</f>
        <v/>
      </c>
      <c r="E154" s="52" t="str">
        <f>IF(A154="","",'Mii List'!E154)</f>
        <v/>
      </c>
      <c r="F154" s="52">
        <f t="shared" si="29"/>
        <v>0</v>
      </c>
      <c r="G154" s="52">
        <f t="shared" si="30"/>
        <v>0</v>
      </c>
      <c r="H154" s="52">
        <f t="shared" si="31"/>
        <v>0</v>
      </c>
      <c r="I154" s="52">
        <f t="shared" si="32"/>
        <v>0</v>
      </c>
      <c r="J154" s="52">
        <f t="shared" si="33"/>
        <v>0</v>
      </c>
      <c r="K154" s="52">
        <f t="shared" si="34"/>
        <v>0</v>
      </c>
      <c r="L154" s="52" t="str">
        <f t="array" ref="L154">IF(A154="","",SUMPRODUCT((A$2:A$200&lt;&gt;"")*((F$2:F$200*I154+G$2:G$200*J154+H$2:H$200*K154)&gt;0)*((F154*I$2:I$200+G154*J$2:J$200+H154*K$2:K$200)&gt;0))-IF(F154*I154+G154*J154+H154*K154&gt;0,1,0))</f>
        <v/>
      </c>
      <c r="M154" s="52" t="str">
        <f t="shared" si="35"/>
        <v/>
      </c>
      <c r="N154" s="52"/>
      <c r="O154" s="52"/>
      <c r="P154" s="52"/>
    </row>
    <row r="155" spans="1:16" x14ac:dyDescent="0.35">
      <c r="A155" s="52" t="str">
        <f>IF('Mii List'!A155="","",'Mii List'!A155)</f>
        <v/>
      </c>
      <c r="B155" s="52" t="str">
        <f>IF(A155="","",'Mii List'!B155)</f>
        <v/>
      </c>
      <c r="C155" s="52" t="str">
        <f>IF(A155="","",'Mii List'!C155)</f>
        <v/>
      </c>
      <c r="D155" s="52" t="str">
        <f>IF(A155="","",'Mii List'!D155)</f>
        <v/>
      </c>
      <c r="E155" s="52" t="str">
        <f>IF(A155="","",'Mii List'!E155)</f>
        <v/>
      </c>
      <c r="F155" s="52">
        <f t="shared" si="29"/>
        <v>0</v>
      </c>
      <c r="G155" s="52">
        <f t="shared" si="30"/>
        <v>0</v>
      </c>
      <c r="H155" s="52">
        <f t="shared" si="31"/>
        <v>0</v>
      </c>
      <c r="I155" s="52">
        <f t="shared" si="32"/>
        <v>0</v>
      </c>
      <c r="J155" s="52">
        <f t="shared" si="33"/>
        <v>0</v>
      </c>
      <c r="K155" s="52">
        <f t="shared" si="34"/>
        <v>0</v>
      </c>
      <c r="L155" s="52" t="str">
        <f t="array" ref="L155">IF(A155="","",SUMPRODUCT((A$2:A$200&lt;&gt;"")*((F$2:F$200*I155+G$2:G$200*J155+H$2:H$200*K155)&gt;0)*((F155*I$2:I$200+G155*J$2:J$200+H155*K$2:K$200)&gt;0))-IF(F155*I155+G155*J155+H155*K155&gt;0,1,0))</f>
        <v/>
      </c>
      <c r="M155" s="52" t="str">
        <f t="shared" si="35"/>
        <v/>
      </c>
      <c r="N155" s="52"/>
      <c r="O155" s="52"/>
      <c r="P155" s="52"/>
    </row>
    <row r="156" spans="1:16" x14ac:dyDescent="0.35">
      <c r="A156" s="52" t="str">
        <f>IF('Mii List'!A156="","",'Mii List'!A156)</f>
        <v/>
      </c>
      <c r="B156" s="52" t="str">
        <f>IF(A156="","",'Mii List'!B156)</f>
        <v/>
      </c>
      <c r="C156" s="52" t="str">
        <f>IF(A156="","",'Mii List'!C156)</f>
        <v/>
      </c>
      <c r="D156" s="52" t="str">
        <f>IF(A156="","",'Mii List'!D156)</f>
        <v/>
      </c>
      <c r="E156" s="52" t="str">
        <f>IF(A156="","",'Mii List'!E156)</f>
        <v/>
      </c>
      <c r="F156" s="52">
        <f t="shared" si="29"/>
        <v>0</v>
      </c>
      <c r="G156" s="52">
        <f t="shared" si="30"/>
        <v>0</v>
      </c>
      <c r="H156" s="52">
        <f t="shared" si="31"/>
        <v>0</v>
      </c>
      <c r="I156" s="52">
        <f t="shared" si="32"/>
        <v>0</v>
      </c>
      <c r="J156" s="52">
        <f t="shared" si="33"/>
        <v>0</v>
      </c>
      <c r="K156" s="52">
        <f t="shared" si="34"/>
        <v>0</v>
      </c>
      <c r="L156" s="52" t="str">
        <f t="array" ref="L156">IF(A156="","",SUMPRODUCT((A$2:A$200&lt;&gt;"")*((F$2:F$200*I156+G$2:G$200*J156+H$2:H$200*K156)&gt;0)*((F156*I$2:I$200+G156*J$2:J$200+H156*K$2:K$200)&gt;0))-IF(F156*I156+G156*J156+H156*K156&gt;0,1,0))</f>
        <v/>
      </c>
      <c r="M156" s="52" t="str">
        <f t="shared" si="35"/>
        <v/>
      </c>
      <c r="N156" s="52"/>
      <c r="O156" s="52"/>
      <c r="P156" s="52"/>
    </row>
    <row r="157" spans="1:16" x14ac:dyDescent="0.35">
      <c r="A157" s="52" t="str">
        <f>IF('Mii List'!A157="","",'Mii List'!A157)</f>
        <v/>
      </c>
      <c r="B157" s="52" t="str">
        <f>IF(A157="","",'Mii List'!B157)</f>
        <v/>
      </c>
      <c r="C157" s="52" t="str">
        <f>IF(A157="","",'Mii List'!C157)</f>
        <v/>
      </c>
      <c r="D157" s="52" t="str">
        <f>IF(A157="","",'Mii List'!D157)</f>
        <v/>
      </c>
      <c r="E157" s="52" t="str">
        <f>IF(A157="","",'Mii List'!E157)</f>
        <v/>
      </c>
      <c r="F157" s="52">
        <f t="shared" si="29"/>
        <v>0</v>
      </c>
      <c r="G157" s="52">
        <f t="shared" si="30"/>
        <v>0</v>
      </c>
      <c r="H157" s="52">
        <f t="shared" si="31"/>
        <v>0</v>
      </c>
      <c r="I157" s="52">
        <f t="shared" si="32"/>
        <v>0</v>
      </c>
      <c r="J157" s="52">
        <f t="shared" si="33"/>
        <v>0</v>
      </c>
      <c r="K157" s="52">
        <f t="shared" si="34"/>
        <v>0</v>
      </c>
      <c r="L157" s="52" t="str">
        <f t="array" ref="L157">IF(A157="","",SUMPRODUCT((A$2:A$200&lt;&gt;"")*((F$2:F$200*I157+G$2:G$200*J157+H$2:H$200*K157)&gt;0)*((F157*I$2:I$200+G157*J$2:J$200+H157*K$2:K$200)&gt;0))-IF(F157*I157+G157*J157+H157*K157&gt;0,1,0))</f>
        <v/>
      </c>
      <c r="M157" s="52" t="str">
        <f t="shared" si="35"/>
        <v/>
      </c>
      <c r="N157" s="52"/>
      <c r="O157" s="52"/>
      <c r="P157" s="52"/>
    </row>
    <row r="158" spans="1:16" x14ac:dyDescent="0.35">
      <c r="A158" s="52" t="str">
        <f>IF('Mii List'!A158="","",'Mii List'!A158)</f>
        <v/>
      </c>
      <c r="B158" s="52" t="str">
        <f>IF(A158="","",'Mii List'!B158)</f>
        <v/>
      </c>
      <c r="C158" s="52" t="str">
        <f>IF(A158="","",'Mii List'!C158)</f>
        <v/>
      </c>
      <c r="D158" s="52" t="str">
        <f>IF(A158="","",'Mii List'!D158)</f>
        <v/>
      </c>
      <c r="E158" s="52" t="str">
        <f>IF(A158="","",'Mii List'!E158)</f>
        <v/>
      </c>
      <c r="F158" s="52">
        <f t="shared" si="29"/>
        <v>0</v>
      </c>
      <c r="G158" s="52">
        <f t="shared" si="30"/>
        <v>0</v>
      </c>
      <c r="H158" s="52">
        <f t="shared" si="31"/>
        <v>0</v>
      </c>
      <c r="I158" s="52">
        <f t="shared" si="32"/>
        <v>0</v>
      </c>
      <c r="J158" s="52">
        <f t="shared" si="33"/>
        <v>0</v>
      </c>
      <c r="K158" s="52">
        <f t="shared" si="34"/>
        <v>0</v>
      </c>
      <c r="L158" s="52" t="str">
        <f t="array" ref="L158">IF(A158="","",SUMPRODUCT((A$2:A$200&lt;&gt;"")*((F$2:F$200*I158+G$2:G$200*J158+H$2:H$200*K158)&gt;0)*((F158*I$2:I$200+G158*J$2:J$200+H158*K$2:K$200)&gt;0))-IF(F158*I158+G158*J158+H158*K158&gt;0,1,0))</f>
        <v/>
      </c>
      <c r="M158" s="52" t="str">
        <f t="shared" si="35"/>
        <v/>
      </c>
      <c r="N158" s="52"/>
      <c r="O158" s="52"/>
      <c r="P158" s="52"/>
    </row>
    <row r="159" spans="1:16" x14ac:dyDescent="0.35">
      <c r="A159" s="52" t="str">
        <f>IF('Mii List'!A159="","",'Mii List'!A159)</f>
        <v/>
      </c>
      <c r="B159" s="52" t="str">
        <f>IF(A159="","",'Mii List'!B159)</f>
        <v/>
      </c>
      <c r="C159" s="52" t="str">
        <f>IF(A159="","",'Mii List'!C159)</f>
        <v/>
      </c>
      <c r="D159" s="52" t="str">
        <f>IF(A159="","",'Mii List'!D159)</f>
        <v/>
      </c>
      <c r="E159" s="52" t="str">
        <f>IF(A159="","",'Mii List'!E159)</f>
        <v/>
      </c>
      <c r="F159" s="52">
        <f t="shared" si="29"/>
        <v>0</v>
      </c>
      <c r="G159" s="52">
        <f t="shared" si="30"/>
        <v>0</v>
      </c>
      <c r="H159" s="52">
        <f t="shared" si="31"/>
        <v>0</v>
      </c>
      <c r="I159" s="52">
        <f t="shared" si="32"/>
        <v>0</v>
      </c>
      <c r="J159" s="52">
        <f t="shared" si="33"/>
        <v>0</v>
      </c>
      <c r="K159" s="52">
        <f t="shared" si="34"/>
        <v>0</v>
      </c>
      <c r="L159" s="52" t="str">
        <f t="array" ref="L159">IF(A159="","",SUMPRODUCT((A$2:A$200&lt;&gt;"")*((F$2:F$200*I159+G$2:G$200*J159+H$2:H$200*K159)&gt;0)*((F159*I$2:I$200+G159*J$2:J$200+H159*K$2:K$200)&gt;0))-IF(F159*I159+G159*J159+H159*K159&gt;0,1,0))</f>
        <v/>
      </c>
      <c r="M159" s="52" t="str">
        <f t="shared" si="35"/>
        <v/>
      </c>
      <c r="N159" s="52"/>
      <c r="O159" s="52"/>
      <c r="P159" s="52"/>
    </row>
    <row r="160" spans="1:16" x14ac:dyDescent="0.35">
      <c r="A160" s="52" t="str">
        <f>IF('Mii List'!A160="","",'Mii List'!A160)</f>
        <v/>
      </c>
      <c r="B160" s="52" t="str">
        <f>IF(A160="","",'Mii List'!B160)</f>
        <v/>
      </c>
      <c r="C160" s="52" t="str">
        <f>IF(A160="","",'Mii List'!C160)</f>
        <v/>
      </c>
      <c r="D160" s="52" t="str">
        <f>IF(A160="","",'Mii List'!D160)</f>
        <v/>
      </c>
      <c r="E160" s="52" t="str">
        <f>IF(A160="","",'Mii List'!E160)</f>
        <v/>
      </c>
      <c r="F160" s="52">
        <f t="shared" si="29"/>
        <v>0</v>
      </c>
      <c r="G160" s="52">
        <f t="shared" si="30"/>
        <v>0</v>
      </c>
      <c r="H160" s="52">
        <f t="shared" si="31"/>
        <v>0</v>
      </c>
      <c r="I160" s="52">
        <f t="shared" si="32"/>
        <v>0</v>
      </c>
      <c r="J160" s="52">
        <f t="shared" si="33"/>
        <v>0</v>
      </c>
      <c r="K160" s="52">
        <f t="shared" si="34"/>
        <v>0</v>
      </c>
      <c r="L160" s="52" t="str">
        <f t="array" ref="L160">IF(A160="","",SUMPRODUCT((A$2:A$200&lt;&gt;"")*((F$2:F$200*I160+G$2:G$200*J160+H$2:H$200*K160)&gt;0)*((F160*I$2:I$200+G160*J$2:J$200+H160*K$2:K$200)&gt;0))-IF(F160*I160+G160*J160+H160*K160&gt;0,1,0))</f>
        <v/>
      </c>
      <c r="M160" s="52" t="str">
        <f t="shared" si="35"/>
        <v/>
      </c>
      <c r="N160" s="52"/>
      <c r="O160" s="52"/>
      <c r="P160" s="52"/>
    </row>
    <row r="161" spans="1:16" x14ac:dyDescent="0.35">
      <c r="A161" s="52" t="str">
        <f>IF('Mii List'!A161="","",'Mii List'!A161)</f>
        <v/>
      </c>
      <c r="B161" s="52" t="str">
        <f>IF(A161="","",'Mii List'!B161)</f>
        <v/>
      </c>
      <c r="C161" s="52" t="str">
        <f>IF(A161="","",'Mii List'!C161)</f>
        <v/>
      </c>
      <c r="D161" s="52" t="str">
        <f>IF(A161="","",'Mii List'!D161)</f>
        <v/>
      </c>
      <c r="E161" s="52" t="str">
        <f>IF(A161="","",'Mii List'!E161)</f>
        <v/>
      </c>
      <c r="F161" s="52">
        <f t="shared" si="29"/>
        <v>0</v>
      </c>
      <c r="G161" s="52">
        <f t="shared" si="30"/>
        <v>0</v>
      </c>
      <c r="H161" s="52">
        <f t="shared" si="31"/>
        <v>0</v>
      </c>
      <c r="I161" s="52">
        <f t="shared" si="32"/>
        <v>0</v>
      </c>
      <c r="J161" s="52">
        <f t="shared" si="33"/>
        <v>0</v>
      </c>
      <c r="K161" s="52">
        <f t="shared" si="34"/>
        <v>0</v>
      </c>
      <c r="L161" s="52" t="str">
        <f t="array" ref="L161">IF(A161="","",SUMPRODUCT((A$2:A$200&lt;&gt;"")*((F$2:F$200*I161+G$2:G$200*J161+H$2:H$200*K161)&gt;0)*((F161*I$2:I$200+G161*J$2:J$200+H161*K$2:K$200)&gt;0))-IF(F161*I161+G161*J161+H161*K161&gt;0,1,0))</f>
        <v/>
      </c>
      <c r="M161" s="52" t="str">
        <f t="shared" si="35"/>
        <v/>
      </c>
      <c r="N161" s="52"/>
      <c r="O161" s="52"/>
      <c r="P161" s="52"/>
    </row>
    <row r="162" spans="1:16" x14ac:dyDescent="0.35">
      <c r="A162" s="52" t="str">
        <f>IF('Mii List'!A162="","",'Mii List'!A162)</f>
        <v/>
      </c>
      <c r="B162" s="52" t="str">
        <f>IF(A162="","",'Mii List'!B162)</f>
        <v/>
      </c>
      <c r="C162" s="52" t="str">
        <f>IF(A162="","",'Mii List'!C162)</f>
        <v/>
      </c>
      <c r="D162" s="52" t="str">
        <f>IF(A162="","",'Mii List'!D162)</f>
        <v/>
      </c>
      <c r="E162" s="52" t="str">
        <f>IF(A162="","",'Mii List'!E162)</f>
        <v/>
      </c>
      <c r="F162" s="52">
        <f t="shared" ref="F162:F193" si="36">IF(A162="",0,(C162="✓")*1)</f>
        <v>0</v>
      </c>
      <c r="G162" s="52">
        <f t="shared" ref="G162:G193" si="37">IF(A162="",0,(D162="✓")*1)</f>
        <v>0</v>
      </c>
      <c r="H162" s="52">
        <f t="shared" ref="H162:H193" si="38">IF(A162="",0,(E162="✓")*1)</f>
        <v>0</v>
      </c>
      <c r="I162" s="52">
        <f t="shared" ref="I162:I193" si="39">IF(A162="",0,(B162="Male")*1)</f>
        <v>0</v>
      </c>
      <c r="J162" s="52">
        <f t="shared" ref="J162:J193" si="40">IF(A162="",0,(B162="Female")*1)</f>
        <v>0</v>
      </c>
      <c r="K162" s="52">
        <f t="shared" ref="K162:K193" si="41">IF(A162="",0,(B162="Nonbinary")*1)</f>
        <v>0</v>
      </c>
      <c r="L162" s="52" t="str">
        <f t="array" ref="L162">IF(A162="","",SUMPRODUCT((A$2:A$200&lt;&gt;"")*((F$2:F$200*I162+G$2:G$200*J162+H$2:H$200*K162)&gt;0)*((F162*I$2:I$200+G162*J$2:J$200+H162*K$2:K$200)&gt;0))-IF(F162*I162+G162*J162+H162*K162&gt;0,1,0))</f>
        <v/>
      </c>
      <c r="M162" s="52" t="str">
        <f t="shared" ref="M162:M193" si="42">IF(A162="","",RANK(L162,L$2:L$200,1)+COUNTIFS(L$2:L$200,L162,A$2:A$200,"&lt;"&amp;A162))</f>
        <v/>
      </c>
      <c r="N162" s="52"/>
      <c r="O162" s="52"/>
      <c r="P162" s="52"/>
    </row>
    <row r="163" spans="1:16" x14ac:dyDescent="0.35">
      <c r="A163" s="52" t="str">
        <f>IF('Mii List'!A163="","",'Mii List'!A163)</f>
        <v/>
      </c>
      <c r="B163" s="52" t="str">
        <f>IF(A163="","",'Mii List'!B163)</f>
        <v/>
      </c>
      <c r="C163" s="52" t="str">
        <f>IF(A163="","",'Mii List'!C163)</f>
        <v/>
      </c>
      <c r="D163" s="52" t="str">
        <f>IF(A163="","",'Mii List'!D163)</f>
        <v/>
      </c>
      <c r="E163" s="52" t="str">
        <f>IF(A163="","",'Mii List'!E163)</f>
        <v/>
      </c>
      <c r="F163" s="52">
        <f t="shared" si="36"/>
        <v>0</v>
      </c>
      <c r="G163" s="52">
        <f t="shared" si="37"/>
        <v>0</v>
      </c>
      <c r="H163" s="52">
        <f t="shared" si="38"/>
        <v>0</v>
      </c>
      <c r="I163" s="52">
        <f t="shared" si="39"/>
        <v>0</v>
      </c>
      <c r="J163" s="52">
        <f t="shared" si="40"/>
        <v>0</v>
      </c>
      <c r="K163" s="52">
        <f t="shared" si="41"/>
        <v>0</v>
      </c>
      <c r="L163" s="52" t="str">
        <f t="array" ref="L163">IF(A163="","",SUMPRODUCT((A$2:A$200&lt;&gt;"")*((F$2:F$200*I163+G$2:G$200*J163+H$2:H$200*K163)&gt;0)*((F163*I$2:I$200+G163*J$2:J$200+H163*K$2:K$200)&gt;0))-IF(F163*I163+G163*J163+H163*K163&gt;0,1,0))</f>
        <v/>
      </c>
      <c r="M163" s="52" t="str">
        <f t="shared" si="42"/>
        <v/>
      </c>
      <c r="N163" s="52"/>
      <c r="O163" s="52"/>
      <c r="P163" s="52"/>
    </row>
    <row r="164" spans="1:16" x14ac:dyDescent="0.35">
      <c r="A164" s="52" t="str">
        <f>IF('Mii List'!A164="","",'Mii List'!A164)</f>
        <v/>
      </c>
      <c r="B164" s="52" t="str">
        <f>IF(A164="","",'Mii List'!B164)</f>
        <v/>
      </c>
      <c r="C164" s="52" t="str">
        <f>IF(A164="","",'Mii List'!C164)</f>
        <v/>
      </c>
      <c r="D164" s="52" t="str">
        <f>IF(A164="","",'Mii List'!D164)</f>
        <v/>
      </c>
      <c r="E164" s="52" t="str">
        <f>IF(A164="","",'Mii List'!E164)</f>
        <v/>
      </c>
      <c r="F164" s="52">
        <f t="shared" si="36"/>
        <v>0</v>
      </c>
      <c r="G164" s="52">
        <f t="shared" si="37"/>
        <v>0</v>
      </c>
      <c r="H164" s="52">
        <f t="shared" si="38"/>
        <v>0</v>
      </c>
      <c r="I164" s="52">
        <f t="shared" si="39"/>
        <v>0</v>
      </c>
      <c r="J164" s="52">
        <f t="shared" si="40"/>
        <v>0</v>
      </c>
      <c r="K164" s="52">
        <f t="shared" si="41"/>
        <v>0</v>
      </c>
      <c r="L164" s="52" t="str">
        <f t="array" ref="L164">IF(A164="","",SUMPRODUCT((A$2:A$200&lt;&gt;"")*((F$2:F$200*I164+G$2:G$200*J164+H$2:H$200*K164)&gt;0)*((F164*I$2:I$200+G164*J$2:J$200+H164*K$2:K$200)&gt;0))-IF(F164*I164+G164*J164+H164*K164&gt;0,1,0))</f>
        <v/>
      </c>
      <c r="M164" s="52" t="str">
        <f t="shared" si="42"/>
        <v/>
      </c>
      <c r="N164" s="52"/>
      <c r="O164" s="52"/>
      <c r="P164" s="52"/>
    </row>
    <row r="165" spans="1:16" x14ac:dyDescent="0.35">
      <c r="A165" s="52" t="str">
        <f>IF('Mii List'!A165="","",'Mii List'!A165)</f>
        <v/>
      </c>
      <c r="B165" s="52" t="str">
        <f>IF(A165="","",'Mii List'!B165)</f>
        <v/>
      </c>
      <c r="C165" s="52" t="str">
        <f>IF(A165="","",'Mii List'!C165)</f>
        <v/>
      </c>
      <c r="D165" s="52" t="str">
        <f>IF(A165="","",'Mii List'!D165)</f>
        <v/>
      </c>
      <c r="E165" s="52" t="str">
        <f>IF(A165="","",'Mii List'!E165)</f>
        <v/>
      </c>
      <c r="F165" s="52">
        <f t="shared" si="36"/>
        <v>0</v>
      </c>
      <c r="G165" s="52">
        <f t="shared" si="37"/>
        <v>0</v>
      </c>
      <c r="H165" s="52">
        <f t="shared" si="38"/>
        <v>0</v>
      </c>
      <c r="I165" s="52">
        <f t="shared" si="39"/>
        <v>0</v>
      </c>
      <c r="J165" s="52">
        <f t="shared" si="40"/>
        <v>0</v>
      </c>
      <c r="K165" s="52">
        <f t="shared" si="41"/>
        <v>0</v>
      </c>
      <c r="L165" s="52" t="str">
        <f t="array" ref="L165">IF(A165="","",SUMPRODUCT((A$2:A$200&lt;&gt;"")*((F$2:F$200*I165+G$2:G$200*J165+H$2:H$200*K165)&gt;0)*((F165*I$2:I$200+G165*J$2:J$200+H165*K$2:K$200)&gt;0))-IF(F165*I165+G165*J165+H165*K165&gt;0,1,0))</f>
        <v/>
      </c>
      <c r="M165" s="52" t="str">
        <f t="shared" si="42"/>
        <v/>
      </c>
      <c r="N165" s="52"/>
      <c r="O165" s="52"/>
      <c r="P165" s="52"/>
    </row>
    <row r="166" spans="1:16" x14ac:dyDescent="0.35">
      <c r="A166" s="52" t="str">
        <f>IF('Mii List'!A166="","",'Mii List'!A166)</f>
        <v/>
      </c>
      <c r="B166" s="52" t="str">
        <f>IF(A166="","",'Mii List'!B166)</f>
        <v/>
      </c>
      <c r="C166" s="52" t="str">
        <f>IF(A166="","",'Mii List'!C166)</f>
        <v/>
      </c>
      <c r="D166" s="52" t="str">
        <f>IF(A166="","",'Mii List'!D166)</f>
        <v/>
      </c>
      <c r="E166" s="52" t="str">
        <f>IF(A166="","",'Mii List'!E166)</f>
        <v/>
      </c>
      <c r="F166" s="52">
        <f t="shared" si="36"/>
        <v>0</v>
      </c>
      <c r="G166" s="52">
        <f t="shared" si="37"/>
        <v>0</v>
      </c>
      <c r="H166" s="52">
        <f t="shared" si="38"/>
        <v>0</v>
      </c>
      <c r="I166" s="52">
        <f t="shared" si="39"/>
        <v>0</v>
      </c>
      <c r="J166" s="52">
        <f t="shared" si="40"/>
        <v>0</v>
      </c>
      <c r="K166" s="52">
        <f t="shared" si="41"/>
        <v>0</v>
      </c>
      <c r="L166" s="52" t="str">
        <f t="array" ref="L166">IF(A166="","",SUMPRODUCT((A$2:A$200&lt;&gt;"")*((F$2:F$200*I166+G$2:G$200*J166+H$2:H$200*K166)&gt;0)*((F166*I$2:I$200+G166*J$2:J$200+H166*K$2:K$200)&gt;0))-IF(F166*I166+G166*J166+H166*K166&gt;0,1,0))</f>
        <v/>
      </c>
      <c r="M166" s="52" t="str">
        <f t="shared" si="42"/>
        <v/>
      </c>
      <c r="N166" s="52"/>
      <c r="O166" s="52"/>
      <c r="P166" s="52"/>
    </row>
    <row r="167" spans="1:16" x14ac:dyDescent="0.35">
      <c r="A167" s="52" t="str">
        <f>IF('Mii List'!A167="","",'Mii List'!A167)</f>
        <v/>
      </c>
      <c r="B167" s="52" t="str">
        <f>IF(A167="","",'Mii List'!B167)</f>
        <v/>
      </c>
      <c r="C167" s="52" t="str">
        <f>IF(A167="","",'Mii List'!C167)</f>
        <v/>
      </c>
      <c r="D167" s="52" t="str">
        <f>IF(A167="","",'Mii List'!D167)</f>
        <v/>
      </c>
      <c r="E167" s="52" t="str">
        <f>IF(A167="","",'Mii List'!E167)</f>
        <v/>
      </c>
      <c r="F167" s="52">
        <f t="shared" si="36"/>
        <v>0</v>
      </c>
      <c r="G167" s="52">
        <f t="shared" si="37"/>
        <v>0</v>
      </c>
      <c r="H167" s="52">
        <f t="shared" si="38"/>
        <v>0</v>
      </c>
      <c r="I167" s="52">
        <f t="shared" si="39"/>
        <v>0</v>
      </c>
      <c r="J167" s="52">
        <f t="shared" si="40"/>
        <v>0</v>
      </c>
      <c r="K167" s="52">
        <f t="shared" si="41"/>
        <v>0</v>
      </c>
      <c r="L167" s="52" t="str">
        <f t="array" ref="L167">IF(A167="","",SUMPRODUCT((A$2:A$200&lt;&gt;"")*((F$2:F$200*I167+G$2:G$200*J167+H$2:H$200*K167)&gt;0)*((F167*I$2:I$200+G167*J$2:J$200+H167*K$2:K$200)&gt;0))-IF(F167*I167+G167*J167+H167*K167&gt;0,1,0))</f>
        <v/>
      </c>
      <c r="M167" s="52" t="str">
        <f t="shared" si="42"/>
        <v/>
      </c>
      <c r="N167" s="52"/>
      <c r="O167" s="52"/>
      <c r="P167" s="52"/>
    </row>
    <row r="168" spans="1:16" x14ac:dyDescent="0.35">
      <c r="A168" s="52" t="str">
        <f>IF('Mii List'!A168="","",'Mii List'!A168)</f>
        <v/>
      </c>
      <c r="B168" s="52" t="str">
        <f>IF(A168="","",'Mii List'!B168)</f>
        <v/>
      </c>
      <c r="C168" s="52" t="str">
        <f>IF(A168="","",'Mii List'!C168)</f>
        <v/>
      </c>
      <c r="D168" s="52" t="str">
        <f>IF(A168="","",'Mii List'!D168)</f>
        <v/>
      </c>
      <c r="E168" s="52" t="str">
        <f>IF(A168="","",'Mii List'!E168)</f>
        <v/>
      </c>
      <c r="F168" s="52">
        <f t="shared" si="36"/>
        <v>0</v>
      </c>
      <c r="G168" s="52">
        <f t="shared" si="37"/>
        <v>0</v>
      </c>
      <c r="H168" s="52">
        <f t="shared" si="38"/>
        <v>0</v>
      </c>
      <c r="I168" s="52">
        <f t="shared" si="39"/>
        <v>0</v>
      </c>
      <c r="J168" s="52">
        <f t="shared" si="40"/>
        <v>0</v>
      </c>
      <c r="K168" s="52">
        <f t="shared" si="41"/>
        <v>0</v>
      </c>
      <c r="L168" s="52" t="str">
        <f t="array" ref="L168">IF(A168="","",SUMPRODUCT((A$2:A$200&lt;&gt;"")*((F$2:F$200*I168+G$2:G$200*J168+H$2:H$200*K168)&gt;0)*((F168*I$2:I$200+G168*J$2:J$200+H168*K$2:K$200)&gt;0))-IF(F168*I168+G168*J168+H168*K168&gt;0,1,0))</f>
        <v/>
      </c>
      <c r="M168" s="52" t="str">
        <f t="shared" si="42"/>
        <v/>
      </c>
      <c r="N168" s="52"/>
      <c r="O168" s="52"/>
      <c r="P168" s="52"/>
    </row>
    <row r="169" spans="1:16" x14ac:dyDescent="0.35">
      <c r="A169" s="52" t="str">
        <f>IF('Mii List'!A169="","",'Mii List'!A169)</f>
        <v/>
      </c>
      <c r="B169" s="52" t="str">
        <f>IF(A169="","",'Mii List'!B169)</f>
        <v/>
      </c>
      <c r="C169" s="52" t="str">
        <f>IF(A169="","",'Mii List'!C169)</f>
        <v/>
      </c>
      <c r="D169" s="52" t="str">
        <f>IF(A169="","",'Mii List'!D169)</f>
        <v/>
      </c>
      <c r="E169" s="52" t="str">
        <f>IF(A169="","",'Mii List'!E169)</f>
        <v/>
      </c>
      <c r="F169" s="52">
        <f t="shared" si="36"/>
        <v>0</v>
      </c>
      <c r="G169" s="52">
        <f t="shared" si="37"/>
        <v>0</v>
      </c>
      <c r="H169" s="52">
        <f t="shared" si="38"/>
        <v>0</v>
      </c>
      <c r="I169" s="52">
        <f t="shared" si="39"/>
        <v>0</v>
      </c>
      <c r="J169" s="52">
        <f t="shared" si="40"/>
        <v>0</v>
      </c>
      <c r="K169" s="52">
        <f t="shared" si="41"/>
        <v>0</v>
      </c>
      <c r="L169" s="52" t="str">
        <f t="array" ref="L169">IF(A169="","",SUMPRODUCT((A$2:A$200&lt;&gt;"")*((F$2:F$200*I169+G$2:G$200*J169+H$2:H$200*K169)&gt;0)*((F169*I$2:I$200+G169*J$2:J$200+H169*K$2:K$200)&gt;0))-IF(F169*I169+G169*J169+H169*K169&gt;0,1,0))</f>
        <v/>
      </c>
      <c r="M169" s="52" t="str">
        <f t="shared" si="42"/>
        <v/>
      </c>
      <c r="N169" s="52"/>
      <c r="O169" s="52"/>
      <c r="P169" s="52"/>
    </row>
    <row r="170" spans="1:16" x14ac:dyDescent="0.35">
      <c r="A170" s="52" t="str">
        <f>IF('Mii List'!A170="","",'Mii List'!A170)</f>
        <v/>
      </c>
      <c r="B170" s="52" t="str">
        <f>IF(A170="","",'Mii List'!B170)</f>
        <v/>
      </c>
      <c r="C170" s="52" t="str">
        <f>IF(A170="","",'Mii List'!C170)</f>
        <v/>
      </c>
      <c r="D170" s="52" t="str">
        <f>IF(A170="","",'Mii List'!D170)</f>
        <v/>
      </c>
      <c r="E170" s="52" t="str">
        <f>IF(A170="","",'Mii List'!E170)</f>
        <v/>
      </c>
      <c r="F170" s="52">
        <f t="shared" si="36"/>
        <v>0</v>
      </c>
      <c r="G170" s="52">
        <f t="shared" si="37"/>
        <v>0</v>
      </c>
      <c r="H170" s="52">
        <f t="shared" si="38"/>
        <v>0</v>
      </c>
      <c r="I170" s="52">
        <f t="shared" si="39"/>
        <v>0</v>
      </c>
      <c r="J170" s="52">
        <f t="shared" si="40"/>
        <v>0</v>
      </c>
      <c r="K170" s="52">
        <f t="shared" si="41"/>
        <v>0</v>
      </c>
      <c r="L170" s="52" t="str">
        <f t="array" ref="L170">IF(A170="","",SUMPRODUCT((A$2:A$200&lt;&gt;"")*((F$2:F$200*I170+G$2:G$200*J170+H$2:H$200*K170)&gt;0)*((F170*I$2:I$200+G170*J$2:J$200+H170*K$2:K$200)&gt;0))-IF(F170*I170+G170*J170+H170*K170&gt;0,1,0))</f>
        <v/>
      </c>
      <c r="M170" s="52" t="str">
        <f t="shared" si="42"/>
        <v/>
      </c>
      <c r="N170" s="52"/>
      <c r="O170" s="52"/>
      <c r="P170" s="52"/>
    </row>
    <row r="171" spans="1:16" x14ac:dyDescent="0.35">
      <c r="A171" s="52" t="str">
        <f>IF('Mii List'!A171="","",'Mii List'!A171)</f>
        <v/>
      </c>
      <c r="B171" s="52" t="str">
        <f>IF(A171="","",'Mii List'!B171)</f>
        <v/>
      </c>
      <c r="C171" s="52" t="str">
        <f>IF(A171="","",'Mii List'!C171)</f>
        <v/>
      </c>
      <c r="D171" s="52" t="str">
        <f>IF(A171="","",'Mii List'!D171)</f>
        <v/>
      </c>
      <c r="E171" s="52" t="str">
        <f>IF(A171="","",'Mii List'!E171)</f>
        <v/>
      </c>
      <c r="F171" s="52">
        <f t="shared" si="36"/>
        <v>0</v>
      </c>
      <c r="G171" s="52">
        <f t="shared" si="37"/>
        <v>0</v>
      </c>
      <c r="H171" s="52">
        <f t="shared" si="38"/>
        <v>0</v>
      </c>
      <c r="I171" s="52">
        <f t="shared" si="39"/>
        <v>0</v>
      </c>
      <c r="J171" s="52">
        <f t="shared" si="40"/>
        <v>0</v>
      </c>
      <c r="K171" s="52">
        <f t="shared" si="41"/>
        <v>0</v>
      </c>
      <c r="L171" s="52" t="str">
        <f t="array" ref="L171">IF(A171="","",SUMPRODUCT((A$2:A$200&lt;&gt;"")*((F$2:F$200*I171+G$2:G$200*J171+H$2:H$200*K171)&gt;0)*((F171*I$2:I$200+G171*J$2:J$200+H171*K$2:K$200)&gt;0))-IF(F171*I171+G171*J171+H171*K171&gt;0,1,0))</f>
        <v/>
      </c>
      <c r="M171" s="52" t="str">
        <f t="shared" si="42"/>
        <v/>
      </c>
      <c r="N171" s="52"/>
      <c r="O171" s="52"/>
      <c r="P171" s="52"/>
    </row>
    <row r="172" spans="1:16" x14ac:dyDescent="0.35">
      <c r="A172" s="52" t="str">
        <f>IF('Mii List'!A172="","",'Mii List'!A172)</f>
        <v/>
      </c>
      <c r="B172" s="52" t="str">
        <f>IF(A172="","",'Mii List'!B172)</f>
        <v/>
      </c>
      <c r="C172" s="52" t="str">
        <f>IF(A172="","",'Mii List'!C172)</f>
        <v/>
      </c>
      <c r="D172" s="52" t="str">
        <f>IF(A172="","",'Mii List'!D172)</f>
        <v/>
      </c>
      <c r="E172" s="52" t="str">
        <f>IF(A172="","",'Mii List'!E172)</f>
        <v/>
      </c>
      <c r="F172" s="52">
        <f t="shared" si="36"/>
        <v>0</v>
      </c>
      <c r="G172" s="52">
        <f t="shared" si="37"/>
        <v>0</v>
      </c>
      <c r="H172" s="52">
        <f t="shared" si="38"/>
        <v>0</v>
      </c>
      <c r="I172" s="52">
        <f t="shared" si="39"/>
        <v>0</v>
      </c>
      <c r="J172" s="52">
        <f t="shared" si="40"/>
        <v>0</v>
      </c>
      <c r="K172" s="52">
        <f t="shared" si="41"/>
        <v>0</v>
      </c>
      <c r="L172" s="52" t="str">
        <f t="array" ref="L172">IF(A172="","",SUMPRODUCT((A$2:A$200&lt;&gt;"")*((F$2:F$200*I172+G$2:G$200*J172+H$2:H$200*K172)&gt;0)*((F172*I$2:I$200+G172*J$2:J$200+H172*K$2:K$200)&gt;0))-IF(F172*I172+G172*J172+H172*K172&gt;0,1,0))</f>
        <v/>
      </c>
      <c r="M172" s="52" t="str">
        <f t="shared" si="42"/>
        <v/>
      </c>
      <c r="N172" s="52"/>
      <c r="O172" s="52"/>
      <c r="P172" s="52"/>
    </row>
    <row r="173" spans="1:16" x14ac:dyDescent="0.35">
      <c r="A173" s="52" t="str">
        <f>IF('Mii List'!A173="","",'Mii List'!A173)</f>
        <v/>
      </c>
      <c r="B173" s="52" t="str">
        <f>IF(A173="","",'Mii List'!B173)</f>
        <v/>
      </c>
      <c r="C173" s="52" t="str">
        <f>IF(A173="","",'Mii List'!C173)</f>
        <v/>
      </c>
      <c r="D173" s="52" t="str">
        <f>IF(A173="","",'Mii List'!D173)</f>
        <v/>
      </c>
      <c r="E173" s="52" t="str">
        <f>IF(A173="","",'Mii List'!E173)</f>
        <v/>
      </c>
      <c r="F173" s="52">
        <f t="shared" si="36"/>
        <v>0</v>
      </c>
      <c r="G173" s="52">
        <f t="shared" si="37"/>
        <v>0</v>
      </c>
      <c r="H173" s="52">
        <f t="shared" si="38"/>
        <v>0</v>
      </c>
      <c r="I173" s="52">
        <f t="shared" si="39"/>
        <v>0</v>
      </c>
      <c r="J173" s="52">
        <f t="shared" si="40"/>
        <v>0</v>
      </c>
      <c r="K173" s="52">
        <f t="shared" si="41"/>
        <v>0</v>
      </c>
      <c r="L173" s="52" t="str">
        <f t="array" ref="L173">IF(A173="","",SUMPRODUCT((A$2:A$200&lt;&gt;"")*((F$2:F$200*I173+G$2:G$200*J173+H$2:H$200*K173)&gt;0)*((F173*I$2:I$200+G173*J$2:J$200+H173*K$2:K$200)&gt;0))-IF(F173*I173+G173*J173+H173*K173&gt;0,1,0))</f>
        <v/>
      </c>
      <c r="M173" s="52" t="str">
        <f t="shared" si="42"/>
        <v/>
      </c>
      <c r="N173" s="52"/>
      <c r="O173" s="52"/>
      <c r="P173" s="52"/>
    </row>
    <row r="174" spans="1:16" x14ac:dyDescent="0.35">
      <c r="A174" s="52" t="str">
        <f>IF('Mii List'!A174="","",'Mii List'!A174)</f>
        <v/>
      </c>
      <c r="B174" s="52" t="str">
        <f>IF(A174="","",'Mii List'!B174)</f>
        <v/>
      </c>
      <c r="C174" s="52" t="str">
        <f>IF(A174="","",'Mii List'!C174)</f>
        <v/>
      </c>
      <c r="D174" s="52" t="str">
        <f>IF(A174="","",'Mii List'!D174)</f>
        <v/>
      </c>
      <c r="E174" s="52" t="str">
        <f>IF(A174="","",'Mii List'!E174)</f>
        <v/>
      </c>
      <c r="F174" s="52">
        <f t="shared" si="36"/>
        <v>0</v>
      </c>
      <c r="G174" s="52">
        <f t="shared" si="37"/>
        <v>0</v>
      </c>
      <c r="H174" s="52">
        <f t="shared" si="38"/>
        <v>0</v>
      </c>
      <c r="I174" s="52">
        <f t="shared" si="39"/>
        <v>0</v>
      </c>
      <c r="J174" s="52">
        <f t="shared" si="40"/>
        <v>0</v>
      </c>
      <c r="K174" s="52">
        <f t="shared" si="41"/>
        <v>0</v>
      </c>
      <c r="L174" s="52" t="str">
        <f t="array" ref="L174">IF(A174="","",SUMPRODUCT((A$2:A$200&lt;&gt;"")*((F$2:F$200*I174+G$2:G$200*J174+H$2:H$200*K174)&gt;0)*((F174*I$2:I$200+G174*J$2:J$200+H174*K$2:K$200)&gt;0))-IF(F174*I174+G174*J174+H174*K174&gt;0,1,0))</f>
        <v/>
      </c>
      <c r="M174" s="52" t="str">
        <f t="shared" si="42"/>
        <v/>
      </c>
      <c r="N174" s="52"/>
      <c r="O174" s="52"/>
      <c r="P174" s="52"/>
    </row>
    <row r="175" spans="1:16" x14ac:dyDescent="0.35">
      <c r="A175" s="52" t="str">
        <f>IF('Mii List'!A175="","",'Mii List'!A175)</f>
        <v/>
      </c>
      <c r="B175" s="52" t="str">
        <f>IF(A175="","",'Mii List'!B175)</f>
        <v/>
      </c>
      <c r="C175" s="52" t="str">
        <f>IF(A175="","",'Mii List'!C175)</f>
        <v/>
      </c>
      <c r="D175" s="52" t="str">
        <f>IF(A175="","",'Mii List'!D175)</f>
        <v/>
      </c>
      <c r="E175" s="52" t="str">
        <f>IF(A175="","",'Mii List'!E175)</f>
        <v/>
      </c>
      <c r="F175" s="52">
        <f t="shared" si="36"/>
        <v>0</v>
      </c>
      <c r="G175" s="52">
        <f t="shared" si="37"/>
        <v>0</v>
      </c>
      <c r="H175" s="52">
        <f t="shared" si="38"/>
        <v>0</v>
      </c>
      <c r="I175" s="52">
        <f t="shared" si="39"/>
        <v>0</v>
      </c>
      <c r="J175" s="52">
        <f t="shared" si="40"/>
        <v>0</v>
      </c>
      <c r="K175" s="52">
        <f t="shared" si="41"/>
        <v>0</v>
      </c>
      <c r="L175" s="52" t="str">
        <f t="array" ref="L175">IF(A175="","",SUMPRODUCT((A$2:A$200&lt;&gt;"")*((F$2:F$200*I175+G$2:G$200*J175+H$2:H$200*K175)&gt;0)*((F175*I$2:I$200+G175*J$2:J$200+H175*K$2:K$200)&gt;0))-IF(F175*I175+G175*J175+H175*K175&gt;0,1,0))</f>
        <v/>
      </c>
      <c r="M175" s="52" t="str">
        <f t="shared" si="42"/>
        <v/>
      </c>
      <c r="N175" s="52"/>
      <c r="O175" s="52"/>
      <c r="P175" s="52"/>
    </row>
    <row r="176" spans="1:16" x14ac:dyDescent="0.35">
      <c r="A176" s="52" t="str">
        <f>IF('Mii List'!A176="","",'Mii List'!A176)</f>
        <v/>
      </c>
      <c r="B176" s="52" t="str">
        <f>IF(A176="","",'Mii List'!B176)</f>
        <v/>
      </c>
      <c r="C176" s="52" t="str">
        <f>IF(A176="","",'Mii List'!C176)</f>
        <v/>
      </c>
      <c r="D176" s="52" t="str">
        <f>IF(A176="","",'Mii List'!D176)</f>
        <v/>
      </c>
      <c r="E176" s="52" t="str">
        <f>IF(A176="","",'Mii List'!E176)</f>
        <v/>
      </c>
      <c r="F176" s="52">
        <f t="shared" si="36"/>
        <v>0</v>
      </c>
      <c r="G176" s="52">
        <f t="shared" si="37"/>
        <v>0</v>
      </c>
      <c r="H176" s="52">
        <f t="shared" si="38"/>
        <v>0</v>
      </c>
      <c r="I176" s="52">
        <f t="shared" si="39"/>
        <v>0</v>
      </c>
      <c r="J176" s="52">
        <f t="shared" si="40"/>
        <v>0</v>
      </c>
      <c r="K176" s="52">
        <f t="shared" si="41"/>
        <v>0</v>
      </c>
      <c r="L176" s="52" t="str">
        <f t="array" ref="L176">IF(A176="","",SUMPRODUCT((A$2:A$200&lt;&gt;"")*((F$2:F$200*I176+G$2:G$200*J176+H$2:H$200*K176)&gt;0)*((F176*I$2:I$200+G176*J$2:J$200+H176*K$2:K$200)&gt;0))-IF(F176*I176+G176*J176+H176*K176&gt;0,1,0))</f>
        <v/>
      </c>
      <c r="M176" s="52" t="str">
        <f t="shared" si="42"/>
        <v/>
      </c>
      <c r="N176" s="52"/>
      <c r="O176" s="52"/>
      <c r="P176" s="52"/>
    </row>
    <row r="177" spans="1:16" x14ac:dyDescent="0.35">
      <c r="A177" s="52" t="str">
        <f>IF('Mii List'!A177="","",'Mii List'!A177)</f>
        <v/>
      </c>
      <c r="B177" s="52" t="str">
        <f>IF(A177="","",'Mii List'!B177)</f>
        <v/>
      </c>
      <c r="C177" s="52" t="str">
        <f>IF(A177="","",'Mii List'!C177)</f>
        <v/>
      </c>
      <c r="D177" s="52" t="str">
        <f>IF(A177="","",'Mii List'!D177)</f>
        <v/>
      </c>
      <c r="E177" s="52" t="str">
        <f>IF(A177="","",'Mii List'!E177)</f>
        <v/>
      </c>
      <c r="F177" s="52">
        <f t="shared" si="36"/>
        <v>0</v>
      </c>
      <c r="G177" s="52">
        <f t="shared" si="37"/>
        <v>0</v>
      </c>
      <c r="H177" s="52">
        <f t="shared" si="38"/>
        <v>0</v>
      </c>
      <c r="I177" s="52">
        <f t="shared" si="39"/>
        <v>0</v>
      </c>
      <c r="J177" s="52">
        <f t="shared" si="40"/>
        <v>0</v>
      </c>
      <c r="K177" s="52">
        <f t="shared" si="41"/>
        <v>0</v>
      </c>
      <c r="L177" s="52" t="str">
        <f t="array" ref="L177">IF(A177="","",SUMPRODUCT((A$2:A$200&lt;&gt;"")*((F$2:F$200*I177+G$2:G$200*J177+H$2:H$200*K177)&gt;0)*((F177*I$2:I$200+G177*J$2:J$200+H177*K$2:K$200)&gt;0))-IF(F177*I177+G177*J177+H177*K177&gt;0,1,0))</f>
        <v/>
      </c>
      <c r="M177" s="52" t="str">
        <f t="shared" si="42"/>
        <v/>
      </c>
      <c r="N177" s="52"/>
      <c r="O177" s="52"/>
      <c r="P177" s="52"/>
    </row>
    <row r="178" spans="1:16" x14ac:dyDescent="0.35">
      <c r="A178" s="52" t="str">
        <f>IF('Mii List'!A178="","",'Mii List'!A178)</f>
        <v/>
      </c>
      <c r="B178" s="52" t="str">
        <f>IF(A178="","",'Mii List'!B178)</f>
        <v/>
      </c>
      <c r="C178" s="52" t="str">
        <f>IF(A178="","",'Mii List'!C178)</f>
        <v/>
      </c>
      <c r="D178" s="52" t="str">
        <f>IF(A178="","",'Mii List'!D178)</f>
        <v/>
      </c>
      <c r="E178" s="52" t="str">
        <f>IF(A178="","",'Mii List'!E178)</f>
        <v/>
      </c>
      <c r="F178" s="52">
        <f t="shared" si="36"/>
        <v>0</v>
      </c>
      <c r="G178" s="52">
        <f t="shared" si="37"/>
        <v>0</v>
      </c>
      <c r="H178" s="52">
        <f t="shared" si="38"/>
        <v>0</v>
      </c>
      <c r="I178" s="52">
        <f t="shared" si="39"/>
        <v>0</v>
      </c>
      <c r="J178" s="52">
        <f t="shared" si="40"/>
        <v>0</v>
      </c>
      <c r="K178" s="52">
        <f t="shared" si="41"/>
        <v>0</v>
      </c>
      <c r="L178" s="52" t="str">
        <f t="array" ref="L178">IF(A178="","",SUMPRODUCT((A$2:A$200&lt;&gt;"")*((F$2:F$200*I178+G$2:G$200*J178+H$2:H$200*K178)&gt;0)*((F178*I$2:I$200+G178*J$2:J$200+H178*K$2:K$200)&gt;0))-IF(F178*I178+G178*J178+H178*K178&gt;0,1,0))</f>
        <v/>
      </c>
      <c r="M178" s="52" t="str">
        <f t="shared" si="42"/>
        <v/>
      </c>
      <c r="N178" s="52"/>
      <c r="O178" s="52"/>
      <c r="P178" s="52"/>
    </row>
    <row r="179" spans="1:16" x14ac:dyDescent="0.35">
      <c r="A179" s="52" t="str">
        <f>IF('Mii List'!A179="","",'Mii List'!A179)</f>
        <v/>
      </c>
      <c r="B179" s="52" t="str">
        <f>IF(A179="","",'Mii List'!B179)</f>
        <v/>
      </c>
      <c r="C179" s="52" t="str">
        <f>IF(A179="","",'Mii List'!C179)</f>
        <v/>
      </c>
      <c r="D179" s="52" t="str">
        <f>IF(A179="","",'Mii List'!D179)</f>
        <v/>
      </c>
      <c r="E179" s="52" t="str">
        <f>IF(A179="","",'Mii List'!E179)</f>
        <v/>
      </c>
      <c r="F179" s="52">
        <f t="shared" si="36"/>
        <v>0</v>
      </c>
      <c r="G179" s="52">
        <f t="shared" si="37"/>
        <v>0</v>
      </c>
      <c r="H179" s="52">
        <f t="shared" si="38"/>
        <v>0</v>
      </c>
      <c r="I179" s="52">
        <f t="shared" si="39"/>
        <v>0</v>
      </c>
      <c r="J179" s="52">
        <f t="shared" si="40"/>
        <v>0</v>
      </c>
      <c r="K179" s="52">
        <f t="shared" si="41"/>
        <v>0</v>
      </c>
      <c r="L179" s="52" t="str">
        <f t="array" ref="L179">IF(A179="","",SUMPRODUCT((A$2:A$200&lt;&gt;"")*((F$2:F$200*I179+G$2:G$200*J179+H$2:H$200*K179)&gt;0)*((F179*I$2:I$200+G179*J$2:J$200+H179*K$2:K$200)&gt;0))-IF(F179*I179+G179*J179+H179*K179&gt;0,1,0))</f>
        <v/>
      </c>
      <c r="M179" s="52" t="str">
        <f t="shared" si="42"/>
        <v/>
      </c>
      <c r="N179" s="52"/>
      <c r="O179" s="52"/>
      <c r="P179" s="52"/>
    </row>
    <row r="180" spans="1:16" x14ac:dyDescent="0.35">
      <c r="A180" s="52" t="str">
        <f>IF('Mii List'!A180="","",'Mii List'!A180)</f>
        <v/>
      </c>
      <c r="B180" s="52" t="str">
        <f>IF(A180="","",'Mii List'!B180)</f>
        <v/>
      </c>
      <c r="C180" s="52" t="str">
        <f>IF(A180="","",'Mii List'!C180)</f>
        <v/>
      </c>
      <c r="D180" s="52" t="str">
        <f>IF(A180="","",'Mii List'!D180)</f>
        <v/>
      </c>
      <c r="E180" s="52" t="str">
        <f>IF(A180="","",'Mii List'!E180)</f>
        <v/>
      </c>
      <c r="F180" s="52">
        <f t="shared" si="36"/>
        <v>0</v>
      </c>
      <c r="G180" s="52">
        <f t="shared" si="37"/>
        <v>0</v>
      </c>
      <c r="H180" s="52">
        <f t="shared" si="38"/>
        <v>0</v>
      </c>
      <c r="I180" s="52">
        <f t="shared" si="39"/>
        <v>0</v>
      </c>
      <c r="J180" s="52">
        <f t="shared" si="40"/>
        <v>0</v>
      </c>
      <c r="K180" s="52">
        <f t="shared" si="41"/>
        <v>0</v>
      </c>
      <c r="L180" s="52" t="str">
        <f t="array" ref="L180">IF(A180="","",SUMPRODUCT((A$2:A$200&lt;&gt;"")*((F$2:F$200*I180+G$2:G$200*J180+H$2:H$200*K180)&gt;0)*((F180*I$2:I$200+G180*J$2:J$200+H180*K$2:K$200)&gt;0))-IF(F180*I180+G180*J180+H180*K180&gt;0,1,0))</f>
        <v/>
      </c>
      <c r="M180" s="52" t="str">
        <f t="shared" si="42"/>
        <v/>
      </c>
      <c r="N180" s="52"/>
      <c r="O180" s="52"/>
      <c r="P180" s="52"/>
    </row>
    <row r="181" spans="1:16" x14ac:dyDescent="0.35">
      <c r="A181" s="52" t="str">
        <f>IF('Mii List'!A181="","",'Mii List'!A181)</f>
        <v/>
      </c>
      <c r="B181" s="52" t="str">
        <f>IF(A181="","",'Mii List'!B181)</f>
        <v/>
      </c>
      <c r="C181" s="52" t="str">
        <f>IF(A181="","",'Mii List'!C181)</f>
        <v/>
      </c>
      <c r="D181" s="52" t="str">
        <f>IF(A181="","",'Mii List'!D181)</f>
        <v/>
      </c>
      <c r="E181" s="52" t="str">
        <f>IF(A181="","",'Mii List'!E181)</f>
        <v/>
      </c>
      <c r="F181" s="52">
        <f t="shared" si="36"/>
        <v>0</v>
      </c>
      <c r="G181" s="52">
        <f t="shared" si="37"/>
        <v>0</v>
      </c>
      <c r="H181" s="52">
        <f t="shared" si="38"/>
        <v>0</v>
      </c>
      <c r="I181" s="52">
        <f t="shared" si="39"/>
        <v>0</v>
      </c>
      <c r="J181" s="52">
        <f t="shared" si="40"/>
        <v>0</v>
      </c>
      <c r="K181" s="52">
        <f t="shared" si="41"/>
        <v>0</v>
      </c>
      <c r="L181" s="52" t="str">
        <f t="array" ref="L181">IF(A181="","",SUMPRODUCT((A$2:A$200&lt;&gt;"")*((F$2:F$200*I181+G$2:G$200*J181+H$2:H$200*K181)&gt;0)*((F181*I$2:I$200+G181*J$2:J$200+H181*K$2:K$200)&gt;0))-IF(F181*I181+G181*J181+H181*K181&gt;0,1,0))</f>
        <v/>
      </c>
      <c r="M181" s="52" t="str">
        <f t="shared" si="42"/>
        <v/>
      </c>
      <c r="N181" s="52"/>
      <c r="O181" s="52"/>
      <c r="P181" s="52"/>
    </row>
    <row r="182" spans="1:16" x14ac:dyDescent="0.35">
      <c r="A182" s="52" t="str">
        <f>IF('Mii List'!A182="","",'Mii List'!A182)</f>
        <v/>
      </c>
      <c r="B182" s="52" t="str">
        <f>IF(A182="","",'Mii List'!B182)</f>
        <v/>
      </c>
      <c r="C182" s="52" t="str">
        <f>IF(A182="","",'Mii List'!C182)</f>
        <v/>
      </c>
      <c r="D182" s="52" t="str">
        <f>IF(A182="","",'Mii List'!D182)</f>
        <v/>
      </c>
      <c r="E182" s="52" t="str">
        <f>IF(A182="","",'Mii List'!E182)</f>
        <v/>
      </c>
      <c r="F182" s="52">
        <f t="shared" si="36"/>
        <v>0</v>
      </c>
      <c r="G182" s="52">
        <f t="shared" si="37"/>
        <v>0</v>
      </c>
      <c r="H182" s="52">
        <f t="shared" si="38"/>
        <v>0</v>
      </c>
      <c r="I182" s="52">
        <f t="shared" si="39"/>
        <v>0</v>
      </c>
      <c r="J182" s="52">
        <f t="shared" si="40"/>
        <v>0</v>
      </c>
      <c r="K182" s="52">
        <f t="shared" si="41"/>
        <v>0</v>
      </c>
      <c r="L182" s="52" t="str">
        <f t="array" ref="L182">IF(A182="","",SUMPRODUCT((A$2:A$200&lt;&gt;"")*((F$2:F$200*I182+G$2:G$200*J182+H$2:H$200*K182)&gt;0)*((F182*I$2:I$200+G182*J$2:J$200+H182*K$2:K$200)&gt;0))-IF(F182*I182+G182*J182+H182*K182&gt;0,1,0))</f>
        <v/>
      </c>
      <c r="M182" s="52" t="str">
        <f t="shared" si="42"/>
        <v/>
      </c>
      <c r="N182" s="52"/>
      <c r="O182" s="52"/>
      <c r="P182" s="52"/>
    </row>
    <row r="183" spans="1:16" x14ac:dyDescent="0.35">
      <c r="A183" s="52" t="str">
        <f>IF('Mii List'!A183="","",'Mii List'!A183)</f>
        <v/>
      </c>
      <c r="B183" s="52" t="str">
        <f>IF(A183="","",'Mii List'!B183)</f>
        <v/>
      </c>
      <c r="C183" s="52" t="str">
        <f>IF(A183="","",'Mii List'!C183)</f>
        <v/>
      </c>
      <c r="D183" s="52" t="str">
        <f>IF(A183="","",'Mii List'!D183)</f>
        <v/>
      </c>
      <c r="E183" s="52" t="str">
        <f>IF(A183="","",'Mii List'!E183)</f>
        <v/>
      </c>
      <c r="F183" s="52">
        <f t="shared" si="36"/>
        <v>0</v>
      </c>
      <c r="G183" s="52">
        <f t="shared" si="37"/>
        <v>0</v>
      </c>
      <c r="H183" s="52">
        <f t="shared" si="38"/>
        <v>0</v>
      </c>
      <c r="I183" s="52">
        <f t="shared" si="39"/>
        <v>0</v>
      </c>
      <c r="J183" s="52">
        <f t="shared" si="40"/>
        <v>0</v>
      </c>
      <c r="K183" s="52">
        <f t="shared" si="41"/>
        <v>0</v>
      </c>
      <c r="L183" s="52" t="str">
        <f t="array" ref="L183">IF(A183="","",SUMPRODUCT((A$2:A$200&lt;&gt;"")*((F$2:F$200*I183+G$2:G$200*J183+H$2:H$200*K183)&gt;0)*((F183*I$2:I$200+G183*J$2:J$200+H183*K$2:K$200)&gt;0))-IF(F183*I183+G183*J183+H183*K183&gt;0,1,0))</f>
        <v/>
      </c>
      <c r="M183" s="52" t="str">
        <f t="shared" si="42"/>
        <v/>
      </c>
      <c r="N183" s="52"/>
      <c r="O183" s="52"/>
      <c r="P183" s="52"/>
    </row>
    <row r="184" spans="1:16" x14ac:dyDescent="0.35">
      <c r="A184" s="52" t="str">
        <f>IF('Mii List'!A184="","",'Mii List'!A184)</f>
        <v/>
      </c>
      <c r="B184" s="52" t="str">
        <f>IF(A184="","",'Mii List'!B184)</f>
        <v/>
      </c>
      <c r="C184" s="52" t="str">
        <f>IF(A184="","",'Mii List'!C184)</f>
        <v/>
      </c>
      <c r="D184" s="52" t="str">
        <f>IF(A184="","",'Mii List'!D184)</f>
        <v/>
      </c>
      <c r="E184" s="52" t="str">
        <f>IF(A184="","",'Mii List'!E184)</f>
        <v/>
      </c>
      <c r="F184" s="52">
        <f t="shared" si="36"/>
        <v>0</v>
      </c>
      <c r="G184" s="52">
        <f t="shared" si="37"/>
        <v>0</v>
      </c>
      <c r="H184" s="52">
        <f t="shared" si="38"/>
        <v>0</v>
      </c>
      <c r="I184" s="52">
        <f t="shared" si="39"/>
        <v>0</v>
      </c>
      <c r="J184" s="52">
        <f t="shared" si="40"/>
        <v>0</v>
      </c>
      <c r="K184" s="52">
        <f t="shared" si="41"/>
        <v>0</v>
      </c>
      <c r="L184" s="52" t="str">
        <f t="array" ref="L184">IF(A184="","",SUMPRODUCT((A$2:A$200&lt;&gt;"")*((F$2:F$200*I184+G$2:G$200*J184+H$2:H$200*K184)&gt;0)*((F184*I$2:I$200+G184*J$2:J$200+H184*K$2:K$200)&gt;0))-IF(F184*I184+G184*J184+H184*K184&gt;0,1,0))</f>
        <v/>
      </c>
      <c r="M184" s="52" t="str">
        <f t="shared" si="42"/>
        <v/>
      </c>
      <c r="N184" s="52"/>
      <c r="O184" s="52"/>
      <c r="P184" s="52"/>
    </row>
    <row r="185" spans="1:16" x14ac:dyDescent="0.35">
      <c r="A185" s="52" t="str">
        <f>IF('Mii List'!A185="","",'Mii List'!A185)</f>
        <v/>
      </c>
      <c r="B185" s="52" t="str">
        <f>IF(A185="","",'Mii List'!B185)</f>
        <v/>
      </c>
      <c r="C185" s="52" t="str">
        <f>IF(A185="","",'Mii List'!C185)</f>
        <v/>
      </c>
      <c r="D185" s="52" t="str">
        <f>IF(A185="","",'Mii List'!D185)</f>
        <v/>
      </c>
      <c r="E185" s="52" t="str">
        <f>IF(A185="","",'Mii List'!E185)</f>
        <v/>
      </c>
      <c r="F185" s="52">
        <f t="shared" si="36"/>
        <v>0</v>
      </c>
      <c r="G185" s="52">
        <f t="shared" si="37"/>
        <v>0</v>
      </c>
      <c r="H185" s="52">
        <f t="shared" si="38"/>
        <v>0</v>
      </c>
      <c r="I185" s="52">
        <f t="shared" si="39"/>
        <v>0</v>
      </c>
      <c r="J185" s="52">
        <f t="shared" si="40"/>
        <v>0</v>
      </c>
      <c r="K185" s="52">
        <f t="shared" si="41"/>
        <v>0</v>
      </c>
      <c r="L185" s="52" t="str">
        <f t="array" ref="L185">IF(A185="","",SUMPRODUCT((A$2:A$200&lt;&gt;"")*((F$2:F$200*I185+G$2:G$200*J185+H$2:H$200*K185)&gt;0)*((F185*I$2:I$200+G185*J$2:J$200+H185*K$2:K$200)&gt;0))-IF(F185*I185+G185*J185+H185*K185&gt;0,1,0))</f>
        <v/>
      </c>
      <c r="M185" s="52" t="str">
        <f t="shared" si="42"/>
        <v/>
      </c>
      <c r="N185" s="52"/>
      <c r="O185" s="52"/>
      <c r="P185" s="52"/>
    </row>
    <row r="186" spans="1:16" x14ac:dyDescent="0.35">
      <c r="A186" s="52" t="str">
        <f>IF('Mii List'!A186="","",'Mii List'!A186)</f>
        <v/>
      </c>
      <c r="B186" s="52" t="str">
        <f>IF(A186="","",'Mii List'!B186)</f>
        <v/>
      </c>
      <c r="C186" s="52" t="str">
        <f>IF(A186="","",'Mii List'!C186)</f>
        <v/>
      </c>
      <c r="D186" s="52" t="str">
        <f>IF(A186="","",'Mii List'!D186)</f>
        <v/>
      </c>
      <c r="E186" s="52" t="str">
        <f>IF(A186="","",'Mii List'!E186)</f>
        <v/>
      </c>
      <c r="F186" s="52">
        <f t="shared" si="36"/>
        <v>0</v>
      </c>
      <c r="G186" s="52">
        <f t="shared" si="37"/>
        <v>0</v>
      </c>
      <c r="H186" s="52">
        <f t="shared" si="38"/>
        <v>0</v>
      </c>
      <c r="I186" s="52">
        <f t="shared" si="39"/>
        <v>0</v>
      </c>
      <c r="J186" s="52">
        <f t="shared" si="40"/>
        <v>0</v>
      </c>
      <c r="K186" s="52">
        <f t="shared" si="41"/>
        <v>0</v>
      </c>
      <c r="L186" s="52" t="str">
        <f t="array" ref="L186">IF(A186="","",SUMPRODUCT((A$2:A$200&lt;&gt;"")*((F$2:F$200*I186+G$2:G$200*J186+H$2:H$200*K186)&gt;0)*((F186*I$2:I$200+G186*J$2:J$200+H186*K$2:K$200)&gt;0))-IF(F186*I186+G186*J186+H186*K186&gt;0,1,0))</f>
        <v/>
      </c>
      <c r="M186" s="52" t="str">
        <f t="shared" si="42"/>
        <v/>
      </c>
      <c r="N186" s="52"/>
      <c r="O186" s="52"/>
      <c r="P186" s="52"/>
    </row>
    <row r="187" spans="1:16" x14ac:dyDescent="0.35">
      <c r="A187" s="52" t="str">
        <f>IF('Mii List'!A187="","",'Mii List'!A187)</f>
        <v/>
      </c>
      <c r="B187" s="52" t="str">
        <f>IF(A187="","",'Mii List'!B187)</f>
        <v/>
      </c>
      <c r="C187" s="52" t="str">
        <f>IF(A187="","",'Mii List'!C187)</f>
        <v/>
      </c>
      <c r="D187" s="52" t="str">
        <f>IF(A187="","",'Mii List'!D187)</f>
        <v/>
      </c>
      <c r="E187" s="52" t="str">
        <f>IF(A187="","",'Mii List'!E187)</f>
        <v/>
      </c>
      <c r="F187" s="52">
        <f t="shared" si="36"/>
        <v>0</v>
      </c>
      <c r="G187" s="52">
        <f t="shared" si="37"/>
        <v>0</v>
      </c>
      <c r="H187" s="52">
        <f t="shared" si="38"/>
        <v>0</v>
      </c>
      <c r="I187" s="52">
        <f t="shared" si="39"/>
        <v>0</v>
      </c>
      <c r="J187" s="52">
        <f t="shared" si="40"/>
        <v>0</v>
      </c>
      <c r="K187" s="52">
        <f t="shared" si="41"/>
        <v>0</v>
      </c>
      <c r="L187" s="52" t="str">
        <f t="array" ref="L187">IF(A187="","",SUMPRODUCT((A$2:A$200&lt;&gt;"")*((F$2:F$200*I187+G$2:G$200*J187+H$2:H$200*K187)&gt;0)*((F187*I$2:I$200+G187*J$2:J$200+H187*K$2:K$200)&gt;0))-IF(F187*I187+G187*J187+H187*K187&gt;0,1,0))</f>
        <v/>
      </c>
      <c r="M187" s="52" t="str">
        <f t="shared" si="42"/>
        <v/>
      </c>
      <c r="N187" s="52"/>
      <c r="O187" s="52"/>
      <c r="P187" s="52"/>
    </row>
    <row r="188" spans="1:16" x14ac:dyDescent="0.35">
      <c r="A188" s="52" t="str">
        <f>IF('Mii List'!A188="","",'Mii List'!A188)</f>
        <v/>
      </c>
      <c r="B188" s="52" t="str">
        <f>IF(A188="","",'Mii List'!B188)</f>
        <v/>
      </c>
      <c r="C188" s="52" t="str">
        <f>IF(A188="","",'Mii List'!C188)</f>
        <v/>
      </c>
      <c r="D188" s="52" t="str">
        <f>IF(A188="","",'Mii List'!D188)</f>
        <v/>
      </c>
      <c r="E188" s="52" t="str">
        <f>IF(A188="","",'Mii List'!E188)</f>
        <v/>
      </c>
      <c r="F188" s="52">
        <f t="shared" si="36"/>
        <v>0</v>
      </c>
      <c r="G188" s="52">
        <f t="shared" si="37"/>
        <v>0</v>
      </c>
      <c r="H188" s="52">
        <f t="shared" si="38"/>
        <v>0</v>
      </c>
      <c r="I188" s="52">
        <f t="shared" si="39"/>
        <v>0</v>
      </c>
      <c r="J188" s="52">
        <f t="shared" si="40"/>
        <v>0</v>
      </c>
      <c r="K188" s="52">
        <f t="shared" si="41"/>
        <v>0</v>
      </c>
      <c r="L188" s="52" t="str">
        <f t="array" ref="L188">IF(A188="","",SUMPRODUCT((A$2:A$200&lt;&gt;"")*((F$2:F$200*I188+G$2:G$200*J188+H$2:H$200*K188)&gt;0)*((F188*I$2:I$200+G188*J$2:J$200+H188*K$2:K$200)&gt;0))-IF(F188*I188+G188*J188+H188*K188&gt;0,1,0))</f>
        <v/>
      </c>
      <c r="M188" s="52" t="str">
        <f t="shared" si="42"/>
        <v/>
      </c>
      <c r="N188" s="52"/>
      <c r="O188" s="52"/>
      <c r="P188" s="52"/>
    </row>
    <row r="189" spans="1:16" x14ac:dyDescent="0.35">
      <c r="A189" s="52" t="str">
        <f>IF('Mii List'!A189="","",'Mii List'!A189)</f>
        <v/>
      </c>
      <c r="B189" s="52" t="str">
        <f>IF(A189="","",'Mii List'!B189)</f>
        <v/>
      </c>
      <c r="C189" s="52" t="str">
        <f>IF(A189="","",'Mii List'!C189)</f>
        <v/>
      </c>
      <c r="D189" s="52" t="str">
        <f>IF(A189="","",'Mii List'!D189)</f>
        <v/>
      </c>
      <c r="E189" s="52" t="str">
        <f>IF(A189="","",'Mii List'!E189)</f>
        <v/>
      </c>
      <c r="F189" s="52">
        <f t="shared" si="36"/>
        <v>0</v>
      </c>
      <c r="G189" s="52">
        <f t="shared" si="37"/>
        <v>0</v>
      </c>
      <c r="H189" s="52">
        <f t="shared" si="38"/>
        <v>0</v>
      </c>
      <c r="I189" s="52">
        <f t="shared" si="39"/>
        <v>0</v>
      </c>
      <c r="J189" s="52">
        <f t="shared" si="40"/>
        <v>0</v>
      </c>
      <c r="K189" s="52">
        <f t="shared" si="41"/>
        <v>0</v>
      </c>
      <c r="L189" s="52" t="str">
        <f t="array" ref="L189">IF(A189="","",SUMPRODUCT((A$2:A$200&lt;&gt;"")*((F$2:F$200*I189+G$2:G$200*J189+H$2:H$200*K189)&gt;0)*((F189*I$2:I$200+G189*J$2:J$200+H189*K$2:K$200)&gt;0))-IF(F189*I189+G189*J189+H189*K189&gt;0,1,0))</f>
        <v/>
      </c>
      <c r="M189" s="52" t="str">
        <f t="shared" si="42"/>
        <v/>
      </c>
      <c r="N189" s="52"/>
      <c r="O189" s="52"/>
      <c r="P189" s="52"/>
    </row>
    <row r="190" spans="1:16" x14ac:dyDescent="0.35">
      <c r="A190" s="52" t="str">
        <f>IF('Mii List'!A190="","",'Mii List'!A190)</f>
        <v/>
      </c>
      <c r="B190" s="52" t="str">
        <f>IF(A190="","",'Mii List'!B190)</f>
        <v/>
      </c>
      <c r="C190" s="52" t="str">
        <f>IF(A190="","",'Mii List'!C190)</f>
        <v/>
      </c>
      <c r="D190" s="52" t="str">
        <f>IF(A190="","",'Mii List'!D190)</f>
        <v/>
      </c>
      <c r="E190" s="52" t="str">
        <f>IF(A190="","",'Mii List'!E190)</f>
        <v/>
      </c>
      <c r="F190" s="52">
        <f t="shared" si="36"/>
        <v>0</v>
      </c>
      <c r="G190" s="52">
        <f t="shared" si="37"/>
        <v>0</v>
      </c>
      <c r="H190" s="52">
        <f t="shared" si="38"/>
        <v>0</v>
      </c>
      <c r="I190" s="52">
        <f t="shared" si="39"/>
        <v>0</v>
      </c>
      <c r="J190" s="52">
        <f t="shared" si="40"/>
        <v>0</v>
      </c>
      <c r="K190" s="52">
        <f t="shared" si="41"/>
        <v>0</v>
      </c>
      <c r="L190" s="52" t="str">
        <f t="array" ref="L190">IF(A190="","",SUMPRODUCT((A$2:A$200&lt;&gt;"")*((F$2:F$200*I190+G$2:G$200*J190+H$2:H$200*K190)&gt;0)*((F190*I$2:I$200+G190*J$2:J$200+H190*K$2:K$200)&gt;0))-IF(F190*I190+G190*J190+H190*K190&gt;0,1,0))</f>
        <v/>
      </c>
      <c r="M190" s="52" t="str">
        <f t="shared" si="42"/>
        <v/>
      </c>
      <c r="N190" s="52"/>
      <c r="O190" s="52"/>
      <c r="P190" s="52"/>
    </row>
    <row r="191" spans="1:16" x14ac:dyDescent="0.35">
      <c r="A191" s="52" t="str">
        <f>IF('Mii List'!A191="","",'Mii List'!A191)</f>
        <v/>
      </c>
      <c r="B191" s="52" t="str">
        <f>IF(A191="","",'Mii List'!B191)</f>
        <v/>
      </c>
      <c r="C191" s="52" t="str">
        <f>IF(A191="","",'Mii List'!C191)</f>
        <v/>
      </c>
      <c r="D191" s="52" t="str">
        <f>IF(A191="","",'Mii List'!D191)</f>
        <v/>
      </c>
      <c r="E191" s="52" t="str">
        <f>IF(A191="","",'Mii List'!E191)</f>
        <v/>
      </c>
      <c r="F191" s="52">
        <f t="shared" si="36"/>
        <v>0</v>
      </c>
      <c r="G191" s="52">
        <f t="shared" si="37"/>
        <v>0</v>
      </c>
      <c r="H191" s="52">
        <f t="shared" si="38"/>
        <v>0</v>
      </c>
      <c r="I191" s="52">
        <f t="shared" si="39"/>
        <v>0</v>
      </c>
      <c r="J191" s="52">
        <f t="shared" si="40"/>
        <v>0</v>
      </c>
      <c r="K191" s="52">
        <f t="shared" si="41"/>
        <v>0</v>
      </c>
      <c r="L191" s="52" t="str">
        <f t="array" ref="L191">IF(A191="","",SUMPRODUCT((A$2:A$200&lt;&gt;"")*((F$2:F$200*I191+G$2:G$200*J191+H$2:H$200*K191)&gt;0)*((F191*I$2:I$200+G191*J$2:J$200+H191*K$2:K$200)&gt;0))-IF(F191*I191+G191*J191+H191*K191&gt;0,1,0))</f>
        <v/>
      </c>
      <c r="M191" s="52" t="str">
        <f t="shared" si="42"/>
        <v/>
      </c>
      <c r="N191" s="52"/>
      <c r="O191" s="52"/>
      <c r="P191" s="52"/>
    </row>
    <row r="192" spans="1:16" x14ac:dyDescent="0.35">
      <c r="A192" s="52" t="str">
        <f>IF('Mii List'!A192="","",'Mii List'!A192)</f>
        <v/>
      </c>
      <c r="B192" s="52" t="str">
        <f>IF(A192="","",'Mii List'!B192)</f>
        <v/>
      </c>
      <c r="C192" s="52" t="str">
        <f>IF(A192="","",'Mii List'!C192)</f>
        <v/>
      </c>
      <c r="D192" s="52" t="str">
        <f>IF(A192="","",'Mii List'!D192)</f>
        <v/>
      </c>
      <c r="E192" s="52" t="str">
        <f>IF(A192="","",'Mii List'!E192)</f>
        <v/>
      </c>
      <c r="F192" s="52">
        <f t="shared" si="36"/>
        <v>0</v>
      </c>
      <c r="G192" s="52">
        <f t="shared" si="37"/>
        <v>0</v>
      </c>
      <c r="H192" s="52">
        <f t="shared" si="38"/>
        <v>0</v>
      </c>
      <c r="I192" s="52">
        <f t="shared" si="39"/>
        <v>0</v>
      </c>
      <c r="J192" s="52">
        <f t="shared" si="40"/>
        <v>0</v>
      </c>
      <c r="K192" s="52">
        <f t="shared" si="41"/>
        <v>0</v>
      </c>
      <c r="L192" s="52" t="str">
        <f t="array" ref="L192">IF(A192="","",SUMPRODUCT((A$2:A$200&lt;&gt;"")*((F$2:F$200*I192+G$2:G$200*J192+H$2:H$200*K192)&gt;0)*((F192*I$2:I$200+G192*J$2:J$200+H192*K$2:K$200)&gt;0))-IF(F192*I192+G192*J192+H192*K192&gt;0,1,0))</f>
        <v/>
      </c>
      <c r="M192" s="52" t="str">
        <f t="shared" si="42"/>
        <v/>
      </c>
      <c r="N192" s="52"/>
      <c r="O192" s="52"/>
      <c r="P192" s="52"/>
    </row>
    <row r="193" spans="1:16" x14ac:dyDescent="0.35">
      <c r="A193" s="52" t="str">
        <f>IF('Mii List'!A193="","",'Mii List'!A193)</f>
        <v/>
      </c>
      <c r="B193" s="52" t="str">
        <f>IF(A193="","",'Mii List'!B193)</f>
        <v/>
      </c>
      <c r="C193" s="52" t="str">
        <f>IF(A193="","",'Mii List'!C193)</f>
        <v/>
      </c>
      <c r="D193" s="52" t="str">
        <f>IF(A193="","",'Mii List'!D193)</f>
        <v/>
      </c>
      <c r="E193" s="52" t="str">
        <f>IF(A193="","",'Mii List'!E193)</f>
        <v/>
      </c>
      <c r="F193" s="52">
        <f t="shared" si="36"/>
        <v>0</v>
      </c>
      <c r="G193" s="52">
        <f t="shared" si="37"/>
        <v>0</v>
      </c>
      <c r="H193" s="52">
        <f t="shared" si="38"/>
        <v>0</v>
      </c>
      <c r="I193" s="52">
        <f t="shared" si="39"/>
        <v>0</v>
      </c>
      <c r="J193" s="52">
        <f t="shared" si="40"/>
        <v>0</v>
      </c>
      <c r="K193" s="52">
        <f t="shared" si="41"/>
        <v>0</v>
      </c>
      <c r="L193" s="52" t="str">
        <f t="array" ref="L193">IF(A193="","",SUMPRODUCT((A$2:A$200&lt;&gt;"")*((F$2:F$200*I193+G$2:G$200*J193+H$2:H$200*K193)&gt;0)*((F193*I$2:I$200+G193*J$2:J$200+H193*K$2:K$200)&gt;0))-IF(F193*I193+G193*J193+H193*K193&gt;0,1,0))</f>
        <v/>
      </c>
      <c r="M193" s="52" t="str">
        <f t="shared" si="42"/>
        <v/>
      </c>
      <c r="N193" s="52"/>
      <c r="O193" s="52"/>
      <c r="P193" s="52"/>
    </row>
    <row r="194" spans="1:16" x14ac:dyDescent="0.35">
      <c r="A194" s="52" t="str">
        <f>IF('Mii List'!A194="","",'Mii List'!A194)</f>
        <v/>
      </c>
      <c r="B194" s="52" t="str">
        <f>IF(A194="","",'Mii List'!B194)</f>
        <v/>
      </c>
      <c r="C194" s="52" t="str">
        <f>IF(A194="","",'Mii List'!C194)</f>
        <v/>
      </c>
      <c r="D194" s="52" t="str">
        <f>IF(A194="","",'Mii List'!D194)</f>
        <v/>
      </c>
      <c r="E194" s="52" t="str">
        <f>IF(A194="","",'Mii List'!E194)</f>
        <v/>
      </c>
      <c r="F194" s="52">
        <f t="shared" ref="F194:F200" si="43">IF(A194="",0,(C194="✓")*1)</f>
        <v>0</v>
      </c>
      <c r="G194" s="52">
        <f t="shared" ref="G194:G200" si="44">IF(A194="",0,(D194="✓")*1)</f>
        <v>0</v>
      </c>
      <c r="H194" s="52">
        <f t="shared" ref="H194:H200" si="45">IF(A194="",0,(E194="✓")*1)</f>
        <v>0</v>
      </c>
      <c r="I194" s="52">
        <f t="shared" ref="I194:I200" si="46">IF(A194="",0,(B194="Male")*1)</f>
        <v>0</v>
      </c>
      <c r="J194" s="52">
        <f t="shared" ref="J194:J200" si="47">IF(A194="",0,(B194="Female")*1)</f>
        <v>0</v>
      </c>
      <c r="K194" s="52">
        <f t="shared" ref="K194:K200" si="48">IF(A194="",0,(B194="Nonbinary")*1)</f>
        <v>0</v>
      </c>
      <c r="L194" s="52" t="str">
        <f t="array" ref="L194">IF(A194="","",SUMPRODUCT((A$2:A$200&lt;&gt;"")*((F$2:F$200*I194+G$2:G$200*J194+H$2:H$200*K194)&gt;0)*((F194*I$2:I$200+G194*J$2:J$200+H194*K$2:K$200)&gt;0))-IF(F194*I194+G194*J194+H194*K194&gt;0,1,0))</f>
        <v/>
      </c>
      <c r="M194" s="52" t="str">
        <f t="shared" ref="M194:M225" si="49">IF(A194="","",RANK(L194,L$2:L$200,1)+COUNTIFS(L$2:L$200,L194,A$2:A$200,"&lt;"&amp;A194))</f>
        <v/>
      </c>
      <c r="N194" s="52"/>
      <c r="O194" s="52"/>
      <c r="P194" s="52"/>
    </row>
    <row r="195" spans="1:16" x14ac:dyDescent="0.35">
      <c r="A195" s="52" t="str">
        <f>IF('Mii List'!A195="","",'Mii List'!A195)</f>
        <v/>
      </c>
      <c r="B195" s="52" t="str">
        <f>IF(A195="","",'Mii List'!B195)</f>
        <v/>
      </c>
      <c r="C195" s="52" t="str">
        <f>IF(A195="","",'Mii List'!C195)</f>
        <v/>
      </c>
      <c r="D195" s="52" t="str">
        <f>IF(A195="","",'Mii List'!D195)</f>
        <v/>
      </c>
      <c r="E195" s="52" t="str">
        <f>IF(A195="","",'Mii List'!E195)</f>
        <v/>
      </c>
      <c r="F195" s="52">
        <f t="shared" si="43"/>
        <v>0</v>
      </c>
      <c r="G195" s="52">
        <f t="shared" si="44"/>
        <v>0</v>
      </c>
      <c r="H195" s="52">
        <f t="shared" si="45"/>
        <v>0</v>
      </c>
      <c r="I195" s="52">
        <f t="shared" si="46"/>
        <v>0</v>
      </c>
      <c r="J195" s="52">
        <f t="shared" si="47"/>
        <v>0</v>
      </c>
      <c r="K195" s="52">
        <f t="shared" si="48"/>
        <v>0</v>
      </c>
      <c r="L195" s="52" t="str">
        <f t="array" ref="L195">IF(A195="","",SUMPRODUCT((A$2:A$200&lt;&gt;"")*((F$2:F$200*I195+G$2:G$200*J195+H$2:H$200*K195)&gt;0)*((F195*I$2:I$200+G195*J$2:J$200+H195*K$2:K$200)&gt;0))-IF(F195*I195+G195*J195+H195*K195&gt;0,1,0))</f>
        <v/>
      </c>
      <c r="M195" s="52" t="str">
        <f t="shared" si="49"/>
        <v/>
      </c>
      <c r="N195" s="52"/>
      <c r="O195" s="52"/>
      <c r="P195" s="52"/>
    </row>
    <row r="196" spans="1:16" x14ac:dyDescent="0.35">
      <c r="A196" s="52" t="str">
        <f>IF('Mii List'!A196="","",'Mii List'!A196)</f>
        <v/>
      </c>
      <c r="B196" s="52" t="str">
        <f>IF(A196="","",'Mii List'!B196)</f>
        <v/>
      </c>
      <c r="C196" s="52" t="str">
        <f>IF(A196="","",'Mii List'!C196)</f>
        <v/>
      </c>
      <c r="D196" s="52" t="str">
        <f>IF(A196="","",'Mii List'!D196)</f>
        <v/>
      </c>
      <c r="E196" s="52" t="str">
        <f>IF(A196="","",'Mii List'!E196)</f>
        <v/>
      </c>
      <c r="F196" s="52">
        <f t="shared" si="43"/>
        <v>0</v>
      </c>
      <c r="G196" s="52">
        <f t="shared" si="44"/>
        <v>0</v>
      </c>
      <c r="H196" s="52">
        <f t="shared" si="45"/>
        <v>0</v>
      </c>
      <c r="I196" s="52">
        <f t="shared" si="46"/>
        <v>0</v>
      </c>
      <c r="J196" s="52">
        <f t="shared" si="47"/>
        <v>0</v>
      </c>
      <c r="K196" s="52">
        <f t="shared" si="48"/>
        <v>0</v>
      </c>
      <c r="L196" s="52" t="str">
        <f t="array" ref="L196">IF(A196="","",SUMPRODUCT((A$2:A$200&lt;&gt;"")*((F$2:F$200*I196+G$2:G$200*J196+H$2:H$200*K196)&gt;0)*((F196*I$2:I$200+G196*J$2:J$200+H196*K$2:K$200)&gt;0))-IF(F196*I196+G196*J196+H196*K196&gt;0,1,0))</f>
        <v/>
      </c>
      <c r="M196" s="52" t="str">
        <f t="shared" si="49"/>
        <v/>
      </c>
      <c r="N196" s="52"/>
      <c r="O196" s="52"/>
      <c r="P196" s="52"/>
    </row>
    <row r="197" spans="1:16" x14ac:dyDescent="0.35">
      <c r="A197" s="52" t="str">
        <f>IF('Mii List'!A197="","",'Mii List'!A197)</f>
        <v/>
      </c>
      <c r="B197" s="52" t="str">
        <f>IF(A197="","",'Mii List'!B197)</f>
        <v/>
      </c>
      <c r="C197" s="52" t="str">
        <f>IF(A197="","",'Mii List'!C197)</f>
        <v/>
      </c>
      <c r="D197" s="52" t="str">
        <f>IF(A197="","",'Mii List'!D197)</f>
        <v/>
      </c>
      <c r="E197" s="52" t="str">
        <f>IF(A197="","",'Mii List'!E197)</f>
        <v/>
      </c>
      <c r="F197" s="52">
        <f t="shared" si="43"/>
        <v>0</v>
      </c>
      <c r="G197" s="52">
        <f t="shared" si="44"/>
        <v>0</v>
      </c>
      <c r="H197" s="52">
        <f t="shared" si="45"/>
        <v>0</v>
      </c>
      <c r="I197" s="52">
        <f t="shared" si="46"/>
        <v>0</v>
      </c>
      <c r="J197" s="52">
        <f t="shared" si="47"/>
        <v>0</v>
      </c>
      <c r="K197" s="52">
        <f t="shared" si="48"/>
        <v>0</v>
      </c>
      <c r="L197" s="52" t="str">
        <f t="array" ref="L197">IF(A197="","",SUMPRODUCT((A$2:A$200&lt;&gt;"")*((F$2:F$200*I197+G$2:G$200*J197+H$2:H$200*K197)&gt;0)*((F197*I$2:I$200+G197*J$2:J$200+H197*K$2:K$200)&gt;0))-IF(F197*I197+G197*J197+H197*K197&gt;0,1,0))</f>
        <v/>
      </c>
      <c r="M197" s="52" t="str">
        <f t="shared" si="49"/>
        <v/>
      </c>
      <c r="N197" s="52"/>
      <c r="O197" s="52"/>
      <c r="P197" s="52"/>
    </row>
    <row r="198" spans="1:16" x14ac:dyDescent="0.35">
      <c r="A198" s="52" t="str">
        <f>IF('Mii List'!A198="","",'Mii List'!A198)</f>
        <v/>
      </c>
      <c r="B198" s="52" t="str">
        <f>IF(A198="","",'Mii List'!B198)</f>
        <v/>
      </c>
      <c r="C198" s="52" t="str">
        <f>IF(A198="","",'Mii List'!C198)</f>
        <v/>
      </c>
      <c r="D198" s="52" t="str">
        <f>IF(A198="","",'Mii List'!D198)</f>
        <v/>
      </c>
      <c r="E198" s="52" t="str">
        <f>IF(A198="","",'Mii List'!E198)</f>
        <v/>
      </c>
      <c r="F198" s="52">
        <f t="shared" si="43"/>
        <v>0</v>
      </c>
      <c r="G198" s="52">
        <f t="shared" si="44"/>
        <v>0</v>
      </c>
      <c r="H198" s="52">
        <f t="shared" si="45"/>
        <v>0</v>
      </c>
      <c r="I198" s="52">
        <f t="shared" si="46"/>
        <v>0</v>
      </c>
      <c r="J198" s="52">
        <f t="shared" si="47"/>
        <v>0</v>
      </c>
      <c r="K198" s="52">
        <f t="shared" si="48"/>
        <v>0</v>
      </c>
      <c r="L198" s="52" t="str">
        <f t="array" ref="L198">IF(A198="","",SUMPRODUCT((A$2:A$200&lt;&gt;"")*((F$2:F$200*I198+G$2:G$200*J198+H$2:H$200*K198)&gt;0)*((F198*I$2:I$200+G198*J$2:J$200+H198*K$2:K$200)&gt;0))-IF(F198*I198+G198*J198+H198*K198&gt;0,1,0))</f>
        <v/>
      </c>
      <c r="M198" s="52" t="str">
        <f t="shared" si="49"/>
        <v/>
      </c>
      <c r="N198" s="52"/>
      <c r="O198" s="52"/>
      <c r="P198" s="52"/>
    </row>
    <row r="199" spans="1:16" x14ac:dyDescent="0.35">
      <c r="A199" s="52" t="str">
        <f>IF('Mii List'!A199="","",'Mii List'!A199)</f>
        <v/>
      </c>
      <c r="B199" s="52" t="str">
        <f>IF(A199="","",'Mii List'!B199)</f>
        <v/>
      </c>
      <c r="C199" s="52" t="str">
        <f>IF(A199="","",'Mii List'!C199)</f>
        <v/>
      </c>
      <c r="D199" s="52" t="str">
        <f>IF(A199="","",'Mii List'!D199)</f>
        <v/>
      </c>
      <c r="E199" s="52" t="str">
        <f>IF(A199="","",'Mii List'!E199)</f>
        <v/>
      </c>
      <c r="F199" s="52">
        <f t="shared" si="43"/>
        <v>0</v>
      </c>
      <c r="G199" s="52">
        <f t="shared" si="44"/>
        <v>0</v>
      </c>
      <c r="H199" s="52">
        <f t="shared" si="45"/>
        <v>0</v>
      </c>
      <c r="I199" s="52">
        <f t="shared" si="46"/>
        <v>0</v>
      </c>
      <c r="J199" s="52">
        <f t="shared" si="47"/>
        <v>0</v>
      </c>
      <c r="K199" s="52">
        <f t="shared" si="48"/>
        <v>0</v>
      </c>
      <c r="L199" s="52" t="str">
        <f t="array" ref="L199">IF(A199="","",SUMPRODUCT((A$2:A$200&lt;&gt;"")*((F$2:F$200*I199+G$2:G$200*J199+H$2:H$200*K199)&gt;0)*((F199*I$2:I$200+G199*J$2:J$200+H199*K$2:K$200)&gt;0))-IF(F199*I199+G199*J199+H199*K199&gt;0,1,0))</f>
        <v/>
      </c>
      <c r="M199" s="52" t="str">
        <f t="shared" si="49"/>
        <v/>
      </c>
      <c r="N199" s="52"/>
      <c r="O199" s="52"/>
      <c r="P199" s="52"/>
    </row>
    <row r="200" spans="1:16" x14ac:dyDescent="0.35">
      <c r="A200" s="52" t="str">
        <f>IF('Mii List'!A200="","",'Mii List'!A200)</f>
        <v/>
      </c>
      <c r="B200" s="52" t="str">
        <f>IF(A200="","",'Mii List'!B200)</f>
        <v/>
      </c>
      <c r="C200" s="52" t="str">
        <f>IF(A200="","",'Mii List'!C200)</f>
        <v/>
      </c>
      <c r="D200" s="52" t="str">
        <f>IF(A200="","",'Mii List'!D200)</f>
        <v/>
      </c>
      <c r="E200" s="52" t="str">
        <f>IF(A200="","",'Mii List'!E200)</f>
        <v/>
      </c>
      <c r="F200" s="52">
        <f t="shared" si="43"/>
        <v>0</v>
      </c>
      <c r="G200" s="52">
        <f t="shared" si="44"/>
        <v>0</v>
      </c>
      <c r="H200" s="52">
        <f t="shared" si="45"/>
        <v>0</v>
      </c>
      <c r="I200" s="52">
        <f t="shared" si="46"/>
        <v>0</v>
      </c>
      <c r="J200" s="52">
        <f t="shared" si="47"/>
        <v>0</v>
      </c>
      <c r="K200" s="52">
        <f t="shared" si="48"/>
        <v>0</v>
      </c>
      <c r="L200" s="52" t="str">
        <f t="array" ref="L200">IF(A200="","",SUMPRODUCT((A$2:A$200&lt;&gt;"")*((F$2:F$200*I200+G$2:G$200*J200+H$2:H$200*K200)&gt;0)*((F200*I$2:I$200+G200*J$2:J$200+H200*K$2:K$200)&gt;0))-IF(F200*I200+G200*J200+H200*K200&gt;0,1,0))</f>
        <v/>
      </c>
      <c r="M200" s="52" t="str">
        <f t="shared" si="49"/>
        <v/>
      </c>
      <c r="N200" s="52"/>
      <c r="O200" s="52"/>
      <c r="P200" s="5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461069-FA0A-410B-B501-71BD27F8849B}">
  <dimension ref="A1:A340"/>
  <sheetViews>
    <sheetView tabSelected="1" workbookViewId="0">
      <selection activeCell="A66" sqref="A66:XFD66"/>
    </sheetView>
  </sheetViews>
  <sheetFormatPr defaultRowHeight="14.5" x14ac:dyDescent="0.35"/>
  <cols>
    <col min="1" max="16384" width="8.7265625" style="66"/>
  </cols>
  <sheetData>
    <row r="1" spans="1:1" s="67" customFormat="1" x14ac:dyDescent="0.35">
      <c r="A1" s="67" t="s">
        <v>428</v>
      </c>
    </row>
    <row r="2" spans="1:1" s="67" customFormat="1" x14ac:dyDescent="0.35"/>
    <row r="3" spans="1:1" s="64" customFormat="1" ht="14.5" customHeight="1" x14ac:dyDescent="0.35">
      <c r="A3" s="64" t="s">
        <v>148</v>
      </c>
    </row>
    <row r="4" spans="1:1" s="64" customFormat="1" ht="14.5" customHeight="1" x14ac:dyDescent="0.35">
      <c r="A4" s="64" t="s">
        <v>149</v>
      </c>
    </row>
    <row r="5" spans="1:1" s="65" customFormat="1" x14ac:dyDescent="0.35"/>
    <row r="6" spans="1:1" s="64" customFormat="1" ht="14.5" customHeight="1" x14ac:dyDescent="0.35">
      <c r="A6" s="64" t="s">
        <v>150</v>
      </c>
    </row>
    <row r="7" spans="1:1" s="64" customFormat="1" ht="14.5" customHeight="1" x14ac:dyDescent="0.35">
      <c r="A7" s="64" t="s">
        <v>151</v>
      </c>
    </row>
    <row r="8" spans="1:1" s="64" customFormat="1" ht="14.5" customHeight="1" x14ac:dyDescent="0.35">
      <c r="A8" s="64" t="s">
        <v>152</v>
      </c>
    </row>
    <row r="9" spans="1:1" s="64" customFormat="1" ht="14.5" customHeight="1" x14ac:dyDescent="0.35">
      <c r="A9" s="64" t="s">
        <v>153</v>
      </c>
    </row>
    <row r="10" spans="1:1" s="65" customFormat="1" x14ac:dyDescent="0.35"/>
    <row r="11" spans="1:1" s="64" customFormat="1" ht="14.5" customHeight="1" x14ac:dyDescent="0.35">
      <c r="A11" s="64" t="s">
        <v>154</v>
      </c>
    </row>
    <row r="12" spans="1:1" s="65" customFormat="1" x14ac:dyDescent="0.35"/>
    <row r="13" spans="1:1" s="64" customFormat="1" ht="14.5" customHeight="1" x14ac:dyDescent="0.35">
      <c r="A13" s="64" t="s">
        <v>155</v>
      </c>
    </row>
    <row r="14" spans="1:1" s="64" customFormat="1" ht="14.5" customHeight="1" x14ac:dyDescent="0.35">
      <c r="A14" s="64" t="s">
        <v>156</v>
      </c>
    </row>
    <row r="15" spans="1:1" s="64" customFormat="1" ht="14.5" customHeight="1" x14ac:dyDescent="0.35">
      <c r="A15" s="64" t="s">
        <v>157</v>
      </c>
    </row>
    <row r="16" spans="1:1" s="64" customFormat="1" ht="14.5" customHeight="1" x14ac:dyDescent="0.35">
      <c r="A16" s="64" t="s">
        <v>158</v>
      </c>
    </row>
    <row r="17" spans="1:1" s="64" customFormat="1" ht="14.5" customHeight="1" x14ac:dyDescent="0.35">
      <c r="A17" s="64" t="s">
        <v>159</v>
      </c>
    </row>
    <row r="18" spans="1:1" s="64" customFormat="1" ht="14.5" customHeight="1" x14ac:dyDescent="0.35">
      <c r="A18" s="64" t="s">
        <v>160</v>
      </c>
    </row>
    <row r="19" spans="1:1" s="64" customFormat="1" ht="14.5" customHeight="1" x14ac:dyDescent="0.35">
      <c r="A19" s="64" t="s">
        <v>161</v>
      </c>
    </row>
    <row r="20" spans="1:1" s="64" customFormat="1" ht="14.5" customHeight="1" x14ac:dyDescent="0.35">
      <c r="A20" s="64" t="s">
        <v>162</v>
      </c>
    </row>
    <row r="21" spans="1:1" s="64" customFormat="1" ht="14.5" customHeight="1" x14ac:dyDescent="0.35">
      <c r="A21" s="64" t="s">
        <v>163</v>
      </c>
    </row>
    <row r="22" spans="1:1" s="65" customFormat="1" x14ac:dyDescent="0.35"/>
    <row r="23" spans="1:1" s="64" customFormat="1" ht="14.5" customHeight="1" x14ac:dyDescent="0.35">
      <c r="A23" s="64" t="s">
        <v>164</v>
      </c>
    </row>
    <row r="24" spans="1:1" s="64" customFormat="1" ht="14.5" customHeight="1" x14ac:dyDescent="0.35">
      <c r="A24" s="64" t="s">
        <v>165</v>
      </c>
    </row>
    <row r="25" spans="1:1" s="64" customFormat="1" ht="14.5" customHeight="1" x14ac:dyDescent="0.35">
      <c r="A25" s="64" t="s">
        <v>166</v>
      </c>
    </row>
    <row r="26" spans="1:1" s="64" customFormat="1" ht="14.5" customHeight="1" x14ac:dyDescent="0.35">
      <c r="A26" s="64" t="s">
        <v>167</v>
      </c>
    </row>
    <row r="27" spans="1:1" s="64" customFormat="1" ht="14.5" customHeight="1" x14ac:dyDescent="0.35">
      <c r="A27" s="64" t="s">
        <v>168</v>
      </c>
    </row>
    <row r="28" spans="1:1" s="64" customFormat="1" ht="14.5" customHeight="1" x14ac:dyDescent="0.35">
      <c r="A28" s="64" t="s">
        <v>169</v>
      </c>
    </row>
    <row r="29" spans="1:1" s="65" customFormat="1" x14ac:dyDescent="0.35"/>
    <row r="30" spans="1:1" s="64" customFormat="1" ht="14.5" customHeight="1" x14ac:dyDescent="0.35">
      <c r="A30" s="64" t="s">
        <v>170</v>
      </c>
    </row>
    <row r="31" spans="1:1" s="64" customFormat="1" ht="14.5" customHeight="1" x14ac:dyDescent="0.35">
      <c r="A31" s="64" t="s">
        <v>171</v>
      </c>
    </row>
    <row r="32" spans="1:1" s="64" customFormat="1" ht="14.5" customHeight="1" x14ac:dyDescent="0.35">
      <c r="A32" s="64" t="s">
        <v>172</v>
      </c>
    </row>
    <row r="33" spans="1:1" s="64" customFormat="1" ht="14.5" customHeight="1" x14ac:dyDescent="0.35">
      <c r="A33" s="64" t="s">
        <v>173</v>
      </c>
    </row>
    <row r="34" spans="1:1" s="65" customFormat="1" x14ac:dyDescent="0.35"/>
    <row r="35" spans="1:1" s="64" customFormat="1" ht="14.5" customHeight="1" x14ac:dyDescent="0.35">
      <c r="A35" s="64" t="s">
        <v>174</v>
      </c>
    </row>
    <row r="36" spans="1:1" s="64" customFormat="1" ht="14.5" customHeight="1" x14ac:dyDescent="0.35">
      <c r="A36" s="64" t="s">
        <v>175</v>
      </c>
    </row>
    <row r="37" spans="1:1" s="64" customFormat="1" ht="14.5" customHeight="1" x14ac:dyDescent="0.35">
      <c r="A37" s="64" t="s">
        <v>176</v>
      </c>
    </row>
    <row r="38" spans="1:1" s="64" customFormat="1" ht="14.5" customHeight="1" x14ac:dyDescent="0.35">
      <c r="A38" s="64" t="s">
        <v>177</v>
      </c>
    </row>
    <row r="39" spans="1:1" s="64" customFormat="1" ht="14.5" customHeight="1" x14ac:dyDescent="0.35">
      <c r="A39" s="64" t="s">
        <v>178</v>
      </c>
    </row>
    <row r="40" spans="1:1" s="65" customFormat="1" x14ac:dyDescent="0.35"/>
    <row r="41" spans="1:1" s="64" customFormat="1" ht="14.5" customHeight="1" x14ac:dyDescent="0.35">
      <c r="A41" s="64" t="s">
        <v>179</v>
      </c>
    </row>
    <row r="42" spans="1:1" s="64" customFormat="1" ht="14.5" customHeight="1" x14ac:dyDescent="0.35">
      <c r="A42" s="64" t="s">
        <v>180</v>
      </c>
    </row>
    <row r="43" spans="1:1" s="64" customFormat="1" ht="14.5" customHeight="1" x14ac:dyDescent="0.35">
      <c r="A43" s="64" t="s">
        <v>181</v>
      </c>
    </row>
    <row r="44" spans="1:1" s="65" customFormat="1" x14ac:dyDescent="0.35"/>
    <row r="45" spans="1:1" s="64" customFormat="1" ht="14.5" customHeight="1" x14ac:dyDescent="0.35">
      <c r="A45" s="64" t="s">
        <v>182</v>
      </c>
    </row>
    <row r="46" spans="1:1" s="64" customFormat="1" ht="14.5" customHeight="1" x14ac:dyDescent="0.35">
      <c r="A46" s="64" t="s">
        <v>183</v>
      </c>
    </row>
    <row r="47" spans="1:1" s="64" customFormat="1" ht="14.5" customHeight="1" x14ac:dyDescent="0.35">
      <c r="A47" s="64" t="s">
        <v>184</v>
      </c>
    </row>
    <row r="48" spans="1:1" s="64" customFormat="1" ht="14.5" customHeight="1" x14ac:dyDescent="0.35">
      <c r="A48" s="64" t="s">
        <v>185</v>
      </c>
    </row>
    <row r="49" spans="1:1" s="64" customFormat="1" ht="14.5" customHeight="1" x14ac:dyDescent="0.35">
      <c r="A49" s="64" t="s">
        <v>186</v>
      </c>
    </row>
    <row r="50" spans="1:1" s="64" customFormat="1" ht="14.5" customHeight="1" x14ac:dyDescent="0.35">
      <c r="A50" s="64" t="s">
        <v>187</v>
      </c>
    </row>
    <row r="51" spans="1:1" s="65" customFormat="1" x14ac:dyDescent="0.35"/>
    <row r="52" spans="1:1" s="64" customFormat="1" ht="14.5" customHeight="1" x14ac:dyDescent="0.35">
      <c r="A52" s="64" t="s">
        <v>188</v>
      </c>
    </row>
    <row r="53" spans="1:1" s="64" customFormat="1" ht="14.5" customHeight="1" x14ac:dyDescent="0.35">
      <c r="A53" s="64" t="s">
        <v>189</v>
      </c>
    </row>
    <row r="54" spans="1:1" s="64" customFormat="1" ht="14.5" customHeight="1" x14ac:dyDescent="0.35">
      <c r="A54" s="64" t="s">
        <v>190</v>
      </c>
    </row>
    <row r="55" spans="1:1" s="64" customFormat="1" ht="14.5" customHeight="1" x14ac:dyDescent="0.35">
      <c r="A55" s="64" t="s">
        <v>191</v>
      </c>
    </row>
    <row r="56" spans="1:1" s="64" customFormat="1" ht="14.5" customHeight="1" x14ac:dyDescent="0.35">
      <c r="A56" s="64" t="s">
        <v>192</v>
      </c>
    </row>
    <row r="57" spans="1:1" s="65" customFormat="1" x14ac:dyDescent="0.35"/>
    <row r="58" spans="1:1" s="64" customFormat="1" ht="14.5" customHeight="1" x14ac:dyDescent="0.35">
      <c r="A58" s="64" t="s">
        <v>193</v>
      </c>
    </row>
    <row r="59" spans="1:1" s="64" customFormat="1" ht="14.5" customHeight="1" x14ac:dyDescent="0.35">
      <c r="A59" s="64" t="s">
        <v>194</v>
      </c>
    </row>
    <row r="60" spans="1:1" s="65" customFormat="1" x14ac:dyDescent="0.35"/>
    <row r="61" spans="1:1" s="64" customFormat="1" ht="14.5" customHeight="1" x14ac:dyDescent="0.35">
      <c r="A61" s="64" t="s">
        <v>148</v>
      </c>
    </row>
    <row r="62" spans="1:1" s="64" customFormat="1" ht="14.5" customHeight="1" x14ac:dyDescent="0.35">
      <c r="A62" s="64" t="s">
        <v>195</v>
      </c>
    </row>
    <row r="63" spans="1:1" s="65" customFormat="1" x14ac:dyDescent="0.35"/>
    <row r="64" spans="1:1" s="64" customFormat="1" ht="14.5" customHeight="1" x14ac:dyDescent="0.35">
      <c r="A64" s="64" t="s">
        <v>196</v>
      </c>
    </row>
    <row r="65" spans="1:1" s="64" customFormat="1" ht="14.5" customHeight="1" x14ac:dyDescent="0.35">
      <c r="A65" s="64" t="s">
        <v>197</v>
      </c>
    </row>
    <row r="66" spans="1:1" s="64" customFormat="1" ht="14.5" customHeight="1" x14ac:dyDescent="0.35">
      <c r="A66" s="64" t="s">
        <v>198</v>
      </c>
    </row>
    <row r="67" spans="1:1" s="64" customFormat="1" ht="14.5" customHeight="1" x14ac:dyDescent="0.35">
      <c r="A67" s="64" t="s">
        <v>199</v>
      </c>
    </row>
    <row r="68" spans="1:1" s="64" customFormat="1" ht="14.5" customHeight="1" x14ac:dyDescent="0.35">
      <c r="A68" s="64" t="s">
        <v>200</v>
      </c>
    </row>
    <row r="69" spans="1:1" s="64" customFormat="1" ht="14.5" customHeight="1" x14ac:dyDescent="0.35">
      <c r="A69" s="64" t="s">
        <v>201</v>
      </c>
    </row>
    <row r="70" spans="1:1" s="64" customFormat="1" ht="14.5" customHeight="1" x14ac:dyDescent="0.35">
      <c r="A70" s="64" t="s">
        <v>202</v>
      </c>
    </row>
    <row r="71" spans="1:1" s="64" customFormat="1" ht="14.5" customHeight="1" x14ac:dyDescent="0.35">
      <c r="A71" s="64" t="s">
        <v>203</v>
      </c>
    </row>
    <row r="72" spans="1:1" s="64" customFormat="1" ht="14.5" customHeight="1" x14ac:dyDescent="0.35">
      <c r="A72" s="64" t="s">
        <v>204</v>
      </c>
    </row>
    <row r="73" spans="1:1" s="65" customFormat="1" x14ac:dyDescent="0.35"/>
    <row r="74" spans="1:1" s="64" customFormat="1" ht="14.5" customHeight="1" x14ac:dyDescent="0.35">
      <c r="A74" s="64" t="s">
        <v>205</v>
      </c>
    </row>
    <row r="75" spans="1:1" s="64" customFormat="1" ht="14.5" customHeight="1" x14ac:dyDescent="0.35">
      <c r="A75" s="64" t="s">
        <v>206</v>
      </c>
    </row>
    <row r="76" spans="1:1" s="64" customFormat="1" ht="14.5" customHeight="1" x14ac:dyDescent="0.35">
      <c r="A76" s="64" t="s">
        <v>207</v>
      </c>
    </row>
    <row r="77" spans="1:1" s="64" customFormat="1" ht="14.5" customHeight="1" x14ac:dyDescent="0.35">
      <c r="A77" s="64" t="s">
        <v>208</v>
      </c>
    </row>
    <row r="78" spans="1:1" s="64" customFormat="1" ht="14.5" customHeight="1" x14ac:dyDescent="0.35">
      <c r="A78" s="64" t="s">
        <v>209</v>
      </c>
    </row>
    <row r="79" spans="1:1" s="64" customFormat="1" ht="14.5" customHeight="1" x14ac:dyDescent="0.35">
      <c r="A79" s="64" t="s">
        <v>210</v>
      </c>
    </row>
    <row r="80" spans="1:1" s="65" customFormat="1" x14ac:dyDescent="0.35"/>
    <row r="81" spans="1:1" s="64" customFormat="1" ht="14.5" customHeight="1" x14ac:dyDescent="0.35">
      <c r="A81" s="64" t="s">
        <v>211</v>
      </c>
    </row>
    <row r="82" spans="1:1" s="64" customFormat="1" ht="14.5" customHeight="1" x14ac:dyDescent="0.35">
      <c r="A82" s="64" t="s">
        <v>212</v>
      </c>
    </row>
    <row r="83" spans="1:1" s="64" customFormat="1" ht="14.5" customHeight="1" x14ac:dyDescent="0.35">
      <c r="A83" s="64" t="s">
        <v>213</v>
      </c>
    </row>
    <row r="84" spans="1:1" s="64" customFormat="1" ht="14.5" customHeight="1" x14ac:dyDescent="0.35">
      <c r="A84" s="64" t="s">
        <v>214</v>
      </c>
    </row>
    <row r="85" spans="1:1" s="64" customFormat="1" ht="14.5" customHeight="1" x14ac:dyDescent="0.35">
      <c r="A85" s="64" t="s">
        <v>215</v>
      </c>
    </row>
    <row r="86" spans="1:1" s="64" customFormat="1" ht="14.5" customHeight="1" x14ac:dyDescent="0.35">
      <c r="A86" s="64" t="s">
        <v>216</v>
      </c>
    </row>
    <row r="87" spans="1:1" s="64" customFormat="1" ht="14.5" customHeight="1" x14ac:dyDescent="0.35">
      <c r="A87" s="64" t="s">
        <v>217</v>
      </c>
    </row>
    <row r="88" spans="1:1" s="65" customFormat="1" x14ac:dyDescent="0.35"/>
    <row r="89" spans="1:1" s="64" customFormat="1" ht="14.5" customHeight="1" x14ac:dyDescent="0.35">
      <c r="A89" s="64" t="s">
        <v>218</v>
      </c>
    </row>
    <row r="90" spans="1:1" s="64" customFormat="1" ht="14.5" customHeight="1" x14ac:dyDescent="0.35">
      <c r="A90" s="64" t="s">
        <v>219</v>
      </c>
    </row>
    <row r="91" spans="1:1" s="65" customFormat="1" x14ac:dyDescent="0.35"/>
    <row r="92" spans="1:1" s="64" customFormat="1" ht="14.5" customHeight="1" x14ac:dyDescent="0.35">
      <c r="A92" s="64" t="s">
        <v>220</v>
      </c>
    </row>
    <row r="93" spans="1:1" s="64" customFormat="1" ht="14.5" customHeight="1" x14ac:dyDescent="0.35">
      <c r="A93" s="64" t="s">
        <v>221</v>
      </c>
    </row>
    <row r="94" spans="1:1" s="64" customFormat="1" ht="14.5" customHeight="1" x14ac:dyDescent="0.35">
      <c r="A94" s="64" t="s">
        <v>222</v>
      </c>
    </row>
    <row r="95" spans="1:1" s="64" customFormat="1" ht="14.5" customHeight="1" x14ac:dyDescent="0.35">
      <c r="A95" s="64" t="s">
        <v>223</v>
      </c>
    </row>
    <row r="96" spans="1:1" s="65" customFormat="1" x14ac:dyDescent="0.35"/>
    <row r="97" spans="1:1" s="64" customFormat="1" ht="14.5" customHeight="1" x14ac:dyDescent="0.35">
      <c r="A97" s="64" t="s">
        <v>224</v>
      </c>
    </row>
    <row r="98" spans="1:1" s="64" customFormat="1" ht="14.5" customHeight="1" x14ac:dyDescent="0.35">
      <c r="A98" s="64" t="s">
        <v>225</v>
      </c>
    </row>
    <row r="99" spans="1:1" s="65" customFormat="1" x14ac:dyDescent="0.35"/>
    <row r="100" spans="1:1" s="64" customFormat="1" ht="14.5" customHeight="1" x14ac:dyDescent="0.35">
      <c r="A100" s="64" t="s">
        <v>226</v>
      </c>
    </row>
    <row r="101" spans="1:1" s="64" customFormat="1" ht="14.5" customHeight="1" x14ac:dyDescent="0.35">
      <c r="A101" s="64" t="s">
        <v>227</v>
      </c>
    </row>
    <row r="102" spans="1:1" s="64" customFormat="1" ht="14.5" customHeight="1" x14ac:dyDescent="0.35">
      <c r="A102" s="64" t="s">
        <v>228</v>
      </c>
    </row>
    <row r="103" spans="1:1" s="64" customFormat="1" ht="14.5" customHeight="1" x14ac:dyDescent="0.35">
      <c r="A103" s="64" t="s">
        <v>229</v>
      </c>
    </row>
    <row r="104" spans="1:1" s="65" customFormat="1" x14ac:dyDescent="0.35"/>
    <row r="105" spans="1:1" s="64" customFormat="1" ht="14.5" customHeight="1" x14ac:dyDescent="0.35">
      <c r="A105" s="64" t="s">
        <v>230</v>
      </c>
    </row>
    <row r="106" spans="1:1" s="64" customFormat="1" ht="14.5" customHeight="1" x14ac:dyDescent="0.35">
      <c r="A106" s="64" t="s">
        <v>231</v>
      </c>
    </row>
    <row r="107" spans="1:1" s="64" customFormat="1" ht="14.5" customHeight="1" x14ac:dyDescent="0.35">
      <c r="A107" s="64" t="s">
        <v>232</v>
      </c>
    </row>
    <row r="108" spans="1:1" s="64" customFormat="1" ht="14.5" customHeight="1" x14ac:dyDescent="0.35">
      <c r="A108" s="64" t="s">
        <v>233</v>
      </c>
    </row>
    <row r="109" spans="1:1" s="64" customFormat="1" ht="14.5" customHeight="1" x14ac:dyDescent="0.35">
      <c r="A109" s="64" t="s">
        <v>234</v>
      </c>
    </row>
    <row r="110" spans="1:1" s="64" customFormat="1" ht="14.5" customHeight="1" x14ac:dyDescent="0.35">
      <c r="A110" s="64" t="s">
        <v>235</v>
      </c>
    </row>
    <row r="111" spans="1:1" s="64" customFormat="1" ht="14.5" customHeight="1" x14ac:dyDescent="0.35">
      <c r="A111" s="64" t="s">
        <v>236</v>
      </c>
    </row>
    <row r="112" spans="1:1" s="64" customFormat="1" ht="14.5" customHeight="1" x14ac:dyDescent="0.35">
      <c r="A112" s="64" t="s">
        <v>237</v>
      </c>
    </row>
    <row r="113" spans="1:1" s="64" customFormat="1" ht="14.5" customHeight="1" x14ac:dyDescent="0.35">
      <c r="A113" s="64" t="s">
        <v>238</v>
      </c>
    </row>
    <row r="114" spans="1:1" s="64" customFormat="1" ht="14.5" customHeight="1" x14ac:dyDescent="0.35">
      <c r="A114" s="64" t="s">
        <v>239</v>
      </c>
    </row>
    <row r="115" spans="1:1" s="65" customFormat="1" x14ac:dyDescent="0.35"/>
    <row r="116" spans="1:1" s="64" customFormat="1" ht="14.5" customHeight="1" x14ac:dyDescent="0.35">
      <c r="A116" s="64" t="s">
        <v>240</v>
      </c>
    </row>
    <row r="117" spans="1:1" s="64" customFormat="1" ht="14.5" customHeight="1" x14ac:dyDescent="0.35">
      <c r="A117" s="64" t="s">
        <v>241</v>
      </c>
    </row>
    <row r="118" spans="1:1" s="64" customFormat="1" ht="14.5" customHeight="1" x14ac:dyDescent="0.35">
      <c r="A118" s="64" t="s">
        <v>242</v>
      </c>
    </row>
    <row r="119" spans="1:1" s="64" customFormat="1" ht="14.5" customHeight="1" x14ac:dyDescent="0.35">
      <c r="A119" s="64" t="s">
        <v>243</v>
      </c>
    </row>
    <row r="120" spans="1:1" s="64" customFormat="1" ht="14.5" customHeight="1" x14ac:dyDescent="0.35">
      <c r="A120" s="64" t="s">
        <v>244</v>
      </c>
    </row>
    <row r="121" spans="1:1" s="64" customFormat="1" ht="14.5" customHeight="1" x14ac:dyDescent="0.35">
      <c r="A121" s="64" t="s">
        <v>245</v>
      </c>
    </row>
    <row r="122" spans="1:1" s="64" customFormat="1" ht="14.5" customHeight="1" x14ac:dyDescent="0.35">
      <c r="A122" s="64" t="s">
        <v>246</v>
      </c>
    </row>
    <row r="123" spans="1:1" s="64" customFormat="1" ht="14.5" customHeight="1" x14ac:dyDescent="0.35">
      <c r="A123" s="64" t="s">
        <v>247</v>
      </c>
    </row>
    <row r="124" spans="1:1" s="64" customFormat="1" ht="14.5" customHeight="1" x14ac:dyDescent="0.35">
      <c r="A124" s="64" t="s">
        <v>248</v>
      </c>
    </row>
    <row r="125" spans="1:1" s="65" customFormat="1" x14ac:dyDescent="0.35"/>
    <row r="126" spans="1:1" s="64" customFormat="1" ht="14.5" customHeight="1" x14ac:dyDescent="0.35">
      <c r="A126" s="64" t="s">
        <v>249</v>
      </c>
    </row>
    <row r="127" spans="1:1" s="64" customFormat="1" ht="14.5" customHeight="1" x14ac:dyDescent="0.35">
      <c r="A127" s="64" t="s">
        <v>250</v>
      </c>
    </row>
    <row r="128" spans="1:1" s="64" customFormat="1" ht="14.5" customHeight="1" x14ac:dyDescent="0.35">
      <c r="A128" s="64" t="s">
        <v>251</v>
      </c>
    </row>
    <row r="129" spans="1:1" s="64" customFormat="1" ht="14.5" customHeight="1" x14ac:dyDescent="0.35">
      <c r="A129" s="64" t="s">
        <v>252</v>
      </c>
    </row>
    <row r="130" spans="1:1" s="65" customFormat="1" x14ac:dyDescent="0.35"/>
    <row r="131" spans="1:1" s="64" customFormat="1" ht="14.5" customHeight="1" x14ac:dyDescent="0.35">
      <c r="A131" s="64" t="s">
        <v>253</v>
      </c>
    </row>
    <row r="132" spans="1:1" s="64" customFormat="1" ht="14.5" customHeight="1" x14ac:dyDescent="0.35">
      <c r="A132" s="64" t="s">
        <v>254</v>
      </c>
    </row>
    <row r="133" spans="1:1" s="64" customFormat="1" ht="14.5" customHeight="1" x14ac:dyDescent="0.35">
      <c r="A133" s="64" t="s">
        <v>255</v>
      </c>
    </row>
    <row r="134" spans="1:1" s="64" customFormat="1" ht="14.5" customHeight="1" x14ac:dyDescent="0.35">
      <c r="A134" s="64" t="s">
        <v>256</v>
      </c>
    </row>
    <row r="135" spans="1:1" s="65" customFormat="1" x14ac:dyDescent="0.35"/>
    <row r="136" spans="1:1" s="64" customFormat="1" ht="14.5" customHeight="1" x14ac:dyDescent="0.35">
      <c r="A136" s="64" t="s">
        <v>257</v>
      </c>
    </row>
    <row r="137" spans="1:1" s="64" customFormat="1" ht="14.5" customHeight="1" x14ac:dyDescent="0.35">
      <c r="A137" s="64" t="s">
        <v>258</v>
      </c>
    </row>
    <row r="138" spans="1:1" s="64" customFormat="1" ht="14.5" customHeight="1" x14ac:dyDescent="0.35">
      <c r="A138" s="64" t="s">
        <v>259</v>
      </c>
    </row>
    <row r="139" spans="1:1" s="65" customFormat="1" x14ac:dyDescent="0.35"/>
    <row r="140" spans="1:1" s="64" customFormat="1" ht="14.5" customHeight="1" x14ac:dyDescent="0.35">
      <c r="A140" s="64" t="s">
        <v>260</v>
      </c>
    </row>
    <row r="141" spans="1:1" s="64" customFormat="1" ht="14.5" customHeight="1" x14ac:dyDescent="0.35">
      <c r="A141" s="64" t="s">
        <v>261</v>
      </c>
    </row>
    <row r="142" spans="1:1" s="64" customFormat="1" ht="14.5" customHeight="1" x14ac:dyDescent="0.35">
      <c r="A142" s="64" t="s">
        <v>262</v>
      </c>
    </row>
    <row r="143" spans="1:1" s="65" customFormat="1" x14ac:dyDescent="0.35"/>
    <row r="144" spans="1:1" s="64" customFormat="1" ht="14.5" customHeight="1" x14ac:dyDescent="0.35">
      <c r="A144" s="64" t="s">
        <v>263</v>
      </c>
    </row>
    <row r="145" spans="1:1" s="64" customFormat="1" ht="14.5" customHeight="1" x14ac:dyDescent="0.35">
      <c r="A145" s="64" t="s">
        <v>264</v>
      </c>
    </row>
    <row r="146" spans="1:1" s="64" customFormat="1" ht="14.5" customHeight="1" x14ac:dyDescent="0.35">
      <c r="A146" s="64" t="s">
        <v>265</v>
      </c>
    </row>
    <row r="147" spans="1:1" s="64" customFormat="1" ht="14.5" customHeight="1" x14ac:dyDescent="0.35">
      <c r="A147" s="64" t="s">
        <v>266</v>
      </c>
    </row>
    <row r="148" spans="1:1" s="64" customFormat="1" ht="14.5" customHeight="1" x14ac:dyDescent="0.35">
      <c r="A148" s="64" t="s">
        <v>267</v>
      </c>
    </row>
    <row r="149" spans="1:1" s="64" customFormat="1" ht="14.5" customHeight="1" x14ac:dyDescent="0.35">
      <c r="A149" s="64" t="s">
        <v>268</v>
      </c>
    </row>
    <row r="150" spans="1:1" s="65" customFormat="1" x14ac:dyDescent="0.35"/>
    <row r="151" spans="1:1" s="64" customFormat="1" ht="14.5" customHeight="1" x14ac:dyDescent="0.35">
      <c r="A151" s="64" t="s">
        <v>269</v>
      </c>
    </row>
    <row r="152" spans="1:1" s="64" customFormat="1" ht="14.5" customHeight="1" x14ac:dyDescent="0.35">
      <c r="A152" s="64" t="s">
        <v>270</v>
      </c>
    </row>
    <row r="153" spans="1:1" s="64" customFormat="1" ht="14.5" customHeight="1" x14ac:dyDescent="0.35">
      <c r="A153" s="64" t="s">
        <v>271</v>
      </c>
    </row>
    <row r="154" spans="1:1" s="64" customFormat="1" ht="14.5" customHeight="1" x14ac:dyDescent="0.35">
      <c r="A154" s="64" t="s">
        <v>272</v>
      </c>
    </row>
    <row r="155" spans="1:1" s="64" customFormat="1" ht="14.5" customHeight="1" x14ac:dyDescent="0.35">
      <c r="A155" s="64" t="s">
        <v>273</v>
      </c>
    </row>
    <row r="156" spans="1:1" s="65" customFormat="1" x14ac:dyDescent="0.35"/>
    <row r="157" spans="1:1" s="64" customFormat="1" ht="14.5" customHeight="1" x14ac:dyDescent="0.35">
      <c r="A157" s="64" t="s">
        <v>274</v>
      </c>
    </row>
    <row r="158" spans="1:1" s="64" customFormat="1" ht="14.5" customHeight="1" x14ac:dyDescent="0.35">
      <c r="A158" s="64" t="s">
        <v>275</v>
      </c>
    </row>
    <row r="159" spans="1:1" s="64" customFormat="1" ht="14.5" customHeight="1" x14ac:dyDescent="0.35">
      <c r="A159" s="64" t="s">
        <v>276</v>
      </c>
    </row>
    <row r="160" spans="1:1" s="64" customFormat="1" ht="14.5" customHeight="1" x14ac:dyDescent="0.35">
      <c r="A160" s="64" t="s">
        <v>277</v>
      </c>
    </row>
    <row r="161" spans="1:1" s="64" customFormat="1" ht="14.5" customHeight="1" x14ac:dyDescent="0.35">
      <c r="A161" s="64" t="s">
        <v>278</v>
      </c>
    </row>
    <row r="162" spans="1:1" s="64" customFormat="1" ht="14.5" customHeight="1" x14ac:dyDescent="0.35">
      <c r="A162" s="64" t="s">
        <v>279</v>
      </c>
    </row>
    <row r="163" spans="1:1" s="64" customFormat="1" ht="14.5" customHeight="1" x14ac:dyDescent="0.35">
      <c r="A163" s="64" t="s">
        <v>280</v>
      </c>
    </row>
    <row r="164" spans="1:1" s="64" customFormat="1" ht="14.5" customHeight="1" x14ac:dyDescent="0.35">
      <c r="A164" s="64" t="s">
        <v>281</v>
      </c>
    </row>
    <row r="165" spans="1:1" s="64" customFormat="1" ht="14.5" customHeight="1" x14ac:dyDescent="0.35">
      <c r="A165" s="64" t="s">
        <v>282</v>
      </c>
    </row>
    <row r="166" spans="1:1" s="64" customFormat="1" ht="14.5" customHeight="1" x14ac:dyDescent="0.35">
      <c r="A166" s="64" t="s">
        <v>283</v>
      </c>
    </row>
    <row r="167" spans="1:1" s="65" customFormat="1" x14ac:dyDescent="0.35"/>
    <row r="168" spans="1:1" s="64" customFormat="1" ht="14.5" customHeight="1" x14ac:dyDescent="0.35">
      <c r="A168" s="64" t="s">
        <v>284</v>
      </c>
    </row>
    <row r="169" spans="1:1" s="64" customFormat="1" ht="14.5" customHeight="1" x14ac:dyDescent="0.35">
      <c r="A169" s="64" t="s">
        <v>285</v>
      </c>
    </row>
    <row r="170" spans="1:1" s="64" customFormat="1" ht="14.5" customHeight="1" x14ac:dyDescent="0.35">
      <c r="A170" s="64" t="s">
        <v>286</v>
      </c>
    </row>
    <row r="171" spans="1:1" s="64" customFormat="1" ht="14.5" customHeight="1" x14ac:dyDescent="0.35">
      <c r="A171" s="64" t="s">
        <v>287</v>
      </c>
    </row>
    <row r="172" spans="1:1" s="64" customFormat="1" ht="14.5" customHeight="1" x14ac:dyDescent="0.35">
      <c r="A172" s="64" t="s">
        <v>288</v>
      </c>
    </row>
    <row r="173" spans="1:1" s="65" customFormat="1" x14ac:dyDescent="0.35"/>
    <row r="174" spans="1:1" s="64" customFormat="1" ht="14.5" customHeight="1" x14ac:dyDescent="0.35">
      <c r="A174" s="64" t="s">
        <v>289</v>
      </c>
    </row>
    <row r="175" spans="1:1" s="64" customFormat="1" ht="14.5" customHeight="1" x14ac:dyDescent="0.35">
      <c r="A175" s="64" t="s">
        <v>290</v>
      </c>
    </row>
    <row r="176" spans="1:1" s="64" customFormat="1" ht="14.5" customHeight="1" x14ac:dyDescent="0.35">
      <c r="A176" s="64" t="s">
        <v>291</v>
      </c>
    </row>
    <row r="177" spans="1:1" s="64" customFormat="1" ht="14.5" customHeight="1" x14ac:dyDescent="0.35">
      <c r="A177" s="64" t="s">
        <v>292</v>
      </c>
    </row>
    <row r="178" spans="1:1" s="64" customFormat="1" ht="14.5" customHeight="1" x14ac:dyDescent="0.35">
      <c r="A178" s="64" t="s">
        <v>293</v>
      </c>
    </row>
    <row r="179" spans="1:1" s="64" customFormat="1" ht="14.5" customHeight="1" x14ac:dyDescent="0.35">
      <c r="A179" s="64" t="s">
        <v>294</v>
      </c>
    </row>
    <row r="180" spans="1:1" s="64" customFormat="1" ht="14.5" customHeight="1" x14ac:dyDescent="0.35">
      <c r="A180" s="64" t="s">
        <v>295</v>
      </c>
    </row>
    <row r="181" spans="1:1" s="65" customFormat="1" x14ac:dyDescent="0.35"/>
    <row r="182" spans="1:1" s="64" customFormat="1" ht="14.5" customHeight="1" x14ac:dyDescent="0.35">
      <c r="A182" s="64" t="s">
        <v>296</v>
      </c>
    </row>
    <row r="183" spans="1:1" s="64" customFormat="1" ht="14.5" customHeight="1" x14ac:dyDescent="0.35">
      <c r="A183" s="64" t="s">
        <v>297</v>
      </c>
    </row>
    <row r="184" spans="1:1" s="64" customFormat="1" ht="14.5" customHeight="1" x14ac:dyDescent="0.35">
      <c r="A184" s="64" t="s">
        <v>298</v>
      </c>
    </row>
    <row r="185" spans="1:1" s="64" customFormat="1" ht="14.5" customHeight="1" x14ac:dyDescent="0.35">
      <c r="A185" s="64" t="s">
        <v>299</v>
      </c>
    </row>
    <row r="186" spans="1:1" s="64" customFormat="1" ht="14.5" customHeight="1" x14ac:dyDescent="0.35">
      <c r="A186" s="64" t="s">
        <v>300</v>
      </c>
    </row>
    <row r="187" spans="1:1" s="64" customFormat="1" ht="14.5" customHeight="1" x14ac:dyDescent="0.35">
      <c r="A187" s="64" t="s">
        <v>301</v>
      </c>
    </row>
    <row r="188" spans="1:1" s="64" customFormat="1" ht="14.5" customHeight="1" x14ac:dyDescent="0.35">
      <c r="A188" s="64" t="s">
        <v>302</v>
      </c>
    </row>
    <row r="189" spans="1:1" s="64" customFormat="1" ht="14.5" customHeight="1" x14ac:dyDescent="0.35">
      <c r="A189" s="64" t="s">
        <v>303</v>
      </c>
    </row>
    <row r="190" spans="1:1" s="65" customFormat="1" x14ac:dyDescent="0.35"/>
    <row r="191" spans="1:1" s="64" customFormat="1" ht="14.5" customHeight="1" x14ac:dyDescent="0.35">
      <c r="A191" s="64" t="s">
        <v>304</v>
      </c>
    </row>
    <row r="192" spans="1:1" s="64" customFormat="1" ht="14.5" customHeight="1" x14ac:dyDescent="0.35">
      <c r="A192" s="64" t="s">
        <v>305</v>
      </c>
    </row>
    <row r="193" spans="1:1" s="64" customFormat="1" ht="14.5" customHeight="1" x14ac:dyDescent="0.35">
      <c r="A193" s="64" t="s">
        <v>306</v>
      </c>
    </row>
    <row r="194" spans="1:1" s="64" customFormat="1" ht="14.5" customHeight="1" x14ac:dyDescent="0.35">
      <c r="A194" s="64" t="s">
        <v>307</v>
      </c>
    </row>
    <row r="195" spans="1:1" s="64" customFormat="1" ht="14.5" customHeight="1" x14ac:dyDescent="0.35">
      <c r="A195" s="64" t="s">
        <v>308</v>
      </c>
    </row>
    <row r="196" spans="1:1" s="64" customFormat="1" ht="14.5" customHeight="1" x14ac:dyDescent="0.35">
      <c r="A196" s="64" t="s">
        <v>309</v>
      </c>
    </row>
    <row r="197" spans="1:1" s="64" customFormat="1" ht="14.5" customHeight="1" x14ac:dyDescent="0.35">
      <c r="A197" s="64" t="s">
        <v>310</v>
      </c>
    </row>
    <row r="198" spans="1:1" s="65" customFormat="1" x14ac:dyDescent="0.35"/>
    <row r="199" spans="1:1" s="64" customFormat="1" ht="14.5" customHeight="1" x14ac:dyDescent="0.35">
      <c r="A199" s="64" t="s">
        <v>311</v>
      </c>
    </row>
    <row r="200" spans="1:1" s="64" customFormat="1" ht="14.5" customHeight="1" x14ac:dyDescent="0.35">
      <c r="A200" s="64" t="s">
        <v>312</v>
      </c>
    </row>
    <row r="201" spans="1:1" s="64" customFormat="1" ht="14.5" customHeight="1" x14ac:dyDescent="0.35">
      <c r="A201" s="64" t="s">
        <v>313</v>
      </c>
    </row>
    <row r="202" spans="1:1" s="64" customFormat="1" ht="14.5" customHeight="1" x14ac:dyDescent="0.35">
      <c r="A202" s="64" t="s">
        <v>314</v>
      </c>
    </row>
    <row r="203" spans="1:1" s="64" customFormat="1" ht="14.5" customHeight="1" x14ac:dyDescent="0.35">
      <c r="A203" s="64" t="s">
        <v>315</v>
      </c>
    </row>
    <row r="204" spans="1:1" s="64" customFormat="1" ht="14.5" customHeight="1" x14ac:dyDescent="0.35">
      <c r="A204" s="64" t="s">
        <v>316</v>
      </c>
    </row>
    <row r="205" spans="1:1" s="64" customFormat="1" ht="14.5" customHeight="1" x14ac:dyDescent="0.35">
      <c r="A205" s="64" t="s">
        <v>317</v>
      </c>
    </row>
    <row r="206" spans="1:1" s="64" customFormat="1" ht="14.5" customHeight="1" x14ac:dyDescent="0.35">
      <c r="A206" s="64" t="s">
        <v>318</v>
      </c>
    </row>
    <row r="207" spans="1:1" s="64" customFormat="1" ht="14.5" customHeight="1" x14ac:dyDescent="0.35">
      <c r="A207" s="64" t="s">
        <v>319</v>
      </c>
    </row>
    <row r="208" spans="1:1" s="64" customFormat="1" ht="14.5" customHeight="1" x14ac:dyDescent="0.35">
      <c r="A208" s="64" t="s">
        <v>320</v>
      </c>
    </row>
    <row r="209" spans="1:1" s="64" customFormat="1" ht="14.5" customHeight="1" x14ac:dyDescent="0.35">
      <c r="A209" s="64" t="s">
        <v>321</v>
      </c>
    </row>
    <row r="210" spans="1:1" s="64" customFormat="1" ht="14.5" customHeight="1" x14ac:dyDescent="0.35">
      <c r="A210" s="64" t="s">
        <v>322</v>
      </c>
    </row>
    <row r="211" spans="1:1" s="65" customFormat="1" x14ac:dyDescent="0.35"/>
    <row r="212" spans="1:1" s="64" customFormat="1" ht="14.5" customHeight="1" x14ac:dyDescent="0.35">
      <c r="A212" s="64" t="s">
        <v>323</v>
      </c>
    </row>
    <row r="213" spans="1:1" s="64" customFormat="1" ht="14.5" customHeight="1" x14ac:dyDescent="0.35">
      <c r="A213" s="64" t="s">
        <v>324</v>
      </c>
    </row>
    <row r="214" spans="1:1" s="64" customFormat="1" ht="14.5" customHeight="1" x14ac:dyDescent="0.35">
      <c r="A214" s="64" t="s">
        <v>325</v>
      </c>
    </row>
    <row r="215" spans="1:1" s="64" customFormat="1" ht="14.5" customHeight="1" x14ac:dyDescent="0.35">
      <c r="A215" s="64" t="s">
        <v>326</v>
      </c>
    </row>
    <row r="216" spans="1:1" s="65" customFormat="1" x14ac:dyDescent="0.35"/>
    <row r="217" spans="1:1" s="64" customFormat="1" ht="14.5" customHeight="1" x14ac:dyDescent="0.35">
      <c r="A217" s="64" t="s">
        <v>327</v>
      </c>
    </row>
    <row r="218" spans="1:1" s="64" customFormat="1" ht="14.5" customHeight="1" x14ac:dyDescent="0.35">
      <c r="A218" s="64" t="s">
        <v>328</v>
      </c>
    </row>
    <row r="219" spans="1:1" s="64" customFormat="1" ht="14.5" customHeight="1" x14ac:dyDescent="0.35">
      <c r="A219" s="64" t="s">
        <v>329</v>
      </c>
    </row>
    <row r="220" spans="1:1" s="64" customFormat="1" ht="14.5" customHeight="1" x14ac:dyDescent="0.35">
      <c r="A220" s="64" t="s">
        <v>330</v>
      </c>
    </row>
    <row r="221" spans="1:1" s="64" customFormat="1" ht="14.5" customHeight="1" x14ac:dyDescent="0.35">
      <c r="A221" s="64" t="s">
        <v>331</v>
      </c>
    </row>
    <row r="222" spans="1:1" s="64" customFormat="1" ht="14.5" customHeight="1" x14ac:dyDescent="0.35">
      <c r="A222" s="64" t="s">
        <v>332</v>
      </c>
    </row>
    <row r="223" spans="1:1" s="64" customFormat="1" ht="14.5" customHeight="1" x14ac:dyDescent="0.35">
      <c r="A223" s="64" t="s">
        <v>333</v>
      </c>
    </row>
    <row r="224" spans="1:1" s="64" customFormat="1" ht="14.5" customHeight="1" x14ac:dyDescent="0.35">
      <c r="A224" s="64" t="s">
        <v>334</v>
      </c>
    </row>
    <row r="225" spans="1:1" s="64" customFormat="1" ht="14.5" customHeight="1" x14ac:dyDescent="0.35">
      <c r="A225" s="64" t="s">
        <v>335</v>
      </c>
    </row>
    <row r="226" spans="1:1" s="64" customFormat="1" ht="14.5" customHeight="1" x14ac:dyDescent="0.35">
      <c r="A226" s="64" t="s">
        <v>336</v>
      </c>
    </row>
    <row r="227" spans="1:1" s="65" customFormat="1" x14ac:dyDescent="0.35"/>
    <row r="228" spans="1:1" s="64" customFormat="1" ht="14.5" customHeight="1" x14ac:dyDescent="0.35">
      <c r="A228" s="64" t="s">
        <v>337</v>
      </c>
    </row>
    <row r="229" spans="1:1" s="64" customFormat="1" ht="14.5" customHeight="1" x14ac:dyDescent="0.35">
      <c r="A229" s="64" t="s">
        <v>338</v>
      </c>
    </row>
    <row r="230" spans="1:1" s="65" customFormat="1" x14ac:dyDescent="0.35"/>
    <row r="231" spans="1:1" s="64" customFormat="1" ht="14.5" customHeight="1" x14ac:dyDescent="0.35">
      <c r="A231" s="64" t="s">
        <v>339</v>
      </c>
    </row>
    <row r="232" spans="1:1" s="64" customFormat="1" ht="14.5" customHeight="1" x14ac:dyDescent="0.35">
      <c r="A232" s="64" t="s">
        <v>340</v>
      </c>
    </row>
    <row r="233" spans="1:1" s="64" customFormat="1" ht="14.5" customHeight="1" x14ac:dyDescent="0.35">
      <c r="A233" s="64" t="s">
        <v>341</v>
      </c>
    </row>
    <row r="234" spans="1:1" s="64" customFormat="1" ht="14.5" customHeight="1" x14ac:dyDescent="0.35">
      <c r="A234" s="64" t="s">
        <v>342</v>
      </c>
    </row>
    <row r="235" spans="1:1" s="64" customFormat="1" ht="14.5" customHeight="1" x14ac:dyDescent="0.35">
      <c r="A235" s="64" t="s">
        <v>343</v>
      </c>
    </row>
    <row r="236" spans="1:1" s="64" customFormat="1" ht="14.5" customHeight="1" x14ac:dyDescent="0.35">
      <c r="A236" s="64" t="s">
        <v>344</v>
      </c>
    </row>
    <row r="237" spans="1:1" s="64" customFormat="1" ht="14.5" customHeight="1" x14ac:dyDescent="0.35">
      <c r="A237" s="64" t="s">
        <v>345</v>
      </c>
    </row>
    <row r="238" spans="1:1" s="65" customFormat="1" x14ac:dyDescent="0.35"/>
    <row r="239" spans="1:1" s="64" customFormat="1" ht="14.5" customHeight="1" x14ac:dyDescent="0.35">
      <c r="A239" s="64" t="s">
        <v>346</v>
      </c>
    </row>
    <row r="240" spans="1:1" s="64" customFormat="1" ht="14.5" customHeight="1" x14ac:dyDescent="0.35">
      <c r="A240" s="64" t="s">
        <v>347</v>
      </c>
    </row>
    <row r="241" spans="1:1" s="64" customFormat="1" ht="14.5" customHeight="1" x14ac:dyDescent="0.35">
      <c r="A241" s="64" t="s">
        <v>348</v>
      </c>
    </row>
    <row r="242" spans="1:1" s="64" customFormat="1" ht="14.5" customHeight="1" x14ac:dyDescent="0.35">
      <c r="A242" s="64" t="s">
        <v>349</v>
      </c>
    </row>
    <row r="243" spans="1:1" s="65" customFormat="1" x14ac:dyDescent="0.35"/>
    <row r="244" spans="1:1" s="64" customFormat="1" ht="14.5" customHeight="1" x14ac:dyDescent="0.35">
      <c r="A244" s="64" t="s">
        <v>350</v>
      </c>
    </row>
    <row r="245" spans="1:1" s="64" customFormat="1" ht="14.5" customHeight="1" x14ac:dyDescent="0.35">
      <c r="A245" s="64" t="s">
        <v>351</v>
      </c>
    </row>
    <row r="246" spans="1:1" s="64" customFormat="1" ht="14.5" customHeight="1" x14ac:dyDescent="0.35">
      <c r="A246" s="64" t="s">
        <v>352</v>
      </c>
    </row>
    <row r="247" spans="1:1" s="64" customFormat="1" ht="14.5" customHeight="1" x14ac:dyDescent="0.35">
      <c r="A247" s="64" t="s">
        <v>353</v>
      </c>
    </row>
    <row r="248" spans="1:1" s="64" customFormat="1" ht="14.5" customHeight="1" x14ac:dyDescent="0.35">
      <c r="A248" s="64" t="s">
        <v>354</v>
      </c>
    </row>
    <row r="249" spans="1:1" s="64" customFormat="1" ht="14.5" customHeight="1" x14ac:dyDescent="0.35">
      <c r="A249" s="64" t="s">
        <v>355</v>
      </c>
    </row>
    <row r="250" spans="1:1" s="64" customFormat="1" ht="14.5" customHeight="1" x14ac:dyDescent="0.35">
      <c r="A250" s="64" t="s">
        <v>356</v>
      </c>
    </row>
    <row r="251" spans="1:1" s="65" customFormat="1" x14ac:dyDescent="0.35"/>
    <row r="252" spans="1:1" s="64" customFormat="1" ht="14.5" customHeight="1" x14ac:dyDescent="0.35">
      <c r="A252" s="64" t="s">
        <v>357</v>
      </c>
    </row>
    <row r="253" spans="1:1" s="64" customFormat="1" ht="14.5" customHeight="1" x14ac:dyDescent="0.35">
      <c r="A253" s="64" t="s">
        <v>358</v>
      </c>
    </row>
    <row r="254" spans="1:1" s="64" customFormat="1" ht="14.5" customHeight="1" x14ac:dyDescent="0.35">
      <c r="A254" s="64" t="s">
        <v>359</v>
      </c>
    </row>
    <row r="255" spans="1:1" s="64" customFormat="1" ht="14.5" customHeight="1" x14ac:dyDescent="0.35">
      <c r="A255" s="64" t="s">
        <v>360</v>
      </c>
    </row>
    <row r="256" spans="1:1" s="64" customFormat="1" ht="14.5" customHeight="1" x14ac:dyDescent="0.35">
      <c r="A256" s="64" t="s">
        <v>361</v>
      </c>
    </row>
    <row r="257" spans="1:1" s="64" customFormat="1" ht="14.5" customHeight="1" x14ac:dyDescent="0.35">
      <c r="A257" s="64" t="s">
        <v>362</v>
      </c>
    </row>
    <row r="258" spans="1:1" s="64" customFormat="1" ht="14.5" customHeight="1" x14ac:dyDescent="0.35">
      <c r="A258" s="64" t="s">
        <v>363</v>
      </c>
    </row>
    <row r="259" spans="1:1" s="65" customFormat="1" x14ac:dyDescent="0.35"/>
    <row r="260" spans="1:1" s="64" customFormat="1" ht="14.5" customHeight="1" x14ac:dyDescent="0.35">
      <c r="A260" s="64" t="s">
        <v>364</v>
      </c>
    </row>
    <row r="261" spans="1:1" s="65" customFormat="1" x14ac:dyDescent="0.35"/>
    <row r="262" spans="1:1" s="64" customFormat="1" ht="14.5" customHeight="1" x14ac:dyDescent="0.35">
      <c r="A262" s="64" t="s">
        <v>365</v>
      </c>
    </row>
    <row r="263" spans="1:1" s="64" customFormat="1" ht="14.5" customHeight="1" x14ac:dyDescent="0.35">
      <c r="A263" s="64" t="s">
        <v>366</v>
      </c>
    </row>
    <row r="264" spans="1:1" s="64" customFormat="1" ht="14.5" customHeight="1" x14ac:dyDescent="0.35">
      <c r="A264" s="64" t="s">
        <v>367</v>
      </c>
    </row>
    <row r="265" spans="1:1" s="64" customFormat="1" ht="14.5" customHeight="1" x14ac:dyDescent="0.35">
      <c r="A265" s="64" t="s">
        <v>368</v>
      </c>
    </row>
    <row r="266" spans="1:1" s="64" customFormat="1" ht="14.5" customHeight="1" x14ac:dyDescent="0.35">
      <c r="A266" s="64" t="s">
        <v>369</v>
      </c>
    </row>
    <row r="267" spans="1:1" s="64" customFormat="1" ht="14.5" customHeight="1" x14ac:dyDescent="0.35">
      <c r="A267" s="64" t="s">
        <v>370</v>
      </c>
    </row>
    <row r="268" spans="1:1" s="64" customFormat="1" ht="14.5" customHeight="1" x14ac:dyDescent="0.35">
      <c r="A268" s="64" t="s">
        <v>371</v>
      </c>
    </row>
    <row r="269" spans="1:1" s="64" customFormat="1" ht="14.5" customHeight="1" x14ac:dyDescent="0.35">
      <c r="A269" s="64" t="s">
        <v>372</v>
      </c>
    </row>
    <row r="270" spans="1:1" s="64" customFormat="1" ht="14.5" customHeight="1" x14ac:dyDescent="0.35">
      <c r="A270" s="64" t="s">
        <v>373</v>
      </c>
    </row>
    <row r="271" spans="1:1" s="65" customFormat="1" x14ac:dyDescent="0.35"/>
    <row r="272" spans="1:1" s="64" customFormat="1" ht="14.5" customHeight="1" x14ac:dyDescent="0.35">
      <c r="A272" s="64" t="s">
        <v>374</v>
      </c>
    </row>
    <row r="273" spans="1:1" s="64" customFormat="1" ht="14.5" customHeight="1" x14ac:dyDescent="0.35">
      <c r="A273" s="64" t="s">
        <v>375</v>
      </c>
    </row>
    <row r="274" spans="1:1" s="64" customFormat="1" ht="14.5" customHeight="1" x14ac:dyDescent="0.35">
      <c r="A274" s="64" t="s">
        <v>376</v>
      </c>
    </row>
    <row r="275" spans="1:1" s="64" customFormat="1" ht="14.5" customHeight="1" x14ac:dyDescent="0.35">
      <c r="A275" s="64" t="s">
        <v>377</v>
      </c>
    </row>
    <row r="276" spans="1:1" s="64" customFormat="1" ht="14.5" customHeight="1" x14ac:dyDescent="0.35">
      <c r="A276" s="64" t="s">
        <v>378</v>
      </c>
    </row>
    <row r="277" spans="1:1" s="64" customFormat="1" ht="14.5" customHeight="1" x14ac:dyDescent="0.35">
      <c r="A277" s="64" t="s">
        <v>379</v>
      </c>
    </row>
    <row r="278" spans="1:1" s="64" customFormat="1" ht="14.5" customHeight="1" x14ac:dyDescent="0.35">
      <c r="A278" s="64" t="s">
        <v>380</v>
      </c>
    </row>
    <row r="279" spans="1:1" s="64" customFormat="1" ht="14.5" customHeight="1" x14ac:dyDescent="0.35">
      <c r="A279" s="64" t="s">
        <v>381</v>
      </c>
    </row>
    <row r="280" spans="1:1" s="64" customFormat="1" ht="14.5" customHeight="1" x14ac:dyDescent="0.35">
      <c r="A280" s="64" t="s">
        <v>382</v>
      </c>
    </row>
    <row r="281" spans="1:1" s="65" customFormat="1" x14ac:dyDescent="0.35"/>
    <row r="282" spans="1:1" s="64" customFormat="1" ht="14.5" customHeight="1" x14ac:dyDescent="0.35">
      <c r="A282" s="64" t="s">
        <v>383</v>
      </c>
    </row>
    <row r="283" spans="1:1" s="65" customFormat="1" x14ac:dyDescent="0.35"/>
    <row r="284" spans="1:1" s="64" customFormat="1" ht="14.5" customHeight="1" x14ac:dyDescent="0.35">
      <c r="A284" s="64" t="s">
        <v>384</v>
      </c>
    </row>
    <row r="285" spans="1:1" s="65" customFormat="1" x14ac:dyDescent="0.35"/>
    <row r="286" spans="1:1" s="64" customFormat="1" ht="14.5" customHeight="1" x14ac:dyDescent="0.35">
      <c r="A286" s="64" t="s">
        <v>385</v>
      </c>
    </row>
    <row r="287" spans="1:1" s="64" customFormat="1" ht="14.5" customHeight="1" x14ac:dyDescent="0.35">
      <c r="A287" s="64" t="s">
        <v>386</v>
      </c>
    </row>
    <row r="288" spans="1:1" s="64" customFormat="1" ht="14.5" customHeight="1" x14ac:dyDescent="0.35">
      <c r="A288" s="64" t="s">
        <v>387</v>
      </c>
    </row>
    <row r="289" spans="1:1" s="65" customFormat="1" x14ac:dyDescent="0.35"/>
    <row r="290" spans="1:1" s="64" customFormat="1" ht="14.5" customHeight="1" x14ac:dyDescent="0.35">
      <c r="A290" s="64" t="s">
        <v>388</v>
      </c>
    </row>
    <row r="291" spans="1:1" s="64" customFormat="1" ht="14.5" customHeight="1" x14ac:dyDescent="0.35">
      <c r="A291" s="64" t="s">
        <v>389</v>
      </c>
    </row>
    <row r="292" spans="1:1" s="64" customFormat="1" ht="14.5" customHeight="1" x14ac:dyDescent="0.35">
      <c r="A292" s="64" t="s">
        <v>390</v>
      </c>
    </row>
    <row r="293" spans="1:1" s="64" customFormat="1" ht="14.5" customHeight="1" x14ac:dyDescent="0.35">
      <c r="A293" s="64" t="s">
        <v>391</v>
      </c>
    </row>
    <row r="294" spans="1:1" s="65" customFormat="1" x14ac:dyDescent="0.35"/>
    <row r="295" spans="1:1" s="64" customFormat="1" ht="14.5" customHeight="1" x14ac:dyDescent="0.35">
      <c r="A295" s="64" t="s">
        <v>392</v>
      </c>
    </row>
    <row r="296" spans="1:1" s="64" customFormat="1" ht="14.5" customHeight="1" x14ac:dyDescent="0.35">
      <c r="A296" s="64" t="s">
        <v>393</v>
      </c>
    </row>
    <row r="297" spans="1:1" s="65" customFormat="1" x14ac:dyDescent="0.35"/>
    <row r="298" spans="1:1" s="64" customFormat="1" ht="14.5" customHeight="1" x14ac:dyDescent="0.35">
      <c r="A298" s="64" t="s">
        <v>394</v>
      </c>
    </row>
    <row r="299" spans="1:1" s="64" customFormat="1" ht="14.5" customHeight="1" x14ac:dyDescent="0.35">
      <c r="A299" s="64" t="s">
        <v>395</v>
      </c>
    </row>
    <row r="300" spans="1:1" s="64" customFormat="1" ht="14.5" customHeight="1" x14ac:dyDescent="0.35">
      <c r="A300" s="64" t="s">
        <v>396</v>
      </c>
    </row>
    <row r="301" spans="1:1" s="64" customFormat="1" ht="14.5" customHeight="1" x14ac:dyDescent="0.35">
      <c r="A301" s="64" t="s">
        <v>397</v>
      </c>
    </row>
    <row r="302" spans="1:1" s="65" customFormat="1" x14ac:dyDescent="0.35"/>
    <row r="303" spans="1:1" s="64" customFormat="1" ht="14.5" customHeight="1" x14ac:dyDescent="0.35">
      <c r="A303" s="64" t="s">
        <v>398</v>
      </c>
    </row>
    <row r="304" spans="1:1" s="64" customFormat="1" ht="14.5" customHeight="1" x14ac:dyDescent="0.35">
      <c r="A304" s="64" t="s">
        <v>399</v>
      </c>
    </row>
    <row r="305" spans="1:1" s="64" customFormat="1" ht="14.5" customHeight="1" x14ac:dyDescent="0.35">
      <c r="A305" s="64" t="s">
        <v>400</v>
      </c>
    </row>
    <row r="306" spans="1:1" s="64" customFormat="1" ht="14.5" customHeight="1" x14ac:dyDescent="0.35">
      <c r="A306" s="64" t="s">
        <v>401</v>
      </c>
    </row>
    <row r="307" spans="1:1" s="65" customFormat="1" x14ac:dyDescent="0.35"/>
    <row r="308" spans="1:1" s="64" customFormat="1" ht="14.5" customHeight="1" x14ac:dyDescent="0.35">
      <c r="A308" s="64" t="s">
        <v>402</v>
      </c>
    </row>
    <row r="309" spans="1:1" s="64" customFormat="1" ht="14.5" customHeight="1" x14ac:dyDescent="0.35">
      <c r="A309" s="64" t="s">
        <v>403</v>
      </c>
    </row>
    <row r="310" spans="1:1" s="65" customFormat="1" x14ac:dyDescent="0.35"/>
    <row r="311" spans="1:1" s="64" customFormat="1" ht="14.5" customHeight="1" x14ac:dyDescent="0.35">
      <c r="A311" s="64" t="s">
        <v>404</v>
      </c>
    </row>
    <row r="312" spans="1:1" s="65" customFormat="1" x14ac:dyDescent="0.35"/>
    <row r="313" spans="1:1" s="64" customFormat="1" ht="14.5" customHeight="1" x14ac:dyDescent="0.35">
      <c r="A313" s="64" t="s">
        <v>405</v>
      </c>
    </row>
    <row r="314" spans="1:1" s="64" customFormat="1" ht="14.5" customHeight="1" x14ac:dyDescent="0.35">
      <c r="A314" s="64" t="s">
        <v>406</v>
      </c>
    </row>
    <row r="315" spans="1:1" s="65" customFormat="1" x14ac:dyDescent="0.35"/>
    <row r="316" spans="1:1" s="64" customFormat="1" ht="14.5" customHeight="1" x14ac:dyDescent="0.35">
      <c r="A316" s="64" t="s">
        <v>407</v>
      </c>
    </row>
    <row r="317" spans="1:1" s="64" customFormat="1" ht="14.5" customHeight="1" x14ac:dyDescent="0.35">
      <c r="A317" s="64" t="s">
        <v>408</v>
      </c>
    </row>
    <row r="318" spans="1:1" s="64" customFormat="1" ht="14.5" customHeight="1" x14ac:dyDescent="0.35">
      <c r="A318" s="64" t="s">
        <v>409</v>
      </c>
    </row>
    <row r="319" spans="1:1" s="64" customFormat="1" ht="14.5" customHeight="1" x14ac:dyDescent="0.35">
      <c r="A319" s="64" t="s">
        <v>410</v>
      </c>
    </row>
    <row r="320" spans="1:1" s="65" customFormat="1" x14ac:dyDescent="0.35"/>
    <row r="321" spans="1:1" s="64" customFormat="1" ht="14.5" customHeight="1" x14ac:dyDescent="0.35">
      <c r="A321" s="64" t="s">
        <v>411</v>
      </c>
    </row>
    <row r="322" spans="1:1" s="64" customFormat="1" ht="14.5" customHeight="1" x14ac:dyDescent="0.35">
      <c r="A322" s="64" t="s">
        <v>412</v>
      </c>
    </row>
    <row r="323" spans="1:1" s="64" customFormat="1" ht="14.5" customHeight="1" x14ac:dyDescent="0.35">
      <c r="A323" s="64" t="s">
        <v>413</v>
      </c>
    </row>
    <row r="324" spans="1:1" s="64" customFormat="1" ht="14.5" customHeight="1" x14ac:dyDescent="0.35">
      <c r="A324" s="64" t="s">
        <v>414</v>
      </c>
    </row>
    <row r="325" spans="1:1" s="65" customFormat="1" x14ac:dyDescent="0.35"/>
    <row r="326" spans="1:1" s="64" customFormat="1" ht="14.5" customHeight="1" x14ac:dyDescent="0.35">
      <c r="A326" s="64" t="s">
        <v>415</v>
      </c>
    </row>
    <row r="327" spans="1:1" s="64" customFormat="1" ht="14.5" customHeight="1" x14ac:dyDescent="0.35">
      <c r="A327" s="64" t="s">
        <v>416</v>
      </c>
    </row>
    <row r="328" spans="1:1" s="64" customFormat="1" ht="14.5" customHeight="1" x14ac:dyDescent="0.35">
      <c r="A328" s="64" t="s">
        <v>417</v>
      </c>
    </row>
    <row r="329" spans="1:1" s="65" customFormat="1" x14ac:dyDescent="0.35"/>
    <row r="330" spans="1:1" s="64" customFormat="1" ht="14.5" customHeight="1" x14ac:dyDescent="0.35">
      <c r="A330" s="64" t="s">
        <v>418</v>
      </c>
    </row>
    <row r="331" spans="1:1" s="64" customFormat="1" ht="14.5" customHeight="1" x14ac:dyDescent="0.35">
      <c r="A331" s="64" t="s">
        <v>419</v>
      </c>
    </row>
    <row r="332" spans="1:1" s="65" customFormat="1" x14ac:dyDescent="0.35"/>
    <row r="333" spans="1:1" s="64" customFormat="1" ht="14.5" customHeight="1" x14ac:dyDescent="0.35">
      <c r="A333" s="64" t="s">
        <v>420</v>
      </c>
    </row>
    <row r="334" spans="1:1" s="64" customFormat="1" ht="14.5" customHeight="1" x14ac:dyDescent="0.35">
      <c r="A334" s="64" t="s">
        <v>421</v>
      </c>
    </row>
    <row r="335" spans="1:1" s="65" customFormat="1" x14ac:dyDescent="0.35"/>
    <row r="336" spans="1:1" s="64" customFormat="1" ht="14.5" customHeight="1" x14ac:dyDescent="0.35">
      <c r="A336" s="64" t="s">
        <v>422</v>
      </c>
    </row>
    <row r="337" spans="1:1" s="64" customFormat="1" ht="14.5" customHeight="1" x14ac:dyDescent="0.35">
      <c r="A337" s="64" t="s">
        <v>423</v>
      </c>
    </row>
    <row r="338" spans="1:1" s="64" customFormat="1" ht="14.5" customHeight="1" x14ac:dyDescent="0.35">
      <c r="A338" s="64" t="s">
        <v>424</v>
      </c>
    </row>
    <row r="339" spans="1:1" s="64" customFormat="1" ht="14.5" customHeight="1" x14ac:dyDescent="0.35">
      <c r="A339" s="64" t="s">
        <v>425</v>
      </c>
    </row>
    <row r="340" spans="1:1" s="64" customFormat="1" ht="14.5" customHeight="1" x14ac:dyDescent="0.35">
      <c r="A340" s="64" t="s">
        <v>426</v>
      </c>
    </row>
  </sheetData>
  <mergeCells count="340">
    <mergeCell ref="A1:XFD1"/>
    <mergeCell ref="A336:XFD336"/>
    <mergeCell ref="A337:XFD337"/>
    <mergeCell ref="A338:XFD338"/>
    <mergeCell ref="A339:XFD339"/>
    <mergeCell ref="A340:XFD340"/>
    <mergeCell ref="A2:XFD2"/>
    <mergeCell ref="A330:XFD330"/>
    <mergeCell ref="A331:XFD331"/>
    <mergeCell ref="A332:XFD332"/>
    <mergeCell ref="A333:XFD333"/>
    <mergeCell ref="A334:XFD334"/>
    <mergeCell ref="A335:XFD335"/>
    <mergeCell ref="A324:XFD324"/>
    <mergeCell ref="A325:XFD325"/>
    <mergeCell ref="A326:XFD326"/>
    <mergeCell ref="A327:XFD327"/>
    <mergeCell ref="A328:XFD328"/>
    <mergeCell ref="A329:XFD329"/>
    <mergeCell ref="A318:XFD318"/>
    <mergeCell ref="A319:XFD319"/>
    <mergeCell ref="A320:XFD320"/>
    <mergeCell ref="A321:XFD321"/>
    <mergeCell ref="A322:XFD322"/>
    <mergeCell ref="A323:XFD323"/>
    <mergeCell ref="A312:XFD312"/>
    <mergeCell ref="A313:XFD313"/>
    <mergeCell ref="A314:XFD314"/>
    <mergeCell ref="A315:XFD315"/>
    <mergeCell ref="A316:XFD316"/>
    <mergeCell ref="A317:XFD317"/>
    <mergeCell ref="A306:XFD306"/>
    <mergeCell ref="A307:XFD307"/>
    <mergeCell ref="A308:XFD308"/>
    <mergeCell ref="A309:XFD309"/>
    <mergeCell ref="A310:XFD310"/>
    <mergeCell ref="A311:XFD311"/>
    <mergeCell ref="A300:XFD300"/>
    <mergeCell ref="A301:XFD301"/>
    <mergeCell ref="A302:XFD302"/>
    <mergeCell ref="A303:XFD303"/>
    <mergeCell ref="A304:XFD304"/>
    <mergeCell ref="A305:XFD305"/>
    <mergeCell ref="A294:XFD294"/>
    <mergeCell ref="A295:XFD295"/>
    <mergeCell ref="A296:XFD296"/>
    <mergeCell ref="A297:XFD297"/>
    <mergeCell ref="A298:XFD298"/>
    <mergeCell ref="A299:XFD299"/>
    <mergeCell ref="A288:XFD288"/>
    <mergeCell ref="A289:XFD289"/>
    <mergeCell ref="A290:XFD290"/>
    <mergeCell ref="A291:XFD291"/>
    <mergeCell ref="A292:XFD292"/>
    <mergeCell ref="A293:XFD293"/>
    <mergeCell ref="A282:XFD282"/>
    <mergeCell ref="A283:XFD283"/>
    <mergeCell ref="A284:XFD284"/>
    <mergeCell ref="A285:XFD285"/>
    <mergeCell ref="A286:XFD286"/>
    <mergeCell ref="A287:XFD287"/>
    <mergeCell ref="A276:XFD276"/>
    <mergeCell ref="A277:XFD277"/>
    <mergeCell ref="A278:XFD278"/>
    <mergeCell ref="A279:XFD279"/>
    <mergeCell ref="A280:XFD280"/>
    <mergeCell ref="A281:XFD281"/>
    <mergeCell ref="A270:XFD270"/>
    <mergeCell ref="A271:XFD271"/>
    <mergeCell ref="A272:XFD272"/>
    <mergeCell ref="A273:XFD273"/>
    <mergeCell ref="A274:XFD274"/>
    <mergeCell ref="A275:XFD275"/>
    <mergeCell ref="A264:XFD264"/>
    <mergeCell ref="A265:XFD265"/>
    <mergeCell ref="A266:XFD266"/>
    <mergeCell ref="A267:XFD267"/>
    <mergeCell ref="A268:XFD268"/>
    <mergeCell ref="A269:XFD269"/>
    <mergeCell ref="A258:XFD258"/>
    <mergeCell ref="A259:XFD259"/>
    <mergeCell ref="A260:XFD260"/>
    <mergeCell ref="A261:XFD261"/>
    <mergeCell ref="A262:XFD262"/>
    <mergeCell ref="A263:XFD263"/>
    <mergeCell ref="A252:XFD252"/>
    <mergeCell ref="A253:XFD253"/>
    <mergeCell ref="A254:XFD254"/>
    <mergeCell ref="A255:XFD255"/>
    <mergeCell ref="A256:XFD256"/>
    <mergeCell ref="A257:XFD257"/>
    <mergeCell ref="A246:XFD246"/>
    <mergeCell ref="A247:XFD247"/>
    <mergeCell ref="A248:XFD248"/>
    <mergeCell ref="A249:XFD249"/>
    <mergeCell ref="A250:XFD250"/>
    <mergeCell ref="A251:XFD251"/>
    <mergeCell ref="A240:XFD240"/>
    <mergeCell ref="A241:XFD241"/>
    <mergeCell ref="A242:XFD242"/>
    <mergeCell ref="A243:XFD243"/>
    <mergeCell ref="A244:XFD244"/>
    <mergeCell ref="A245:XFD245"/>
    <mergeCell ref="A234:XFD234"/>
    <mergeCell ref="A235:XFD235"/>
    <mergeCell ref="A236:XFD236"/>
    <mergeCell ref="A237:XFD237"/>
    <mergeCell ref="A238:XFD238"/>
    <mergeCell ref="A239:XFD239"/>
    <mergeCell ref="A228:XFD228"/>
    <mergeCell ref="A229:XFD229"/>
    <mergeCell ref="A230:XFD230"/>
    <mergeCell ref="A231:XFD231"/>
    <mergeCell ref="A232:XFD232"/>
    <mergeCell ref="A233:XFD233"/>
    <mergeCell ref="A222:XFD222"/>
    <mergeCell ref="A223:XFD223"/>
    <mergeCell ref="A224:XFD224"/>
    <mergeCell ref="A225:XFD225"/>
    <mergeCell ref="A226:XFD226"/>
    <mergeCell ref="A227:XFD227"/>
    <mergeCell ref="A216:XFD216"/>
    <mergeCell ref="A217:XFD217"/>
    <mergeCell ref="A218:XFD218"/>
    <mergeCell ref="A219:XFD219"/>
    <mergeCell ref="A220:XFD220"/>
    <mergeCell ref="A221:XFD221"/>
    <mergeCell ref="A210:XFD210"/>
    <mergeCell ref="A211:XFD211"/>
    <mergeCell ref="A212:XFD212"/>
    <mergeCell ref="A213:XFD213"/>
    <mergeCell ref="A214:XFD214"/>
    <mergeCell ref="A215:XFD215"/>
    <mergeCell ref="A204:XFD204"/>
    <mergeCell ref="A205:XFD205"/>
    <mergeCell ref="A206:XFD206"/>
    <mergeCell ref="A207:XFD207"/>
    <mergeCell ref="A208:XFD208"/>
    <mergeCell ref="A209:XFD209"/>
    <mergeCell ref="A198:XFD198"/>
    <mergeCell ref="A199:XFD199"/>
    <mergeCell ref="A200:XFD200"/>
    <mergeCell ref="A201:XFD201"/>
    <mergeCell ref="A202:XFD202"/>
    <mergeCell ref="A203:XFD203"/>
    <mergeCell ref="A192:XFD192"/>
    <mergeCell ref="A193:XFD193"/>
    <mergeCell ref="A194:XFD194"/>
    <mergeCell ref="A195:XFD195"/>
    <mergeCell ref="A196:XFD196"/>
    <mergeCell ref="A197:XFD197"/>
    <mergeCell ref="A186:XFD186"/>
    <mergeCell ref="A187:XFD187"/>
    <mergeCell ref="A188:XFD188"/>
    <mergeCell ref="A189:XFD189"/>
    <mergeCell ref="A190:XFD190"/>
    <mergeCell ref="A191:XFD191"/>
    <mergeCell ref="A180:XFD180"/>
    <mergeCell ref="A181:XFD181"/>
    <mergeCell ref="A182:XFD182"/>
    <mergeCell ref="A183:XFD183"/>
    <mergeCell ref="A184:XFD184"/>
    <mergeCell ref="A185:XFD185"/>
    <mergeCell ref="A174:XFD174"/>
    <mergeCell ref="A175:XFD175"/>
    <mergeCell ref="A176:XFD176"/>
    <mergeCell ref="A177:XFD177"/>
    <mergeCell ref="A178:XFD178"/>
    <mergeCell ref="A179:XFD179"/>
    <mergeCell ref="A168:XFD168"/>
    <mergeCell ref="A169:XFD169"/>
    <mergeCell ref="A170:XFD170"/>
    <mergeCell ref="A171:XFD171"/>
    <mergeCell ref="A172:XFD172"/>
    <mergeCell ref="A173:XFD173"/>
    <mergeCell ref="A162:XFD162"/>
    <mergeCell ref="A163:XFD163"/>
    <mergeCell ref="A164:XFD164"/>
    <mergeCell ref="A165:XFD165"/>
    <mergeCell ref="A166:XFD166"/>
    <mergeCell ref="A167:XFD167"/>
    <mergeCell ref="A156:XFD156"/>
    <mergeCell ref="A157:XFD157"/>
    <mergeCell ref="A158:XFD158"/>
    <mergeCell ref="A159:XFD159"/>
    <mergeCell ref="A160:XFD160"/>
    <mergeCell ref="A161:XFD161"/>
    <mergeCell ref="A150:XFD150"/>
    <mergeCell ref="A151:XFD151"/>
    <mergeCell ref="A152:XFD152"/>
    <mergeCell ref="A153:XFD153"/>
    <mergeCell ref="A154:XFD154"/>
    <mergeCell ref="A155:XFD155"/>
    <mergeCell ref="A144:XFD144"/>
    <mergeCell ref="A145:XFD145"/>
    <mergeCell ref="A146:XFD146"/>
    <mergeCell ref="A147:XFD147"/>
    <mergeCell ref="A148:XFD148"/>
    <mergeCell ref="A149:XFD149"/>
    <mergeCell ref="A138:XFD138"/>
    <mergeCell ref="A139:XFD139"/>
    <mergeCell ref="A140:XFD140"/>
    <mergeCell ref="A141:XFD141"/>
    <mergeCell ref="A142:XFD142"/>
    <mergeCell ref="A143:XFD143"/>
    <mergeCell ref="A132:XFD132"/>
    <mergeCell ref="A133:XFD133"/>
    <mergeCell ref="A134:XFD134"/>
    <mergeCell ref="A135:XFD135"/>
    <mergeCell ref="A136:XFD136"/>
    <mergeCell ref="A137:XFD137"/>
    <mergeCell ref="A126:XFD126"/>
    <mergeCell ref="A127:XFD127"/>
    <mergeCell ref="A128:XFD128"/>
    <mergeCell ref="A129:XFD129"/>
    <mergeCell ref="A130:XFD130"/>
    <mergeCell ref="A131:XFD131"/>
    <mergeCell ref="A120:XFD120"/>
    <mergeCell ref="A121:XFD121"/>
    <mergeCell ref="A122:XFD122"/>
    <mergeCell ref="A123:XFD123"/>
    <mergeCell ref="A124:XFD124"/>
    <mergeCell ref="A125:XFD125"/>
    <mergeCell ref="A114:XFD114"/>
    <mergeCell ref="A115:XFD115"/>
    <mergeCell ref="A116:XFD116"/>
    <mergeCell ref="A117:XFD117"/>
    <mergeCell ref="A118:XFD118"/>
    <mergeCell ref="A119:XFD119"/>
    <mergeCell ref="A108:XFD108"/>
    <mergeCell ref="A109:XFD109"/>
    <mergeCell ref="A110:XFD110"/>
    <mergeCell ref="A111:XFD111"/>
    <mergeCell ref="A112:XFD112"/>
    <mergeCell ref="A113:XFD113"/>
    <mergeCell ref="A102:XFD102"/>
    <mergeCell ref="A103:XFD103"/>
    <mergeCell ref="A104:XFD104"/>
    <mergeCell ref="A105:XFD105"/>
    <mergeCell ref="A106:XFD106"/>
    <mergeCell ref="A107:XFD107"/>
    <mergeCell ref="A96:XFD96"/>
    <mergeCell ref="A97:XFD97"/>
    <mergeCell ref="A98:XFD98"/>
    <mergeCell ref="A99:XFD99"/>
    <mergeCell ref="A100:XFD100"/>
    <mergeCell ref="A101:XFD101"/>
    <mergeCell ref="A90:XFD90"/>
    <mergeCell ref="A91:XFD91"/>
    <mergeCell ref="A92:XFD92"/>
    <mergeCell ref="A93:XFD93"/>
    <mergeCell ref="A94:XFD94"/>
    <mergeCell ref="A95:XFD95"/>
    <mergeCell ref="A84:XFD84"/>
    <mergeCell ref="A85:XFD85"/>
    <mergeCell ref="A86:XFD86"/>
    <mergeCell ref="A87:XFD87"/>
    <mergeCell ref="A88:XFD88"/>
    <mergeCell ref="A89:XFD89"/>
    <mergeCell ref="A78:XFD78"/>
    <mergeCell ref="A79:XFD79"/>
    <mergeCell ref="A80:XFD80"/>
    <mergeCell ref="A81:XFD81"/>
    <mergeCell ref="A82:XFD82"/>
    <mergeCell ref="A83:XFD83"/>
    <mergeCell ref="A72:XFD72"/>
    <mergeCell ref="A73:XFD73"/>
    <mergeCell ref="A74:XFD74"/>
    <mergeCell ref="A75:XFD75"/>
    <mergeCell ref="A76:XFD76"/>
    <mergeCell ref="A77:XFD77"/>
    <mergeCell ref="A66:XFD66"/>
    <mergeCell ref="A67:XFD67"/>
    <mergeCell ref="A68:XFD68"/>
    <mergeCell ref="A69:XFD69"/>
    <mergeCell ref="A70:XFD70"/>
    <mergeCell ref="A71:XFD71"/>
    <mergeCell ref="A60:XFD60"/>
    <mergeCell ref="A61:XFD61"/>
    <mergeCell ref="A62:XFD62"/>
    <mergeCell ref="A63:XFD63"/>
    <mergeCell ref="A64:XFD64"/>
    <mergeCell ref="A65:XFD65"/>
    <mergeCell ref="A54:XFD54"/>
    <mergeCell ref="A55:XFD55"/>
    <mergeCell ref="A56:XFD56"/>
    <mergeCell ref="A57:XFD57"/>
    <mergeCell ref="A58:XFD58"/>
    <mergeCell ref="A59:XFD59"/>
    <mergeCell ref="A48:XFD48"/>
    <mergeCell ref="A49:XFD49"/>
    <mergeCell ref="A50:XFD50"/>
    <mergeCell ref="A51:XFD51"/>
    <mergeCell ref="A52:XFD52"/>
    <mergeCell ref="A53:XFD53"/>
    <mergeCell ref="A42:XFD42"/>
    <mergeCell ref="A43:XFD43"/>
    <mergeCell ref="A44:XFD44"/>
    <mergeCell ref="A45:XFD45"/>
    <mergeCell ref="A46:XFD46"/>
    <mergeCell ref="A47:XFD47"/>
    <mergeCell ref="A36:XFD36"/>
    <mergeCell ref="A37:XFD37"/>
    <mergeCell ref="A38:XFD38"/>
    <mergeCell ref="A39:XFD39"/>
    <mergeCell ref="A40:XFD40"/>
    <mergeCell ref="A41:XFD41"/>
    <mergeCell ref="A30:XFD30"/>
    <mergeCell ref="A31:XFD31"/>
    <mergeCell ref="A32:XFD32"/>
    <mergeCell ref="A33:XFD33"/>
    <mergeCell ref="A34:XFD34"/>
    <mergeCell ref="A35:XFD35"/>
    <mergeCell ref="A24:XFD24"/>
    <mergeCell ref="A25:XFD25"/>
    <mergeCell ref="A26:XFD26"/>
    <mergeCell ref="A27:XFD27"/>
    <mergeCell ref="A28:XFD28"/>
    <mergeCell ref="A29:XFD29"/>
    <mergeCell ref="A18:XFD18"/>
    <mergeCell ref="A19:XFD19"/>
    <mergeCell ref="A20:XFD20"/>
    <mergeCell ref="A21:XFD21"/>
    <mergeCell ref="A22:XFD22"/>
    <mergeCell ref="A23:XFD23"/>
    <mergeCell ref="A12:XFD12"/>
    <mergeCell ref="A13:XFD13"/>
    <mergeCell ref="A14:XFD14"/>
    <mergeCell ref="A15:XFD15"/>
    <mergeCell ref="A16:XFD16"/>
    <mergeCell ref="A17:XFD17"/>
    <mergeCell ref="A3:XFD3"/>
    <mergeCell ref="A4:XFD4"/>
    <mergeCell ref="A5:XFD5"/>
    <mergeCell ref="A6:XFD6"/>
    <mergeCell ref="A7:XFD7"/>
    <mergeCell ref="A8:XFD8"/>
    <mergeCell ref="A9:XFD9"/>
    <mergeCell ref="A10:XFD10"/>
    <mergeCell ref="A11:XFD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Mii List</vt:lpstr>
      <vt:lpstr>Relationship Analysis</vt:lpstr>
      <vt:lpstr>Matching Engine</vt:lpstr>
      <vt:lpstr>LICENSE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Reel, Robin</dc:creator>
  <dc:description/>
  <cp:lastModifiedBy>Reel, Robin</cp:lastModifiedBy>
  <cp:revision>0</cp:revision>
  <dcterms:created xsi:type="dcterms:W3CDTF">2026-02-14T16:59:01Z</dcterms:created>
  <dcterms:modified xsi:type="dcterms:W3CDTF">2026-02-14T21:28:15Z</dcterms:modified>
  <dc:language>en-US</dc:language>
</cp:coreProperties>
</file>