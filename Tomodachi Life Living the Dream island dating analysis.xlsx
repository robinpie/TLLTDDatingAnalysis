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in\OneDrive\Documents\"/>
    </mc:Choice>
  </mc:AlternateContent>
  <xr:revisionPtr revIDLastSave="0" documentId="13_ncr:1_{BCD26421-64C9-440D-A7DC-B909456069A7}" xr6:coauthVersionLast="47" xr6:coauthVersionMax="47" xr10:uidLastSave="{00000000-0000-0000-0000-000000000000}"/>
  <bookViews>
    <workbookView xWindow="-110" yWindow="-110" windowWidth="29020" windowHeight="18700" tabRatio="500" xr2:uid="{00000000-000D-0000-FFFF-FFFF00000000}"/>
  </bookViews>
  <sheets>
    <sheet name="Mii List" sheetId="1" r:id="rId1"/>
    <sheet name="Relationship Analysis" sheetId="2" r:id="rId2"/>
    <sheet name="Matching Engine" sheetId="3" r:id="rId3"/>
    <sheet name="LICENS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84" i="3" l="1" a="1"/>
  <c r="M184" i="3" s="1"/>
  <c r="M172" i="3" a="1"/>
  <c r="M172" i="3" s="1"/>
  <c r="M171" i="3" a="1"/>
  <c r="M171" i="3" s="1"/>
  <c r="M170" i="3" a="1"/>
  <c r="M170" i="3" s="1"/>
  <c r="M169" i="3" a="1"/>
  <c r="M169" i="3" s="1"/>
  <c r="M166" i="3" a="1"/>
  <c r="M166" i="3" s="1"/>
  <c r="M155" i="3" a="1"/>
  <c r="M155" i="3" s="1"/>
  <c r="M148" i="3" a="1"/>
  <c r="M148" i="3" s="1"/>
  <c r="M142" i="3" a="1"/>
  <c r="M142" i="3" s="1"/>
  <c r="M117" i="3" a="1"/>
  <c r="M117" i="3" s="1"/>
  <c r="M116" i="3" a="1"/>
  <c r="M116" i="3" s="1"/>
  <c r="M115" i="3" a="1"/>
  <c r="M115" i="3" s="1"/>
  <c r="M113" i="3" a="1"/>
  <c r="M113" i="3" s="1"/>
  <c r="M112" i="3" a="1"/>
  <c r="M112" i="3" s="1"/>
  <c r="M78" i="3" a="1"/>
  <c r="M78" i="3" s="1"/>
  <c r="M77" i="3" a="1"/>
  <c r="M77" i="3" s="1"/>
  <c r="M76" i="3" a="1"/>
  <c r="M76" i="3" s="1"/>
  <c r="M64" i="3" a="1"/>
  <c r="M64" i="3" s="1"/>
  <c r="M59" i="3" a="1"/>
  <c r="M59" i="3" s="1"/>
  <c r="A201" i="3" a="1"/>
  <c r="A201" i="3" s="1"/>
  <c r="M201" i="3" s="1" a="1"/>
  <c r="M201" i="3" s="1"/>
  <c r="A200" i="3" a="1"/>
  <c r="A200" i="3" s="1"/>
  <c r="M200" i="3" s="1" a="1"/>
  <c r="M200" i="3" s="1"/>
  <c r="A199" i="3" a="1"/>
  <c r="A199" i="3" s="1"/>
  <c r="J199" i="3" s="1"/>
  <c r="A198" i="3" a="1"/>
  <c r="A198" i="3" s="1"/>
  <c r="M198" i="3" s="1" a="1"/>
  <c r="M198" i="3" s="1"/>
  <c r="A197" i="3" a="1"/>
  <c r="A197" i="3" s="1"/>
  <c r="M197" i="3" s="1" a="1"/>
  <c r="M197" i="3" s="1"/>
  <c r="A196" i="3" a="1"/>
  <c r="A196" i="3" s="1"/>
  <c r="P196" i="3" s="1"/>
  <c r="A195" i="3" a="1"/>
  <c r="A195" i="3" s="1"/>
  <c r="M195" i="3" s="1" a="1"/>
  <c r="M195" i="3" s="1"/>
  <c r="A194" i="3" a="1"/>
  <c r="A194" i="3" s="1"/>
  <c r="A193" i="3" a="1"/>
  <c r="A193" i="3" s="1"/>
  <c r="M193" i="3" s="1" a="1"/>
  <c r="M193" i="3" s="1"/>
  <c r="A192" i="3" a="1"/>
  <c r="A192" i="3" s="1"/>
  <c r="B192" i="3" s="1"/>
  <c r="I191" i="3"/>
  <c r="A191" i="3" a="1"/>
  <c r="A191" i="3" s="1"/>
  <c r="N191" i="3" s="1" a="1"/>
  <c r="N191" i="3" s="1"/>
  <c r="K190" i="3"/>
  <c r="A190" i="3" a="1"/>
  <c r="A190" i="3" s="1"/>
  <c r="J190" i="3" s="1"/>
  <c r="A189" i="3" a="1"/>
  <c r="A189" i="3" s="1"/>
  <c r="M189" i="3" s="1" a="1"/>
  <c r="M189" i="3" s="1"/>
  <c r="A188" i="3" a="1"/>
  <c r="A188" i="3" s="1"/>
  <c r="B188" i="3" s="1"/>
  <c r="A187" i="3" a="1"/>
  <c r="A187" i="3" s="1"/>
  <c r="A186" i="3" a="1"/>
  <c r="A186" i="3" s="1"/>
  <c r="M186" i="3" s="1" a="1"/>
  <c r="M186" i="3" s="1"/>
  <c r="A185" i="3" a="1"/>
  <c r="A185" i="3" s="1"/>
  <c r="A184" i="3" a="1"/>
  <c r="A184" i="3" s="1"/>
  <c r="A183" i="3" a="1"/>
  <c r="A183" i="3" s="1"/>
  <c r="M183" i="3" s="1" a="1"/>
  <c r="M183" i="3" s="1"/>
  <c r="A182" i="3" a="1"/>
  <c r="A182" i="3" s="1"/>
  <c r="M182" i="3" s="1" a="1"/>
  <c r="M182" i="3" s="1"/>
  <c r="A181" i="3" a="1"/>
  <c r="A181" i="3" s="1"/>
  <c r="A180" i="3" a="1"/>
  <c r="A180" i="3" s="1"/>
  <c r="M180" i="3" s="1" a="1"/>
  <c r="M180" i="3" s="1"/>
  <c r="A179" i="3" a="1"/>
  <c r="A179" i="3" s="1"/>
  <c r="M179" i="3" s="1" a="1"/>
  <c r="M179" i="3" s="1"/>
  <c r="A178" i="3" a="1"/>
  <c r="A178" i="3" s="1"/>
  <c r="E178" i="3" s="1"/>
  <c r="A177" i="3" a="1"/>
  <c r="A177" i="3" s="1"/>
  <c r="M177" i="3" s="1" a="1"/>
  <c r="M177" i="3" s="1"/>
  <c r="A176" i="3" a="1"/>
  <c r="A176" i="3" s="1"/>
  <c r="M176" i="3" s="1" a="1"/>
  <c r="M176" i="3" s="1"/>
  <c r="A175" i="3" a="1"/>
  <c r="A175" i="3" s="1"/>
  <c r="P175" i="3" s="1"/>
  <c r="A174" i="3" a="1"/>
  <c r="A174" i="3" s="1"/>
  <c r="A173" i="3" a="1"/>
  <c r="A173" i="3" s="1"/>
  <c r="M173" i="3" s="1" a="1"/>
  <c r="M173" i="3" s="1"/>
  <c r="O172" i="3" a="1"/>
  <c r="O172" i="3" s="1"/>
  <c r="A172" i="3" a="1"/>
  <c r="A172" i="3" s="1"/>
  <c r="G172" i="3" s="1"/>
  <c r="A171" i="3" a="1"/>
  <c r="A171" i="3" s="1"/>
  <c r="F171" i="3" s="1"/>
  <c r="A170" i="3" a="1"/>
  <c r="A170" i="3" s="1"/>
  <c r="P170" i="3" s="1"/>
  <c r="A169" i="3" a="1"/>
  <c r="A169" i="3" s="1"/>
  <c r="A168" i="3" a="1"/>
  <c r="A168" i="3" s="1"/>
  <c r="M168" i="3" s="1" a="1"/>
  <c r="M168" i="3" s="1"/>
  <c r="A167" i="3" a="1"/>
  <c r="A167" i="3" s="1"/>
  <c r="M167" i="3" s="1" a="1"/>
  <c r="M167" i="3" s="1"/>
  <c r="A166" i="3" a="1"/>
  <c r="A166" i="3" s="1"/>
  <c r="I166" i="3" s="1"/>
  <c r="A165" i="3" a="1"/>
  <c r="A165" i="3" s="1"/>
  <c r="E165" i="3" s="1"/>
  <c r="N164" i="3" a="1"/>
  <c r="N164" i="3" s="1"/>
  <c r="L164" i="3" a="1"/>
  <c r="L164" i="3" s="1"/>
  <c r="A164" i="3" a="1"/>
  <c r="A164" i="3" s="1"/>
  <c r="I164" i="3" s="1"/>
  <c r="A163" i="3" a="1"/>
  <c r="A163" i="3" s="1"/>
  <c r="G163" i="3" s="1"/>
  <c r="A162" i="3" a="1"/>
  <c r="A162" i="3" s="1"/>
  <c r="M162" i="3" s="1" a="1"/>
  <c r="M162" i="3" s="1"/>
  <c r="A161" i="3" a="1"/>
  <c r="A161" i="3" s="1"/>
  <c r="M161" i="3" s="1" a="1"/>
  <c r="M161" i="3" s="1"/>
  <c r="A160" i="3" a="1"/>
  <c r="A160" i="3" s="1"/>
  <c r="M160" i="3" s="1" a="1"/>
  <c r="M160" i="3" s="1"/>
  <c r="A159" i="3" a="1"/>
  <c r="A159" i="3" s="1"/>
  <c r="M159" i="3" s="1" a="1"/>
  <c r="M159" i="3" s="1"/>
  <c r="A158" i="3" a="1"/>
  <c r="A158" i="3" s="1"/>
  <c r="A157" i="3" a="1"/>
  <c r="A157" i="3" s="1"/>
  <c r="A156" i="3" a="1"/>
  <c r="A156" i="3" s="1"/>
  <c r="M156" i="3" s="1" a="1"/>
  <c r="M156" i="3" s="1"/>
  <c r="A155" i="3" a="1"/>
  <c r="A155" i="3" s="1"/>
  <c r="L155" i="3" s="1" a="1"/>
  <c r="L155" i="3" s="1"/>
  <c r="A154" i="3" a="1"/>
  <c r="A154" i="3" s="1"/>
  <c r="A153" i="3" a="1"/>
  <c r="A153" i="3" s="1"/>
  <c r="M153" i="3" s="1" a="1"/>
  <c r="M153" i="3" s="1"/>
  <c r="A152" i="3" a="1"/>
  <c r="A152" i="3" s="1"/>
  <c r="A151" i="3" a="1"/>
  <c r="A151" i="3" s="1"/>
  <c r="L151" i="3" s="1" a="1"/>
  <c r="L151" i="3" s="1"/>
  <c r="A150" i="3" a="1"/>
  <c r="A150" i="3" s="1"/>
  <c r="O150" i="3" s="1" a="1"/>
  <c r="O150" i="3" s="1"/>
  <c r="A149" i="3" a="1"/>
  <c r="A149" i="3" s="1"/>
  <c r="K148" i="3"/>
  <c r="I148" i="3"/>
  <c r="H148" i="3"/>
  <c r="A148" i="3" a="1"/>
  <c r="A148" i="3" s="1"/>
  <c r="J148" i="3" s="1"/>
  <c r="A147" i="3" a="1"/>
  <c r="A147" i="3" s="1"/>
  <c r="M147" i="3" s="1" a="1"/>
  <c r="M147" i="3" s="1"/>
  <c r="A146" i="3" a="1"/>
  <c r="A146" i="3" s="1"/>
  <c r="G146" i="3" s="1"/>
  <c r="A145" i="3" a="1"/>
  <c r="A145" i="3" s="1"/>
  <c r="M145" i="3" s="1" a="1"/>
  <c r="M145" i="3" s="1"/>
  <c r="A144" i="3" a="1"/>
  <c r="A144" i="3" s="1"/>
  <c r="M144" i="3" s="1" a="1"/>
  <c r="M144" i="3" s="1"/>
  <c r="A143" i="3" a="1"/>
  <c r="A143" i="3" s="1"/>
  <c r="M143" i="3" s="1" a="1"/>
  <c r="M143" i="3" s="1"/>
  <c r="A142" i="3" a="1"/>
  <c r="A142" i="3" s="1"/>
  <c r="A141" i="3" a="1"/>
  <c r="A141" i="3" s="1"/>
  <c r="M141" i="3" s="1" a="1"/>
  <c r="M141" i="3" s="1"/>
  <c r="A140" i="3" a="1"/>
  <c r="A140" i="3" s="1"/>
  <c r="M140" i="3" s="1" a="1"/>
  <c r="M140" i="3" s="1"/>
  <c r="A139" i="3" a="1"/>
  <c r="A139" i="3" s="1"/>
  <c r="G139" i="3" s="1"/>
  <c r="I138" i="3"/>
  <c r="H138" i="3"/>
  <c r="G138" i="3"/>
  <c r="A138" i="3" a="1"/>
  <c r="A138" i="3" s="1"/>
  <c r="F138" i="3" s="1"/>
  <c r="A137" i="3" a="1"/>
  <c r="A137" i="3" s="1"/>
  <c r="K137" i="3" s="1"/>
  <c r="A136" i="3" a="1"/>
  <c r="A136" i="3" s="1"/>
  <c r="F136" i="3" s="1"/>
  <c r="A135" i="3" a="1"/>
  <c r="A135" i="3" s="1"/>
  <c r="M135" i="3" s="1" a="1"/>
  <c r="M135" i="3" s="1"/>
  <c r="A134" i="3" a="1"/>
  <c r="A134" i="3" s="1"/>
  <c r="O134" i="3" s="1" a="1"/>
  <c r="O134" i="3" s="1"/>
  <c r="O133" i="3" a="1"/>
  <c r="O133" i="3" s="1"/>
  <c r="N133" i="3" a="1"/>
  <c r="N133" i="3" s="1"/>
  <c r="L133" i="3" a="1"/>
  <c r="L133" i="3" s="1"/>
  <c r="J133" i="3"/>
  <c r="H133" i="3"/>
  <c r="A133" i="3" a="1"/>
  <c r="A133" i="3" s="1"/>
  <c r="M133" i="3" s="1" a="1"/>
  <c r="M133" i="3" s="1"/>
  <c r="A132" i="3" a="1"/>
  <c r="A132" i="3" s="1"/>
  <c r="A131" i="3" a="1"/>
  <c r="A131" i="3" s="1"/>
  <c r="M131" i="3" s="1" a="1"/>
  <c r="M131" i="3" s="1"/>
  <c r="A130" i="3" a="1"/>
  <c r="A130" i="3" s="1"/>
  <c r="D130" i="3" s="1"/>
  <c r="A129" i="3" a="1"/>
  <c r="A129" i="3" s="1"/>
  <c r="A128" i="3" a="1"/>
  <c r="A128" i="3" s="1"/>
  <c r="H128" i="3" s="1"/>
  <c r="H127" i="3"/>
  <c r="A127" i="3" a="1"/>
  <c r="A127" i="3" s="1"/>
  <c r="F127" i="3" s="1"/>
  <c r="A126" i="3" a="1"/>
  <c r="A126" i="3" s="1"/>
  <c r="M126" i="3" s="1" a="1"/>
  <c r="M126" i="3" s="1"/>
  <c r="A125" i="3" a="1"/>
  <c r="A125" i="3" s="1"/>
  <c r="I125" i="3" s="1"/>
  <c r="A124" i="3" a="1"/>
  <c r="A124" i="3" s="1"/>
  <c r="A123" i="3" a="1"/>
  <c r="A123" i="3" s="1"/>
  <c r="D123" i="3" s="1"/>
  <c r="A122" i="3" a="1"/>
  <c r="A122" i="3" s="1"/>
  <c r="O122" i="3" s="1" a="1"/>
  <c r="O122" i="3" s="1"/>
  <c r="A121" i="3" a="1"/>
  <c r="A121" i="3" s="1"/>
  <c r="C121" i="3" s="1"/>
  <c r="A120" i="3" a="1"/>
  <c r="A120" i="3" s="1"/>
  <c r="M120" i="3" s="1" a="1"/>
  <c r="M120" i="3" s="1"/>
  <c r="A119" i="3" a="1"/>
  <c r="A119" i="3" s="1"/>
  <c r="C119" i="3" s="1"/>
  <c r="A118" i="3" a="1"/>
  <c r="A118" i="3" s="1"/>
  <c r="H118" i="3" s="1"/>
  <c r="O117" i="3" a="1"/>
  <c r="O117" i="3" s="1"/>
  <c r="N117" i="3" a="1"/>
  <c r="N117" i="3" s="1"/>
  <c r="A117" i="3" a="1"/>
  <c r="A117" i="3" s="1"/>
  <c r="P117" i="3" s="1"/>
  <c r="A116" i="3" a="1"/>
  <c r="A116" i="3" s="1"/>
  <c r="A115" i="3" a="1"/>
  <c r="A115" i="3" s="1"/>
  <c r="A114" i="3" a="1"/>
  <c r="A114" i="3" s="1"/>
  <c r="J114" i="3" s="1"/>
  <c r="L113" i="3" a="1"/>
  <c r="L113" i="3" s="1"/>
  <c r="K113" i="3"/>
  <c r="J113" i="3"/>
  <c r="F113" i="3"/>
  <c r="E113" i="3"/>
  <c r="A113" i="3" a="1"/>
  <c r="A113" i="3" s="1"/>
  <c r="G113" i="3" s="1"/>
  <c r="A112" i="3" a="1"/>
  <c r="A112" i="3" s="1"/>
  <c r="C112" i="3" s="1"/>
  <c r="A111" i="3" a="1"/>
  <c r="A111" i="3" s="1"/>
  <c r="M111" i="3" s="1" a="1"/>
  <c r="M111" i="3" s="1"/>
  <c r="A110" i="3" a="1"/>
  <c r="A110" i="3" s="1"/>
  <c r="M110" i="3" s="1" a="1"/>
  <c r="M110" i="3" s="1"/>
  <c r="A109" i="3" a="1"/>
  <c r="A109" i="3" s="1"/>
  <c r="H109" i="3" s="1"/>
  <c r="O108" i="3" a="1"/>
  <c r="O108" i="3" s="1"/>
  <c r="A108" i="3" a="1"/>
  <c r="A108" i="3" s="1"/>
  <c r="P108" i="3" s="1"/>
  <c r="A107" i="3" a="1"/>
  <c r="A107" i="3" s="1"/>
  <c r="N107" i="3" s="1" a="1"/>
  <c r="N107" i="3" s="1"/>
  <c r="A106" i="3" a="1"/>
  <c r="A106" i="3" s="1"/>
  <c r="A105" i="3" a="1"/>
  <c r="A105" i="3" s="1"/>
  <c r="M105" i="3" s="1" a="1"/>
  <c r="M105" i="3" s="1"/>
  <c r="A104" i="3" a="1"/>
  <c r="A104" i="3" s="1"/>
  <c r="J104" i="3" s="1"/>
  <c r="A103" i="3" a="1"/>
  <c r="A103" i="3" s="1"/>
  <c r="A102" i="3"/>
  <c r="D102" i="3" s="1"/>
  <c r="A102" i="3" a="1"/>
  <c r="A101" i="3" a="1"/>
  <c r="A101" i="3" s="1"/>
  <c r="K101" i="3" s="1"/>
  <c r="A100" i="3" a="1"/>
  <c r="A100" i="3" s="1"/>
  <c r="L100" i="3" s="1" a="1"/>
  <c r="L100" i="3" s="1"/>
  <c r="A99" i="3" a="1"/>
  <c r="A99" i="3" s="1"/>
  <c r="M99" i="3" s="1" a="1"/>
  <c r="M99" i="3" s="1"/>
  <c r="A98" i="3" a="1"/>
  <c r="A98" i="3" s="1"/>
  <c r="L98" i="3" s="1" a="1"/>
  <c r="L98" i="3" s="1"/>
  <c r="A97" i="3" a="1"/>
  <c r="A97" i="3" s="1"/>
  <c r="M97" i="3" s="1" a="1"/>
  <c r="M97" i="3" s="1"/>
  <c r="A96" i="3" a="1"/>
  <c r="A96" i="3" s="1"/>
  <c r="M96" i="3" s="1" a="1"/>
  <c r="M96" i="3" s="1"/>
  <c r="A95" i="3" a="1"/>
  <c r="A95" i="3" s="1"/>
  <c r="M95" i="3" s="1" a="1"/>
  <c r="M95" i="3" s="1"/>
  <c r="A94" i="3" a="1"/>
  <c r="A94" i="3" s="1"/>
  <c r="N93" i="3" a="1"/>
  <c r="N93" i="3" s="1"/>
  <c r="J93" i="3"/>
  <c r="I93" i="3"/>
  <c r="G93" i="3"/>
  <c r="E93" i="3"/>
  <c r="A93" i="3" a="1"/>
  <c r="A93" i="3" s="1"/>
  <c r="H93" i="3" s="1"/>
  <c r="A92" i="3" a="1"/>
  <c r="A92" i="3" s="1"/>
  <c r="A91" i="3" a="1"/>
  <c r="A91" i="3" s="1"/>
  <c r="M91" i="3" s="1" a="1"/>
  <c r="M91" i="3" s="1"/>
  <c r="A90" i="3" a="1"/>
  <c r="A90" i="3" s="1"/>
  <c r="A89" i="3" a="1"/>
  <c r="A89" i="3" s="1"/>
  <c r="B89" i="3" s="1"/>
  <c r="A88" i="3" a="1"/>
  <c r="A88" i="3" s="1"/>
  <c r="D88" i="3" s="1"/>
  <c r="A87" i="3" a="1"/>
  <c r="A87" i="3" s="1"/>
  <c r="K87" i="3" s="1"/>
  <c r="A86" i="3" a="1"/>
  <c r="A86" i="3" s="1"/>
  <c r="M86" i="3" s="1" a="1"/>
  <c r="M86" i="3" s="1"/>
  <c r="A85" i="3" a="1"/>
  <c r="A85" i="3" s="1"/>
  <c r="M85" i="3" s="1" a="1"/>
  <c r="M85" i="3" s="1"/>
  <c r="A84" i="3" a="1"/>
  <c r="A84" i="3" s="1"/>
  <c r="M84" i="3" s="1" a="1"/>
  <c r="M84" i="3" s="1"/>
  <c r="A83" i="3" a="1"/>
  <c r="A83" i="3" s="1"/>
  <c r="A82" i="3" a="1"/>
  <c r="A82" i="3" s="1"/>
  <c r="M82" i="3" s="1" a="1"/>
  <c r="M82" i="3" s="1"/>
  <c r="A81" i="3" a="1"/>
  <c r="A81" i="3" s="1"/>
  <c r="P81" i="3" s="1"/>
  <c r="A80" i="3" a="1"/>
  <c r="A80" i="3" s="1"/>
  <c r="E80" i="3" s="1"/>
  <c r="A79" i="3" a="1"/>
  <c r="A79" i="3" s="1"/>
  <c r="A78" i="3" a="1"/>
  <c r="A78" i="3" s="1"/>
  <c r="F78" i="3" s="1"/>
  <c r="A77" i="3" a="1"/>
  <c r="A77" i="3" s="1"/>
  <c r="O77" i="3" s="1" a="1"/>
  <c r="O77" i="3" s="1"/>
  <c r="A76" i="3" a="1"/>
  <c r="A76" i="3" s="1"/>
  <c r="A75" i="3" a="1"/>
  <c r="A75" i="3" s="1"/>
  <c r="M75" i="3" s="1" a="1"/>
  <c r="M75" i="3" s="1"/>
  <c r="A74" i="3" a="1"/>
  <c r="A74" i="3" s="1"/>
  <c r="A73" i="3" a="1"/>
  <c r="A73" i="3" s="1"/>
  <c r="K73" i="3" s="1"/>
  <c r="A72" i="3" a="1"/>
  <c r="A72" i="3" s="1"/>
  <c r="O72" i="3" s="1" a="1"/>
  <c r="O72" i="3" s="1"/>
  <c r="A71" i="3" a="1"/>
  <c r="A71" i="3" s="1"/>
  <c r="A70" i="3" a="1"/>
  <c r="A70" i="3" s="1"/>
  <c r="M70" i="3" s="1" a="1"/>
  <c r="M70" i="3" s="1"/>
  <c r="A69" i="3"/>
  <c r="M69" i="3" s="1" a="1"/>
  <c r="M69" i="3" s="1"/>
  <c r="A69" i="3" a="1"/>
  <c r="A68" i="3" a="1"/>
  <c r="A68" i="3" s="1"/>
  <c r="M68" i="3" s="1" a="1"/>
  <c r="M68" i="3" s="1"/>
  <c r="A67" i="3" a="1"/>
  <c r="A67" i="3" s="1"/>
  <c r="M67" i="3" s="1" a="1"/>
  <c r="M67" i="3" s="1"/>
  <c r="A66" i="3" a="1"/>
  <c r="A66" i="3" s="1"/>
  <c r="P66" i="3" s="1"/>
  <c r="A65" i="3" a="1"/>
  <c r="A65" i="3" s="1"/>
  <c r="I65" i="3" s="1"/>
  <c r="A64" i="3" a="1"/>
  <c r="A64" i="3" s="1"/>
  <c r="A63" i="3" a="1"/>
  <c r="A63" i="3" s="1"/>
  <c r="A62" i="3" a="1"/>
  <c r="A62" i="3" s="1"/>
  <c r="M62" i="3" s="1" a="1"/>
  <c r="M62" i="3" s="1"/>
  <c r="A61" i="3" a="1"/>
  <c r="A61" i="3" s="1"/>
  <c r="P61" i="3" s="1"/>
  <c r="A60" i="3" a="1"/>
  <c r="A60" i="3" s="1"/>
  <c r="M60" i="3" s="1" a="1"/>
  <c r="M60" i="3" s="1"/>
  <c r="A59" i="3" a="1"/>
  <c r="A59" i="3" s="1"/>
  <c r="A58" i="3" a="1"/>
  <c r="A58" i="3" s="1"/>
  <c r="M58" i="3" s="1" a="1"/>
  <c r="M58" i="3" s="1"/>
  <c r="A57" i="3" a="1"/>
  <c r="A57" i="3" s="1"/>
  <c r="A56" i="3" a="1"/>
  <c r="A56" i="3" s="1"/>
  <c r="L56" i="3" s="1" a="1"/>
  <c r="L56" i="3" s="1"/>
  <c r="A55" i="3" a="1"/>
  <c r="A55" i="3" s="1"/>
  <c r="M55" i="3" s="1" a="1"/>
  <c r="M55" i="3" s="1"/>
  <c r="A54" i="3" a="1"/>
  <c r="A54" i="3" s="1"/>
  <c r="I54" i="3" s="1"/>
  <c r="A53" i="3" a="1"/>
  <c r="A53" i="3" s="1"/>
  <c r="M53" i="3" s="1" a="1"/>
  <c r="M53" i="3" s="1"/>
  <c r="A52" i="3" a="1"/>
  <c r="A52" i="3" s="1"/>
  <c r="L52" i="3" s="1" a="1"/>
  <c r="L52" i="3" s="1"/>
  <c r="A51" i="3" a="1"/>
  <c r="A51" i="3" s="1"/>
  <c r="E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A45" i="3" a="1"/>
  <c r="A45" i="3" s="1"/>
  <c r="A44" i="3" a="1"/>
  <c r="A44" i="3" s="1"/>
  <c r="A43" i="3" a="1"/>
  <c r="A43" i="3" s="1"/>
  <c r="A42" i="3" a="1"/>
  <c r="A42" i="3" s="1"/>
  <c r="A41" i="3" a="1"/>
  <c r="A41" i="3" s="1"/>
  <c r="A40" i="3" a="1"/>
  <c r="A40" i="3" s="1"/>
  <c r="A39" i="3" a="1"/>
  <c r="A39" i="3" s="1"/>
  <c r="A38" i="3" a="1"/>
  <c r="A38" i="3" s="1"/>
  <c r="A37" i="3" a="1"/>
  <c r="A37" i="3" s="1"/>
  <c r="D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 s="1"/>
  <c r="D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 s="1"/>
  <c r="A16" i="3" a="1"/>
  <c r="A16" i="3" s="1"/>
  <c r="D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E2" i="3" s="1"/>
  <c r="J106" i="3" l="1"/>
  <c r="K106" i="3"/>
  <c r="H106" i="3"/>
  <c r="P187" i="3"/>
  <c r="M187" i="3" a="1"/>
  <c r="M187" i="3" s="1"/>
  <c r="K103" i="3"/>
  <c r="H103" i="3"/>
  <c r="I103" i="3"/>
  <c r="F103" i="3"/>
  <c r="M103" i="3" a="1"/>
  <c r="M103" i="3" s="1"/>
  <c r="O103" i="3" a="1"/>
  <c r="O103" i="3" s="1"/>
  <c r="N103" i="3" a="1"/>
  <c r="N103" i="3" s="1"/>
  <c r="J103" i="3"/>
  <c r="L103" i="3" a="1"/>
  <c r="L103" i="3" s="1"/>
  <c r="G103" i="3"/>
  <c r="E103" i="3"/>
  <c r="O94" i="3" a="1"/>
  <c r="O94" i="3" s="1"/>
  <c r="M94" i="3" a="1"/>
  <c r="M94" i="3" s="1"/>
  <c r="P94" i="3"/>
  <c r="P79" i="3"/>
  <c r="M79" i="3" a="1"/>
  <c r="M79" i="3" s="1"/>
  <c r="G63" i="3"/>
  <c r="K63" i="3"/>
  <c r="I63" i="3"/>
  <c r="H63" i="3"/>
  <c r="F63" i="3"/>
  <c r="M63" i="3" a="1"/>
  <c r="M63" i="3" s="1"/>
  <c r="J63" i="3"/>
  <c r="M185" i="3" a="1"/>
  <c r="M185" i="3" s="1"/>
  <c r="D185" i="3"/>
  <c r="C185" i="3"/>
  <c r="F185" i="3"/>
  <c r="E185" i="3"/>
  <c r="G185" i="3"/>
  <c r="I128" i="3"/>
  <c r="C192" i="3"/>
  <c r="B2" i="3"/>
  <c r="K192" i="3"/>
  <c r="H73" i="3"/>
  <c r="D110" i="3"/>
  <c r="L128" i="3" a="1"/>
  <c r="L128" i="3" s="1"/>
  <c r="N128" i="3" a="1"/>
  <c r="N128" i="3" s="1"/>
  <c r="K166" i="3"/>
  <c r="M175" i="3" a="1"/>
  <c r="M175" i="3" s="1"/>
  <c r="I2" i="3"/>
  <c r="G108" i="3"/>
  <c r="J110" i="3"/>
  <c r="F117" i="3"/>
  <c r="I123" i="3"/>
  <c r="H130" i="3"/>
  <c r="I137" i="3"/>
  <c r="H145" i="3"/>
  <c r="B164" i="3"/>
  <c r="O178" i="3" a="1"/>
  <c r="O178" i="3" s="1"/>
  <c r="P188" i="3"/>
  <c r="M81" i="3" a="1"/>
  <c r="M81" i="3" s="1"/>
  <c r="E102" i="3"/>
  <c r="M61" i="3" a="1"/>
  <c r="M61" i="3" s="1"/>
  <c r="C110" i="3"/>
  <c r="I120" i="3"/>
  <c r="D2" i="3"/>
  <c r="H151" i="3"/>
  <c r="M118" i="3" a="1"/>
  <c r="M118" i="3" s="1"/>
  <c r="J166" i="3"/>
  <c r="C178" i="3"/>
  <c r="I163" i="3"/>
  <c r="K2" i="3"/>
  <c r="I100" i="3"/>
  <c r="H108" i="3"/>
  <c r="K110" i="3"/>
  <c r="G117" i="3"/>
  <c r="J123" i="3"/>
  <c r="I130" i="3"/>
  <c r="J137" i="3"/>
  <c r="B155" i="3"/>
  <c r="D164" i="3"/>
  <c r="M88" i="3" a="1"/>
  <c r="M88" i="3" s="1"/>
  <c r="D109" i="3"/>
  <c r="E110" i="3"/>
  <c r="F110" i="3"/>
  <c r="M123" i="3" a="1"/>
  <c r="M123" i="3" s="1"/>
  <c r="E117" i="3"/>
  <c r="H123" i="3"/>
  <c r="G145" i="3"/>
  <c r="M130" i="3" a="1"/>
  <c r="M130" i="3" s="1"/>
  <c r="D93" i="3"/>
  <c r="J100" i="3"/>
  <c r="I108" i="3"/>
  <c r="L110" i="3" a="1"/>
  <c r="L110" i="3" s="1"/>
  <c r="H117" i="3"/>
  <c r="O123" i="3" a="1"/>
  <c r="O123" i="3" s="1"/>
  <c r="J130" i="3"/>
  <c r="L137" i="3" a="1"/>
  <c r="L137" i="3" s="1"/>
  <c r="J155" i="3"/>
  <c r="F164" i="3"/>
  <c r="I199" i="3"/>
  <c r="M134" i="3" a="1"/>
  <c r="M134" i="3" s="1"/>
  <c r="M188" i="3" a="1"/>
  <c r="M188" i="3" s="1"/>
  <c r="D192" i="3"/>
  <c r="K161" i="3"/>
  <c r="G166" i="3"/>
  <c r="J73" i="3"/>
  <c r="H166" i="3"/>
  <c r="G2" i="3"/>
  <c r="C108" i="3"/>
  <c r="D178" i="3"/>
  <c r="J2" i="3"/>
  <c r="I110" i="3"/>
  <c r="F137" i="3"/>
  <c r="M178" i="3" a="1"/>
  <c r="M178" i="3" s="1"/>
  <c r="N100" i="3" a="1"/>
  <c r="N100" i="3" s="1"/>
  <c r="J108" i="3"/>
  <c r="I117" i="3"/>
  <c r="P130" i="3"/>
  <c r="N137" i="3" a="1"/>
  <c r="N137" i="3" s="1"/>
  <c r="K155" i="3"/>
  <c r="G164" i="3"/>
  <c r="F190" i="3"/>
  <c r="M98" i="3" a="1"/>
  <c r="M98" i="3" s="1"/>
  <c r="M191" i="3" a="1"/>
  <c r="M191" i="3" s="1"/>
  <c r="F121" i="3"/>
  <c r="H2" i="3"/>
  <c r="L166" i="3" a="1"/>
  <c r="L166" i="3" s="1"/>
  <c r="F108" i="3"/>
  <c r="F93" i="3"/>
  <c r="P100" i="3"/>
  <c r="C104" i="3"/>
  <c r="K108" i="3"/>
  <c r="N111" i="3" a="1"/>
  <c r="N111" i="3" s="1"/>
  <c r="J117" i="3"/>
  <c r="O137" i="3" a="1"/>
  <c r="O137" i="3" s="1"/>
  <c r="N155" i="3" a="1"/>
  <c r="N155" i="3" s="1"/>
  <c r="H164" i="3"/>
  <c r="M136" i="3" a="1"/>
  <c r="M136" i="3" s="1"/>
  <c r="M192" i="3" a="1"/>
  <c r="M192" i="3" s="1"/>
  <c r="J128" i="3"/>
  <c r="J161" i="3"/>
  <c r="L192" i="3" a="1"/>
  <c r="L192" i="3" s="1"/>
  <c r="O128" i="3" a="1"/>
  <c r="O128" i="3" s="1"/>
  <c r="J151" i="3"/>
  <c r="I162" i="3"/>
  <c r="M119" i="3" a="1"/>
  <c r="M119" i="3" s="1"/>
  <c r="G110" i="3"/>
  <c r="D108" i="3"/>
  <c r="H110" i="3"/>
  <c r="B137" i="3"/>
  <c r="L108" i="3" a="1"/>
  <c r="L108" i="3" s="1"/>
  <c r="K117" i="3"/>
  <c r="D148" i="3"/>
  <c r="J164" i="3"/>
  <c r="H172" i="3"/>
  <c r="M100" i="3" a="1"/>
  <c r="M100" i="3" s="1"/>
  <c r="M137" i="3" a="1"/>
  <c r="M137" i="3" s="1"/>
  <c r="K128" i="3"/>
  <c r="C2" i="3"/>
  <c r="F2" i="3" s="1"/>
  <c r="D117" i="3"/>
  <c r="N108" i="3" a="1"/>
  <c r="N108" i="3" s="1"/>
  <c r="L117" i="3" a="1"/>
  <c r="L117" i="3" s="1"/>
  <c r="E148" i="3"/>
  <c r="K164" i="3"/>
  <c r="N172" i="3" a="1"/>
  <c r="N172" i="3" s="1"/>
  <c r="M101" i="3" a="1"/>
  <c r="M101" i="3" s="1"/>
  <c r="M196" i="3" a="1"/>
  <c r="M196" i="3" s="1"/>
  <c r="D32" i="3"/>
  <c r="G32" i="3" s="1"/>
  <c r="E32" i="3"/>
  <c r="C32" i="3"/>
  <c r="F32" i="3" s="1"/>
  <c r="L149" i="3" a="1"/>
  <c r="L149" i="3" s="1"/>
  <c r="J149" i="3"/>
  <c r="I149" i="3"/>
  <c r="M149" i="3" a="1"/>
  <c r="M149" i="3" s="1"/>
  <c r="H149" i="3"/>
  <c r="C194" i="3"/>
  <c r="O194" i="3" a="1"/>
  <c r="O194" i="3" s="1"/>
  <c r="H194" i="3"/>
  <c r="G194" i="3"/>
  <c r="D194" i="3"/>
  <c r="I194" i="3"/>
  <c r="M194" i="3" a="1"/>
  <c r="M194" i="3" s="1"/>
  <c r="F194" i="3"/>
  <c r="E194" i="3"/>
  <c r="L74" i="3" a="1"/>
  <c r="L74" i="3" s="1"/>
  <c r="M74" i="3" a="1"/>
  <c r="M74" i="3" s="1"/>
  <c r="K74" i="3"/>
  <c r="J74" i="3"/>
  <c r="G74" i="3"/>
  <c r="I74" i="3"/>
  <c r="H74" i="3"/>
  <c r="F74" i="3"/>
  <c r="E74" i="3"/>
  <c r="D74" i="3"/>
  <c r="C74" i="3"/>
  <c r="P74" i="3"/>
  <c r="M92" i="3" a="1"/>
  <c r="M92" i="3" s="1"/>
  <c r="I92" i="3"/>
  <c r="L92" i="3" a="1"/>
  <c r="L92" i="3" s="1"/>
  <c r="K92" i="3"/>
  <c r="J92" i="3"/>
  <c r="H92" i="3"/>
  <c r="G92" i="3"/>
  <c r="F92" i="3"/>
  <c r="E92" i="3"/>
  <c r="D92" i="3"/>
  <c r="C92" i="3"/>
  <c r="B92" i="3"/>
  <c r="M157" i="3" a="1"/>
  <c r="M157" i="3" s="1"/>
  <c r="L157" i="3" a="1"/>
  <c r="L157" i="3" s="1"/>
  <c r="E157" i="3"/>
  <c r="L167" i="3" a="1"/>
  <c r="L167" i="3" s="1"/>
  <c r="N124" i="3" a="1"/>
  <c r="N124" i="3" s="1"/>
  <c r="M124" i="3" a="1"/>
  <c r="M124" i="3" s="1"/>
  <c r="J70" i="3"/>
  <c r="I114" i="3"/>
  <c r="L169" i="3" a="1"/>
  <c r="L169" i="3" s="1"/>
  <c r="B169" i="3"/>
  <c r="L70" i="3" a="1"/>
  <c r="L70" i="3" s="1"/>
  <c r="N153" i="3" a="1"/>
  <c r="N153" i="3" s="1"/>
  <c r="K56" i="3"/>
  <c r="E65" i="3"/>
  <c r="D65" i="3"/>
  <c r="C65" i="3"/>
  <c r="B65" i="3"/>
  <c r="M65" i="3" a="1"/>
  <c r="M65" i="3" s="1"/>
  <c r="J75" i="3"/>
  <c r="M114" i="3" a="1"/>
  <c r="M114" i="3" s="1"/>
  <c r="F65" i="3"/>
  <c r="O70" i="3" a="1"/>
  <c r="O70" i="3" s="1"/>
  <c r="P75" i="3"/>
  <c r="K90" i="3"/>
  <c r="J90" i="3"/>
  <c r="I90" i="3"/>
  <c r="M90" i="3" a="1"/>
  <c r="M90" i="3" s="1"/>
  <c r="H90" i="3"/>
  <c r="D127" i="3"/>
  <c r="P153" i="3"/>
  <c r="L190" i="3" a="1"/>
  <c r="L190" i="3" s="1"/>
  <c r="N190" i="3" a="1"/>
  <c r="N190" i="3" s="1"/>
  <c r="E56" i="3"/>
  <c r="C56" i="3"/>
  <c r="M56" i="3" a="1"/>
  <c r="M56" i="3" s="1"/>
  <c r="D56" i="3"/>
  <c r="O152" i="3" a="1"/>
  <c r="O152" i="3" s="1"/>
  <c r="N152" i="3" a="1"/>
  <c r="N152" i="3" s="1"/>
  <c r="L152" i="3" a="1"/>
  <c r="L152" i="3" s="1"/>
  <c r="H152" i="3"/>
  <c r="K152" i="3"/>
  <c r="J152" i="3"/>
  <c r="F152" i="3"/>
  <c r="D152" i="3"/>
  <c r="O167" i="3" a="1"/>
  <c r="O167" i="3" s="1"/>
  <c r="E114" i="3"/>
  <c r="H114" i="3"/>
  <c r="I56" i="3"/>
  <c r="E134" i="3"/>
  <c r="L153" i="3" a="1"/>
  <c r="L153" i="3" s="1"/>
  <c r="I121" i="3"/>
  <c r="N121" i="3" a="1"/>
  <c r="N121" i="3" s="1"/>
  <c r="M121" i="3" a="1"/>
  <c r="M121" i="3" s="1"/>
  <c r="L121" i="3" a="1"/>
  <c r="L121" i="3" s="1"/>
  <c r="M57" i="3" a="1"/>
  <c r="M57" i="3" s="1"/>
  <c r="P57" i="3"/>
  <c r="G65" i="3"/>
  <c r="P70" i="3"/>
  <c r="C102" i="3"/>
  <c r="M102" i="3" a="1"/>
  <c r="M102" i="3" s="1"/>
  <c r="I102" i="3"/>
  <c r="L102" i="3" a="1"/>
  <c r="L102" i="3" s="1"/>
  <c r="N102" i="3" a="1"/>
  <c r="N102" i="3" s="1"/>
  <c r="O102" i="3" a="1"/>
  <c r="O102" i="3" s="1"/>
  <c r="K102" i="3"/>
  <c r="J102" i="3"/>
  <c r="D121" i="3"/>
  <c r="N154" i="3" a="1"/>
  <c r="N154" i="3" s="1"/>
  <c r="I154" i="3"/>
  <c r="O154" i="3" a="1"/>
  <c r="O154" i="3" s="1"/>
  <c r="L154" i="3" a="1"/>
  <c r="L154" i="3" s="1"/>
  <c r="K154" i="3"/>
  <c r="J154" i="3"/>
  <c r="M165" i="3" a="1"/>
  <c r="M165" i="3" s="1"/>
  <c r="J165" i="3"/>
  <c r="K165" i="3"/>
  <c r="L165" i="3" a="1"/>
  <c r="L165" i="3" s="1"/>
  <c r="G165" i="3"/>
  <c r="I165" i="3"/>
  <c r="H165" i="3"/>
  <c r="F165" i="3"/>
  <c r="M181" i="3" a="1"/>
  <c r="M181" i="3" s="1"/>
  <c r="L181" i="3" a="1"/>
  <c r="L181" i="3" s="1"/>
  <c r="I181" i="3"/>
  <c r="O181" i="3" a="1"/>
  <c r="O181" i="3" s="1"/>
  <c r="N181" i="3" a="1"/>
  <c r="N181" i="3" s="1"/>
  <c r="H181" i="3"/>
  <c r="K181" i="3"/>
  <c r="J181" i="3"/>
  <c r="M199" i="3" a="1"/>
  <c r="M199" i="3" s="1"/>
  <c r="N199" i="3" a="1"/>
  <c r="N199" i="3" s="1"/>
  <c r="L199" i="3" a="1"/>
  <c r="L199" i="3" s="1"/>
  <c r="O199" i="3" a="1"/>
  <c r="O199" i="3" s="1"/>
  <c r="M150" i="3" a="1"/>
  <c r="M150" i="3" s="1"/>
  <c r="E158" i="3"/>
  <c r="M158" i="3" a="1"/>
  <c r="M158" i="3" s="1"/>
  <c r="P158" i="3"/>
  <c r="O158" i="3" a="1"/>
  <c r="O158" i="3" s="1"/>
  <c r="G56" i="3"/>
  <c r="G75" i="3"/>
  <c r="M129" i="3" a="1"/>
  <c r="M129" i="3" s="1"/>
  <c r="L129" i="3" a="1"/>
  <c r="L129" i="3" s="1"/>
  <c r="N129" i="3" a="1"/>
  <c r="N129" i="3" s="1"/>
  <c r="K129" i="3"/>
  <c r="H129" i="3"/>
  <c r="E129" i="3"/>
  <c r="J129" i="3"/>
  <c r="I129" i="3"/>
  <c r="G129" i="3"/>
  <c r="F129" i="3"/>
  <c r="I75" i="3"/>
  <c r="N70" i="3" a="1"/>
  <c r="N70" i="3" s="1"/>
  <c r="B127" i="3"/>
  <c r="N127" i="3" a="1"/>
  <c r="N127" i="3" s="1"/>
  <c r="M127" i="3" a="1"/>
  <c r="M127" i="3" s="1"/>
  <c r="P127" i="3"/>
  <c r="O127" i="3" a="1"/>
  <c r="O127" i="3" s="1"/>
  <c r="O153" i="3" a="1"/>
  <c r="O153" i="3" s="1"/>
  <c r="H65" i="3"/>
  <c r="O71" i="3" a="1"/>
  <c r="O71" i="3" s="1"/>
  <c r="M71" i="3" a="1"/>
  <c r="M71" i="3" s="1"/>
  <c r="B102" i="3"/>
  <c r="E121" i="3"/>
  <c r="G127" i="3"/>
  <c r="H162" i="3"/>
  <c r="B165" i="3"/>
  <c r="I190" i="3"/>
  <c r="H199" i="3"/>
  <c r="M80" i="3" a="1"/>
  <c r="M80" i="3" s="1"/>
  <c r="M151" i="3" a="1"/>
  <c r="M151" i="3" s="1"/>
  <c r="P186" i="3"/>
  <c r="O186" i="3" a="1"/>
  <c r="O186" i="3" s="1"/>
  <c r="N186" i="3" a="1"/>
  <c r="N186" i="3" s="1"/>
  <c r="K70" i="3"/>
  <c r="H75" i="3"/>
  <c r="J125" i="3"/>
  <c r="D54" i="3"/>
  <c r="K54" i="3"/>
  <c r="M54" i="3" a="1"/>
  <c r="M54" i="3" s="1"/>
  <c r="O54" i="3" a="1"/>
  <c r="O54" i="3" s="1"/>
  <c r="N54" i="3" a="1"/>
  <c r="N54" i="3" s="1"/>
  <c r="L54" i="3" a="1"/>
  <c r="L54" i="3" s="1"/>
  <c r="M152" i="3" a="1"/>
  <c r="M152" i="3" s="1"/>
  <c r="E8" i="3"/>
  <c r="D8" i="3"/>
  <c r="G8" i="3" s="1"/>
  <c r="E54" i="3"/>
  <c r="K95" i="3"/>
  <c r="F54" i="3"/>
  <c r="K65" i="3"/>
  <c r="F73" i="3"/>
  <c r="M73" i="3" a="1"/>
  <c r="M73" i="3" s="1"/>
  <c r="L95" i="3" a="1"/>
  <c r="L95" i="3" s="1"/>
  <c r="F102" i="3"/>
  <c r="H121" i="3"/>
  <c r="J127" i="3"/>
  <c r="N145" i="3" a="1"/>
  <c r="N145" i="3" s="1"/>
  <c r="N150" i="3" a="1"/>
  <c r="N150" i="3" s="1"/>
  <c r="F163" i="3"/>
  <c r="G174" i="3"/>
  <c r="K174" i="3"/>
  <c r="J174" i="3"/>
  <c r="M174" i="3" a="1"/>
  <c r="M174" i="3" s="1"/>
  <c r="F174" i="3"/>
  <c r="I174" i="3"/>
  <c r="H174" i="3"/>
  <c r="K199" i="3"/>
  <c r="M154" i="3" a="1"/>
  <c r="M154" i="3" s="1"/>
  <c r="M190" i="3" a="1"/>
  <c r="M190" i="3" s="1"/>
  <c r="P83" i="3"/>
  <c r="M83" i="3" a="1"/>
  <c r="M83" i="3" s="1"/>
  <c r="F56" i="3"/>
  <c r="I127" i="3"/>
  <c r="G54" i="3"/>
  <c r="L65" i="3" a="1"/>
  <c r="L65" i="3" s="1"/>
  <c r="N95" i="3" a="1"/>
  <c r="N95" i="3" s="1"/>
  <c r="G102" i="3"/>
  <c r="L106" i="3" a="1"/>
  <c r="L106" i="3" s="1"/>
  <c r="M106" i="3" a="1"/>
  <c r="M106" i="3" s="1"/>
  <c r="N106" i="3" a="1"/>
  <c r="N106" i="3" s="1"/>
  <c r="K127" i="3"/>
  <c r="I132" i="3"/>
  <c r="P132" i="3"/>
  <c r="O132" i="3" a="1"/>
  <c r="O132" i="3" s="1"/>
  <c r="N132" i="3" a="1"/>
  <c r="N132" i="3" s="1"/>
  <c r="L132" i="3" a="1"/>
  <c r="L132" i="3" s="1"/>
  <c r="J132" i="3"/>
  <c r="H132" i="3"/>
  <c r="G132" i="3"/>
  <c r="F132" i="3"/>
  <c r="M146" i="3" a="1"/>
  <c r="M146" i="3" s="1"/>
  <c r="I146" i="3"/>
  <c r="H146" i="3"/>
  <c r="D174" i="3"/>
  <c r="K114" i="3"/>
  <c r="N114" i="3" a="1"/>
  <c r="N114" i="3" s="1"/>
  <c r="L114" i="3" a="1"/>
  <c r="L114" i="3" s="1"/>
  <c r="O125" i="3" a="1"/>
  <c r="O125" i="3" s="1"/>
  <c r="M125" i="3" a="1"/>
  <c r="M125" i="3" s="1"/>
  <c r="N125" i="3" a="1"/>
  <c r="N125" i="3" s="1"/>
  <c r="L125" i="3" a="1"/>
  <c r="L125" i="3" s="1"/>
  <c r="K125" i="3"/>
  <c r="D158" i="3"/>
  <c r="P167" i="3"/>
  <c r="H56" i="3"/>
  <c r="J56" i="3"/>
  <c r="D129" i="3"/>
  <c r="D72" i="3"/>
  <c r="N72" i="3" a="1"/>
  <c r="N72" i="3" s="1"/>
  <c r="H72" i="3"/>
  <c r="L72" i="3" a="1"/>
  <c r="L72" i="3" s="1"/>
  <c r="K72" i="3"/>
  <c r="G72" i="3"/>
  <c r="M72" i="3" a="1"/>
  <c r="M72" i="3" s="1"/>
  <c r="J72" i="3"/>
  <c r="I72" i="3"/>
  <c r="F72" i="3"/>
  <c r="E72" i="3"/>
  <c r="J65" i="3"/>
  <c r="G121" i="3"/>
  <c r="L150" i="3" a="1"/>
  <c r="L150" i="3" s="1"/>
  <c r="J150" i="3"/>
  <c r="H150" i="3"/>
  <c r="G150" i="3"/>
  <c r="D150" i="3"/>
  <c r="F150" i="3"/>
  <c r="E150" i="3"/>
  <c r="C150" i="3"/>
  <c r="B150" i="3"/>
  <c r="M163" i="3" a="1"/>
  <c r="M163" i="3" s="1"/>
  <c r="K163" i="3"/>
  <c r="J163" i="3"/>
  <c r="L163" i="3" a="1"/>
  <c r="L163" i="3" s="1"/>
  <c r="H54" i="3"/>
  <c r="P65" i="3"/>
  <c r="I73" i="3"/>
  <c r="O95" i="3" a="1"/>
  <c r="O95" i="3" s="1"/>
  <c r="H102" i="3"/>
  <c r="G106" i="3"/>
  <c r="L127" i="3" a="1"/>
  <c r="L127" i="3" s="1"/>
  <c r="E132" i="3"/>
  <c r="F146" i="3"/>
  <c r="P150" i="3"/>
  <c r="H163" i="3"/>
  <c r="E174" i="3"/>
  <c r="P152" i="3"/>
  <c r="D63" i="3"/>
  <c r="O63" i="3" a="1"/>
  <c r="O63" i="3" s="1"/>
  <c r="N63" i="3" a="1"/>
  <c r="N63" i="3" s="1"/>
  <c r="L63" i="3" a="1"/>
  <c r="L63" i="3" s="1"/>
  <c r="J54" i="3"/>
  <c r="E63" i="3"/>
  <c r="M93" i="3" a="1"/>
  <c r="M93" i="3" s="1"/>
  <c r="C93" i="3"/>
  <c r="O93" i="3" a="1"/>
  <c r="O93" i="3" s="1"/>
  <c r="P93" i="3"/>
  <c r="I106" i="3"/>
  <c r="N138" i="3" a="1"/>
  <c r="N138" i="3" s="1"/>
  <c r="L138" i="3" a="1"/>
  <c r="L138" i="3" s="1"/>
  <c r="K138" i="3"/>
  <c r="M138" i="3" a="1"/>
  <c r="M138" i="3" s="1"/>
  <c r="J138" i="3"/>
  <c r="C151" i="3"/>
  <c r="M132" i="3" a="1"/>
  <c r="M132" i="3" s="1"/>
  <c r="J66" i="3"/>
  <c r="F77" i="3"/>
  <c r="F118" i="3"/>
  <c r="M139" i="3" a="1"/>
  <c r="M139" i="3" s="1"/>
  <c r="O66" i="3" a="1"/>
  <c r="O66" i="3" s="1"/>
  <c r="H77" i="3"/>
  <c r="B104" i="3"/>
  <c r="C109" i="3"/>
  <c r="G118" i="3"/>
  <c r="H191" i="3"/>
  <c r="M104" i="3" a="1"/>
  <c r="M104" i="3" s="1"/>
  <c r="M122" i="3" a="1"/>
  <c r="M122" i="3" s="1"/>
  <c r="E104" i="3"/>
  <c r="E109" i="3"/>
  <c r="J191" i="3"/>
  <c r="M52" i="3" a="1"/>
  <c r="M52" i="3" s="1"/>
  <c r="C51" i="3"/>
  <c r="F51" i="3" s="1"/>
  <c r="N61" i="3" a="1"/>
  <c r="N61" i="3" s="1"/>
  <c r="F94" i="3"/>
  <c r="K100" i="3"/>
  <c r="F104" i="3"/>
  <c r="F109" i="3"/>
  <c r="J118" i="3"/>
  <c r="L122" i="3" a="1"/>
  <c r="L122" i="3" s="1"/>
  <c r="B126" i="3"/>
  <c r="D128" i="3"/>
  <c r="G137" i="3"/>
  <c r="F148" i="3"/>
  <c r="E164" i="3"/>
  <c r="O170" i="3" a="1"/>
  <c r="O170" i="3" s="1"/>
  <c r="N187" i="3" a="1"/>
  <c r="N187" i="3" s="1"/>
  <c r="K191" i="3"/>
  <c r="M89" i="3" a="1"/>
  <c r="M89" i="3" s="1"/>
  <c r="M107" i="3" a="1"/>
  <c r="M107" i="3" s="1"/>
  <c r="M66" i="3" a="1"/>
  <c r="M66" i="3" s="1"/>
  <c r="I77" i="3"/>
  <c r="M87" i="3" a="1"/>
  <c r="M87" i="3" s="1"/>
  <c r="B51" i="3"/>
  <c r="K51" i="3" s="1"/>
  <c r="K122" i="3"/>
  <c r="B128" i="3"/>
  <c r="L187" i="3" a="1"/>
  <c r="L187" i="3" s="1"/>
  <c r="O61" i="3" a="1"/>
  <c r="O61" i="3" s="1"/>
  <c r="G94" i="3"/>
  <c r="G104" i="3"/>
  <c r="B108" i="3"/>
  <c r="G109" i="3"/>
  <c r="D113" i="3"/>
  <c r="C117" i="3"/>
  <c r="K118" i="3"/>
  <c r="N122" i="3" a="1"/>
  <c r="N122" i="3" s="1"/>
  <c r="K126" i="3"/>
  <c r="E128" i="3"/>
  <c r="H137" i="3"/>
  <c r="G148" i="3"/>
  <c r="O187" i="3" a="1"/>
  <c r="O187" i="3" s="1"/>
  <c r="L191" i="3" a="1"/>
  <c r="L191" i="3" s="1"/>
  <c r="M108" i="3" a="1"/>
  <c r="M108" i="3" s="1"/>
  <c r="E94" i="3"/>
  <c r="I118" i="3"/>
  <c r="H104" i="3"/>
  <c r="F128" i="3"/>
  <c r="M109" i="3" a="1"/>
  <c r="M109" i="3" s="1"/>
  <c r="H94" i="3"/>
  <c r="L118" i="3" a="1"/>
  <c r="L118" i="3" s="1"/>
  <c r="P52" i="3"/>
  <c r="E79" i="3"/>
  <c r="N94" i="3" a="1"/>
  <c r="N94" i="3" s="1"/>
  <c r="C103" i="3"/>
  <c r="I109" i="3"/>
  <c r="G128" i="3"/>
  <c r="M128" i="3" a="1"/>
  <c r="M128" i="3" s="1"/>
  <c r="M164" i="3" a="1"/>
  <c r="M164" i="3" s="1"/>
  <c r="D103" i="3"/>
  <c r="E108" i="3"/>
  <c r="F53" i="3"/>
  <c r="E53" i="3"/>
  <c r="D53" i="3"/>
  <c r="C53" i="3"/>
  <c r="B53" i="3"/>
  <c r="L53" i="3" a="1"/>
  <c r="L53" i="3" s="1"/>
  <c r="K53" i="3"/>
  <c r="J53" i="3"/>
  <c r="I53" i="3"/>
  <c r="H53" i="3"/>
  <c r="G53" i="3"/>
  <c r="P53" i="3"/>
  <c r="N53" i="3" a="1"/>
  <c r="N53" i="3" s="1"/>
  <c r="O53" i="3" a="1"/>
  <c r="O53" i="3" s="1"/>
  <c r="D15" i="3"/>
  <c r="G15" i="3" s="1"/>
  <c r="B15" i="3"/>
  <c r="J15" i="3" s="1"/>
  <c r="E15" i="3"/>
  <c r="H15" i="3" s="1"/>
  <c r="C15" i="3"/>
  <c r="F15" i="3" s="1"/>
  <c r="E35" i="3"/>
  <c r="H35" i="3" s="1"/>
  <c r="D35" i="3"/>
  <c r="G35" i="3" s="1"/>
  <c r="C35" i="3"/>
  <c r="F35" i="3" s="1"/>
  <c r="B35" i="3"/>
  <c r="J35" i="3" s="1"/>
  <c r="B39" i="3"/>
  <c r="J39" i="3" s="1"/>
  <c r="E39" i="3"/>
  <c r="H39" i="3" s="1"/>
  <c r="D39" i="3"/>
  <c r="G39" i="3" s="1"/>
  <c r="C39" i="3"/>
  <c r="F39" i="3" s="1"/>
  <c r="E7" i="3"/>
  <c r="H7" i="3" s="1"/>
  <c r="D7" i="3"/>
  <c r="G7" i="3" s="1"/>
  <c r="C7" i="3"/>
  <c r="F7" i="3" s="1"/>
  <c r="B7" i="3"/>
  <c r="I7" i="3" s="1"/>
  <c r="G198" i="3"/>
  <c r="F198" i="3"/>
  <c r="E198" i="3"/>
  <c r="D198" i="3"/>
  <c r="C198" i="3"/>
  <c r="B198" i="3"/>
  <c r="P198" i="3"/>
  <c r="O198" i="3" a="1"/>
  <c r="O198" i="3" s="1"/>
  <c r="N198" i="3" a="1"/>
  <c r="N198" i="3" s="1"/>
  <c r="L198" i="3" a="1"/>
  <c r="L198" i="3" s="1"/>
  <c r="K198" i="3"/>
  <c r="J198" i="3"/>
  <c r="I198" i="3"/>
  <c r="H198" i="3"/>
  <c r="E42" i="3"/>
  <c r="H42" i="3" s="1"/>
  <c r="D42" i="3"/>
  <c r="G42" i="3" s="1"/>
  <c r="C42" i="3"/>
  <c r="F42" i="3" s="1"/>
  <c r="B42" i="3"/>
  <c r="K42" i="3" s="1"/>
  <c r="L67" i="3" a="1"/>
  <c r="L67" i="3" s="1"/>
  <c r="K67" i="3"/>
  <c r="J67" i="3"/>
  <c r="I67" i="3"/>
  <c r="N67" i="3" a="1"/>
  <c r="N67" i="3" s="1"/>
  <c r="H67" i="3"/>
  <c r="G67" i="3"/>
  <c r="F67" i="3"/>
  <c r="E67" i="3"/>
  <c r="D67" i="3"/>
  <c r="B67" i="3"/>
  <c r="C67" i="3"/>
  <c r="P67" i="3"/>
  <c r="O67" i="3" a="1"/>
  <c r="O67" i="3" s="1"/>
  <c r="E28" i="3"/>
  <c r="H28" i="3" s="1"/>
  <c r="D28" i="3"/>
  <c r="G28" i="3" s="1"/>
  <c r="C28" i="3"/>
  <c r="F28" i="3" s="1"/>
  <c r="B28" i="3"/>
  <c r="I28" i="3" s="1"/>
  <c r="D50" i="3"/>
  <c r="G50" i="3" s="1"/>
  <c r="C50" i="3"/>
  <c r="F50" i="3" s="1"/>
  <c r="E50" i="3"/>
  <c r="H50" i="3" s="1"/>
  <c r="B50" i="3"/>
  <c r="K50" i="3" s="1"/>
  <c r="L58" i="3" a="1"/>
  <c r="L58" i="3" s="1"/>
  <c r="K58" i="3"/>
  <c r="J58" i="3"/>
  <c r="I58" i="3"/>
  <c r="H58" i="3"/>
  <c r="G58" i="3"/>
  <c r="F58" i="3"/>
  <c r="E58" i="3"/>
  <c r="D58" i="3"/>
  <c r="C58" i="3"/>
  <c r="O58" i="3" a="1"/>
  <c r="O58" i="3" s="1"/>
  <c r="P58" i="3"/>
  <c r="N58" i="3" a="1"/>
  <c r="N58" i="3" s="1"/>
  <c r="B58" i="3"/>
  <c r="J60" i="3"/>
  <c r="I60" i="3"/>
  <c r="H60" i="3"/>
  <c r="G60" i="3"/>
  <c r="F60" i="3"/>
  <c r="E60" i="3"/>
  <c r="P60" i="3"/>
  <c r="O60" i="3" a="1"/>
  <c r="O60" i="3" s="1"/>
  <c r="N60" i="3" a="1"/>
  <c r="N60" i="3" s="1"/>
  <c r="L60" i="3" a="1"/>
  <c r="L60" i="3" s="1"/>
  <c r="D60" i="3"/>
  <c r="C60" i="3"/>
  <c r="B60" i="3"/>
  <c r="K60" i="3"/>
  <c r="E27" i="3"/>
  <c r="H27" i="3" s="1"/>
  <c r="D27" i="3"/>
  <c r="G27" i="3" s="1"/>
  <c r="C27" i="3"/>
  <c r="F27" i="3" s="1"/>
  <c r="B27" i="3"/>
  <c r="K27" i="3" s="1"/>
  <c r="E48" i="3"/>
  <c r="H48" i="3" s="1"/>
  <c r="C48" i="3"/>
  <c r="F48" i="3" s="1"/>
  <c r="D48" i="3"/>
  <c r="G48" i="3" s="1"/>
  <c r="B48" i="3"/>
  <c r="J48" i="3" s="1"/>
  <c r="D6" i="3"/>
  <c r="E6" i="3"/>
  <c r="H6" i="3" s="1"/>
  <c r="G6" i="3"/>
  <c r="C6" i="3"/>
  <c r="F6" i="3"/>
  <c r="B6" i="3"/>
  <c r="J6" i="3" s="1"/>
  <c r="E19" i="3"/>
  <c r="H19" i="3" s="1"/>
  <c r="D19" i="3"/>
  <c r="G19" i="3" s="1"/>
  <c r="C19" i="3"/>
  <c r="F19" i="3" s="1"/>
  <c r="B19" i="3"/>
  <c r="K19" i="3" s="1"/>
  <c r="N82" i="3" a="1"/>
  <c r="N82" i="3" s="1"/>
  <c r="L82" i="3" a="1"/>
  <c r="L82" i="3" s="1"/>
  <c r="K82" i="3"/>
  <c r="J82" i="3"/>
  <c r="P82" i="3"/>
  <c r="O82" i="3" a="1"/>
  <c r="O82" i="3" s="1"/>
  <c r="I82" i="3"/>
  <c r="H82" i="3"/>
  <c r="G82" i="3"/>
  <c r="F82" i="3"/>
  <c r="D82" i="3"/>
  <c r="E82" i="3"/>
  <c r="G144" i="3"/>
  <c r="E144" i="3"/>
  <c r="C144" i="3"/>
  <c r="L144" i="3" a="1"/>
  <c r="L144" i="3" s="1"/>
  <c r="K144" i="3"/>
  <c r="J144" i="3"/>
  <c r="I144" i="3"/>
  <c r="H144" i="3"/>
  <c r="N144" i="3" a="1"/>
  <c r="N144" i="3" s="1"/>
  <c r="F144" i="3"/>
  <c r="D144" i="3"/>
  <c r="B144" i="3"/>
  <c r="P144" i="3"/>
  <c r="O144" i="3" a="1"/>
  <c r="O144" i="3" s="1"/>
  <c r="E43" i="3"/>
  <c r="H43" i="3" s="1"/>
  <c r="D43" i="3"/>
  <c r="G43" i="3" s="1"/>
  <c r="C43" i="3"/>
  <c r="F43" i="3" s="1"/>
  <c r="B43" i="3"/>
  <c r="K43" i="3" s="1"/>
  <c r="D3" i="3"/>
  <c r="G3" i="3" s="1"/>
  <c r="B3" i="3"/>
  <c r="I3" i="3" s="1"/>
  <c r="C3" i="3"/>
  <c r="F3" i="3" s="1"/>
  <c r="E33" i="3"/>
  <c r="H33" i="3" s="1"/>
  <c r="K84" i="3"/>
  <c r="O84" i="3" a="1"/>
  <c r="O84" i="3" s="1"/>
  <c r="N84" i="3" a="1"/>
  <c r="N84" i="3" s="1"/>
  <c r="L84" i="3" a="1"/>
  <c r="L84" i="3" s="1"/>
  <c r="J84" i="3"/>
  <c r="E84" i="3"/>
  <c r="D84" i="3"/>
  <c r="C84" i="3"/>
  <c r="B84" i="3"/>
  <c r="I84" i="3"/>
  <c r="P84" i="3"/>
  <c r="J86" i="3"/>
  <c r="G86" i="3"/>
  <c r="O86" i="3" a="1"/>
  <c r="O86" i="3" s="1"/>
  <c r="N86" i="3" a="1"/>
  <c r="N86" i="3" s="1"/>
  <c r="L86" i="3" a="1"/>
  <c r="L86" i="3" s="1"/>
  <c r="B86" i="3"/>
  <c r="P86" i="3"/>
  <c r="K86" i="3"/>
  <c r="B82" i="3"/>
  <c r="F88" i="3"/>
  <c r="C88" i="3"/>
  <c r="O88" i="3" a="1"/>
  <c r="O88" i="3" s="1"/>
  <c r="N88" i="3" a="1"/>
  <c r="N88" i="3" s="1"/>
  <c r="L88" i="3" a="1"/>
  <c r="L88" i="3" s="1"/>
  <c r="P88" i="3"/>
  <c r="K88" i="3"/>
  <c r="J88" i="3"/>
  <c r="I88" i="3"/>
  <c r="H88" i="3"/>
  <c r="I197" i="3"/>
  <c r="H197" i="3"/>
  <c r="G197" i="3"/>
  <c r="F197" i="3"/>
  <c r="E197" i="3"/>
  <c r="D197" i="3"/>
  <c r="O197" i="3" a="1"/>
  <c r="O197" i="3" s="1"/>
  <c r="N197" i="3" a="1"/>
  <c r="N197" i="3" s="1"/>
  <c r="P197" i="3"/>
  <c r="L197" i="3" a="1"/>
  <c r="L197" i="3" s="1"/>
  <c r="K197" i="3"/>
  <c r="J197" i="3"/>
  <c r="C197" i="3"/>
  <c r="B197" i="3"/>
  <c r="C14" i="3"/>
  <c r="B14" i="3"/>
  <c r="K14" i="3" s="1"/>
  <c r="F14" i="3"/>
  <c r="D14" i="3"/>
  <c r="G14" i="3" s="1"/>
  <c r="E14" i="3"/>
  <c r="H14" i="3" s="1"/>
  <c r="C23" i="3"/>
  <c r="F23" i="3" s="1"/>
  <c r="E88" i="3"/>
  <c r="E3" i="3"/>
  <c r="H3" i="3" s="1"/>
  <c r="B24" i="3"/>
  <c r="K24" i="3" s="1"/>
  <c r="E97" i="3"/>
  <c r="H97" i="3"/>
  <c r="G97" i="3"/>
  <c r="F97" i="3"/>
  <c r="D97" i="3"/>
  <c r="N97" i="3" a="1"/>
  <c r="N97" i="3" s="1"/>
  <c r="L97" i="3" a="1"/>
  <c r="L97" i="3" s="1"/>
  <c r="K97" i="3"/>
  <c r="P97" i="3"/>
  <c r="O97" i="3" a="1"/>
  <c r="O97" i="3" s="1"/>
  <c r="J97" i="3"/>
  <c r="I97" i="3"/>
  <c r="B97" i="3"/>
  <c r="C97" i="3"/>
  <c r="F139" i="3"/>
  <c r="B16" i="3"/>
  <c r="K16" i="3" s="1"/>
  <c r="E34" i="3"/>
  <c r="H34" i="3" s="1"/>
  <c r="B34" i="3"/>
  <c r="K34" i="3" s="1"/>
  <c r="D34" i="3"/>
  <c r="G34" i="3" s="1"/>
  <c r="C34" i="3"/>
  <c r="F34" i="3" s="1"/>
  <c r="E41" i="3"/>
  <c r="H41" i="3" s="1"/>
  <c r="D41" i="3"/>
  <c r="G41" i="3" s="1"/>
  <c r="C41" i="3"/>
  <c r="F41" i="3" s="1"/>
  <c r="B41" i="3"/>
  <c r="K41" i="3" s="1"/>
  <c r="E49" i="3"/>
  <c r="H49" i="3" s="1"/>
  <c r="D49" i="3"/>
  <c r="G49" i="3" s="1"/>
  <c r="C49" i="3"/>
  <c r="F49" i="3" s="1"/>
  <c r="B49" i="3"/>
  <c r="K49" i="3" s="1"/>
  <c r="C80" i="3"/>
  <c r="C86" i="3"/>
  <c r="K98" i="3"/>
  <c r="K159" i="3"/>
  <c r="I159" i="3"/>
  <c r="N159" i="3" a="1"/>
  <c r="N159" i="3" s="1"/>
  <c r="L159" i="3" a="1"/>
  <c r="L159" i="3" s="1"/>
  <c r="J159" i="3"/>
  <c r="H159" i="3"/>
  <c r="P159" i="3"/>
  <c r="O159" i="3" a="1"/>
  <c r="O159" i="3" s="1"/>
  <c r="G159" i="3"/>
  <c r="F159" i="3"/>
  <c r="E159" i="3"/>
  <c r="D159" i="3"/>
  <c r="C159" i="3"/>
  <c r="B159" i="3"/>
  <c r="P183" i="3"/>
  <c r="O183" i="3" a="1"/>
  <c r="O183" i="3" s="1"/>
  <c r="N183" i="3" a="1"/>
  <c r="N183" i="3" s="1"/>
  <c r="K183" i="3"/>
  <c r="J183" i="3"/>
  <c r="I183" i="3"/>
  <c r="H183" i="3"/>
  <c r="G183" i="3"/>
  <c r="F183" i="3"/>
  <c r="L183" i="3" a="1"/>
  <c r="L183" i="3" s="1"/>
  <c r="E183" i="3"/>
  <c r="D183" i="3"/>
  <c r="C183" i="3"/>
  <c r="B183" i="3"/>
  <c r="C36" i="3"/>
  <c r="F36" i="3" s="1"/>
  <c r="E26" i="3"/>
  <c r="H26" i="3" s="1"/>
  <c r="D26" i="3"/>
  <c r="G26" i="3" s="1"/>
  <c r="C26" i="3"/>
  <c r="F26" i="3" s="1"/>
  <c r="B26" i="3"/>
  <c r="K26" i="3" s="1"/>
  <c r="H36" i="3"/>
  <c r="C24" i="3"/>
  <c r="F24" i="3" s="1"/>
  <c r="G84" i="3"/>
  <c r="D24" i="3"/>
  <c r="G24" i="3" s="1"/>
  <c r="K112" i="3"/>
  <c r="J112" i="3"/>
  <c r="P112" i="3"/>
  <c r="O112" i="3" a="1"/>
  <c r="O112" i="3" s="1"/>
  <c r="L112" i="3" a="1"/>
  <c r="L112" i="3" s="1"/>
  <c r="I112" i="3"/>
  <c r="H112" i="3"/>
  <c r="G112" i="3"/>
  <c r="N112" i="3" a="1"/>
  <c r="N112" i="3" s="1"/>
  <c r="F112" i="3"/>
  <c r="E112" i="3"/>
  <c r="C16" i="3"/>
  <c r="F16" i="3" s="1"/>
  <c r="H24" i="3"/>
  <c r="B31" i="3"/>
  <c r="K31" i="3" s="1"/>
  <c r="E31" i="3"/>
  <c r="H31" i="3" s="1"/>
  <c r="D31" i="3"/>
  <c r="G31" i="3" s="1"/>
  <c r="D86" i="3"/>
  <c r="D112" i="3"/>
  <c r="K160" i="3"/>
  <c r="I160" i="3"/>
  <c r="G160" i="3"/>
  <c r="O160" i="3" a="1"/>
  <c r="O160" i="3" s="1"/>
  <c r="N160" i="3" a="1"/>
  <c r="N160" i="3" s="1"/>
  <c r="L160" i="3" a="1"/>
  <c r="L160" i="3" s="1"/>
  <c r="B160" i="3"/>
  <c r="P160" i="3"/>
  <c r="J160" i="3"/>
  <c r="E160" i="3"/>
  <c r="F160" i="3"/>
  <c r="H160" i="3"/>
  <c r="C173" i="3"/>
  <c r="P173" i="3"/>
  <c r="O173" i="3" a="1"/>
  <c r="O173" i="3" s="1"/>
  <c r="N173" i="3" a="1"/>
  <c r="N173" i="3" s="1"/>
  <c r="L173" i="3" a="1"/>
  <c r="L173" i="3" s="1"/>
  <c r="K173" i="3"/>
  <c r="J173" i="3"/>
  <c r="I173" i="3"/>
  <c r="H173" i="3"/>
  <c r="G173" i="3"/>
  <c r="F173" i="3"/>
  <c r="E173" i="3"/>
  <c r="D173" i="3"/>
  <c r="B173" i="3"/>
  <c r="O184" i="3" a="1"/>
  <c r="O184" i="3" s="1"/>
  <c r="N184" i="3" a="1"/>
  <c r="N184" i="3" s="1"/>
  <c r="P184" i="3"/>
  <c r="L184" i="3" a="1"/>
  <c r="L184" i="3" s="1"/>
  <c r="K184" i="3"/>
  <c r="J184" i="3"/>
  <c r="I184" i="3"/>
  <c r="H184" i="3"/>
  <c r="G184" i="3"/>
  <c r="F184" i="3"/>
  <c r="E184" i="3"/>
  <c r="D184" i="3"/>
  <c r="C184" i="3"/>
  <c r="B184" i="3"/>
  <c r="G189" i="3"/>
  <c r="F189" i="3"/>
  <c r="E189" i="3"/>
  <c r="D189" i="3"/>
  <c r="C189" i="3"/>
  <c r="B189" i="3"/>
  <c r="P189" i="3"/>
  <c r="O189" i="3" a="1"/>
  <c r="O189" i="3" s="1"/>
  <c r="N189" i="3" a="1"/>
  <c r="N189" i="3" s="1"/>
  <c r="L189" i="3" a="1"/>
  <c r="L189" i="3" s="1"/>
  <c r="K189" i="3"/>
  <c r="J189" i="3"/>
  <c r="I189" i="3"/>
  <c r="H189" i="3"/>
  <c r="F62" i="3"/>
  <c r="E62" i="3"/>
  <c r="D62" i="3"/>
  <c r="C62" i="3"/>
  <c r="B62" i="3"/>
  <c r="P62" i="3"/>
  <c r="L62" i="3" a="1"/>
  <c r="L62" i="3" s="1"/>
  <c r="K62" i="3"/>
  <c r="J62" i="3"/>
  <c r="I62" i="3"/>
  <c r="H62" i="3"/>
  <c r="G62" i="3"/>
  <c r="O62" i="3" a="1"/>
  <c r="O62" i="3" s="1"/>
  <c r="N62" i="3" a="1"/>
  <c r="N62" i="3" s="1"/>
  <c r="E25" i="3"/>
  <c r="H25" i="3" s="1"/>
  <c r="D25" i="3"/>
  <c r="G25" i="3" s="1"/>
  <c r="C25" i="3"/>
  <c r="F25" i="3" s="1"/>
  <c r="B25" i="3"/>
  <c r="K25" i="3" s="1"/>
  <c r="C31" i="3"/>
  <c r="F31" i="3" s="1"/>
  <c r="J69" i="3"/>
  <c r="I69" i="3"/>
  <c r="H69" i="3"/>
  <c r="G69" i="3"/>
  <c r="F69" i="3"/>
  <c r="E69" i="3"/>
  <c r="P69" i="3"/>
  <c r="O69" i="3" a="1"/>
  <c r="O69" i="3" s="1"/>
  <c r="K69" i="3"/>
  <c r="N69" i="3" a="1"/>
  <c r="N69" i="3" s="1"/>
  <c r="L69" i="3" a="1"/>
  <c r="L69" i="3" s="1"/>
  <c r="D69" i="3"/>
  <c r="E86" i="3"/>
  <c r="I143" i="3"/>
  <c r="G143" i="3"/>
  <c r="E143" i="3"/>
  <c r="L143" i="3" a="1"/>
  <c r="L143" i="3" s="1"/>
  <c r="K143" i="3"/>
  <c r="J143" i="3"/>
  <c r="H143" i="3"/>
  <c r="F143" i="3"/>
  <c r="D143" i="3"/>
  <c r="O143" i="3" a="1"/>
  <c r="O143" i="3" s="1"/>
  <c r="N143" i="3" a="1"/>
  <c r="N143" i="3" s="1"/>
  <c r="C160" i="3"/>
  <c r="I179" i="3"/>
  <c r="H179" i="3"/>
  <c r="G179" i="3"/>
  <c r="F179" i="3"/>
  <c r="E179" i="3"/>
  <c r="P179" i="3"/>
  <c r="O179" i="3" a="1"/>
  <c r="O179" i="3" s="1"/>
  <c r="N179" i="3" a="1"/>
  <c r="N179" i="3" s="1"/>
  <c r="D179" i="3"/>
  <c r="C179" i="3"/>
  <c r="B179" i="3"/>
  <c r="K179" i="3"/>
  <c r="L179" i="3" a="1"/>
  <c r="L179" i="3" s="1"/>
  <c r="C82" i="3"/>
  <c r="E36" i="3"/>
  <c r="D33" i="3"/>
  <c r="G33" i="3" s="1"/>
  <c r="C33" i="3"/>
  <c r="F33" i="3" s="1"/>
  <c r="B33" i="3"/>
  <c r="I33" i="3" s="1"/>
  <c r="E40" i="3"/>
  <c r="H40" i="3" s="1"/>
  <c r="D40" i="3"/>
  <c r="G40" i="3" s="1"/>
  <c r="C40" i="3"/>
  <c r="F40" i="3" s="1"/>
  <c r="B40" i="3"/>
  <c r="K40" i="3" s="1"/>
  <c r="D89" i="3"/>
  <c r="P89" i="3"/>
  <c r="O89" i="3" a="1"/>
  <c r="O89" i="3" s="1"/>
  <c r="N89" i="3" a="1"/>
  <c r="N89" i="3" s="1"/>
  <c r="L89" i="3" a="1"/>
  <c r="L89" i="3" s="1"/>
  <c r="F89" i="3"/>
  <c r="C89" i="3"/>
  <c r="H89" i="3"/>
  <c r="E89" i="3"/>
  <c r="G89" i="3"/>
  <c r="K89" i="3"/>
  <c r="I89" i="3"/>
  <c r="J89" i="3"/>
  <c r="G96" i="3"/>
  <c r="I96" i="3"/>
  <c r="H96" i="3"/>
  <c r="F96" i="3"/>
  <c r="E96" i="3"/>
  <c r="L96" i="3" a="1"/>
  <c r="L96" i="3" s="1"/>
  <c r="K96" i="3"/>
  <c r="J96" i="3"/>
  <c r="D96" i="3"/>
  <c r="C96" i="3"/>
  <c r="N96" i="3" a="1"/>
  <c r="N96" i="3" s="1"/>
  <c r="B96" i="3"/>
  <c r="P96" i="3"/>
  <c r="O96" i="3" a="1"/>
  <c r="O96" i="3" s="1"/>
  <c r="H84" i="3"/>
  <c r="E18" i="3"/>
  <c r="H18" i="3" s="1"/>
  <c r="B18" i="3"/>
  <c r="I18" i="3" s="1"/>
  <c r="D18" i="3"/>
  <c r="G18" i="3" s="1"/>
  <c r="C18" i="3"/>
  <c r="F18" i="3" s="1"/>
  <c r="J33" i="3"/>
  <c r="L68" i="3" a="1"/>
  <c r="L68" i="3" s="1"/>
  <c r="K68" i="3"/>
  <c r="J68" i="3"/>
  <c r="I68" i="3"/>
  <c r="H68" i="3"/>
  <c r="G68" i="3"/>
  <c r="P68" i="3"/>
  <c r="O68" i="3" a="1"/>
  <c r="O68" i="3" s="1"/>
  <c r="N68" i="3" a="1"/>
  <c r="N68" i="3" s="1"/>
  <c r="E68" i="3"/>
  <c r="D68" i="3"/>
  <c r="C68" i="3"/>
  <c r="B68" i="3"/>
  <c r="L85" i="3" a="1"/>
  <c r="L85" i="3" s="1"/>
  <c r="I85" i="3"/>
  <c r="O85" i="3" a="1"/>
  <c r="O85" i="3" s="1"/>
  <c r="N85" i="3" a="1"/>
  <c r="N85" i="3" s="1"/>
  <c r="K85" i="3"/>
  <c r="P85" i="3"/>
  <c r="J85" i="3"/>
  <c r="H85" i="3"/>
  <c r="G85" i="3"/>
  <c r="F85" i="3"/>
  <c r="B85" i="3"/>
  <c r="E85" i="3"/>
  <c r="C85" i="3"/>
  <c r="D85" i="3"/>
  <c r="C98" i="3"/>
  <c r="G98" i="3"/>
  <c r="F98" i="3"/>
  <c r="E98" i="3"/>
  <c r="D98" i="3"/>
  <c r="P98" i="3"/>
  <c r="O98" i="3" a="1"/>
  <c r="O98" i="3" s="1"/>
  <c r="N98" i="3" a="1"/>
  <c r="N98" i="3" s="1"/>
  <c r="I98" i="3"/>
  <c r="H98" i="3"/>
  <c r="B98" i="3"/>
  <c r="C182" i="3"/>
  <c r="B182" i="3"/>
  <c r="P182" i="3"/>
  <c r="O182" i="3" a="1"/>
  <c r="O182" i="3" s="1"/>
  <c r="I182" i="3"/>
  <c r="H182" i="3"/>
  <c r="G182" i="3"/>
  <c r="F182" i="3"/>
  <c r="E182" i="3"/>
  <c r="D182" i="3"/>
  <c r="N182" i="3" a="1"/>
  <c r="N182" i="3" s="1"/>
  <c r="L182" i="3" a="1"/>
  <c r="L182" i="3" s="1"/>
  <c r="K182" i="3"/>
  <c r="J182" i="3"/>
  <c r="L59" i="3" a="1"/>
  <c r="L59" i="3" s="1"/>
  <c r="K59" i="3"/>
  <c r="J59" i="3"/>
  <c r="I59" i="3"/>
  <c r="H59" i="3"/>
  <c r="G59" i="3"/>
  <c r="O59" i="3" a="1"/>
  <c r="O59" i="3" s="1"/>
  <c r="N59" i="3" a="1"/>
  <c r="N59" i="3" s="1"/>
  <c r="P59" i="3"/>
  <c r="F59" i="3"/>
  <c r="E59" i="3"/>
  <c r="B59" i="3"/>
  <c r="D59" i="3"/>
  <c r="C59" i="3"/>
  <c r="B69" i="3"/>
  <c r="L76" i="3" a="1"/>
  <c r="L76" i="3" s="1"/>
  <c r="N76" i="3" a="1"/>
  <c r="N76" i="3" s="1"/>
  <c r="K76" i="3"/>
  <c r="J76" i="3"/>
  <c r="O76" i="3" a="1"/>
  <c r="O76" i="3" s="1"/>
  <c r="I76" i="3"/>
  <c r="H76" i="3"/>
  <c r="G76" i="3"/>
  <c r="F76" i="3"/>
  <c r="P76" i="3"/>
  <c r="D76" i="3"/>
  <c r="C76" i="3"/>
  <c r="B76" i="3"/>
  <c r="E76" i="3"/>
  <c r="F86" i="3"/>
  <c r="N91" i="3" a="1"/>
  <c r="N91" i="3" s="1"/>
  <c r="P91" i="3"/>
  <c r="O91" i="3" a="1"/>
  <c r="O91" i="3" s="1"/>
  <c r="L91" i="3" a="1"/>
  <c r="L91" i="3" s="1"/>
  <c r="K91" i="3"/>
  <c r="J91" i="3"/>
  <c r="I91" i="3"/>
  <c r="H91" i="3"/>
  <c r="G91" i="3"/>
  <c r="F91" i="3"/>
  <c r="C91" i="3"/>
  <c r="E91" i="3"/>
  <c r="D91" i="3"/>
  <c r="P99" i="3"/>
  <c r="F99" i="3"/>
  <c r="E99" i="3"/>
  <c r="D99" i="3"/>
  <c r="C99" i="3"/>
  <c r="O99" i="3" a="1"/>
  <c r="O99" i="3" s="1"/>
  <c r="N99" i="3" a="1"/>
  <c r="N99" i="3" s="1"/>
  <c r="J99" i="3"/>
  <c r="G99" i="3"/>
  <c r="I99" i="3"/>
  <c r="B99" i="3"/>
  <c r="L99" i="3" a="1"/>
  <c r="L99" i="3" s="1"/>
  <c r="H99" i="3"/>
  <c r="K99" i="3"/>
  <c r="B143" i="3"/>
  <c r="D160" i="3"/>
  <c r="K168" i="3"/>
  <c r="I168" i="3"/>
  <c r="G168" i="3"/>
  <c r="F168" i="3"/>
  <c r="E168" i="3"/>
  <c r="D168" i="3"/>
  <c r="C168" i="3"/>
  <c r="B168" i="3"/>
  <c r="P168" i="3"/>
  <c r="O168" i="3" a="1"/>
  <c r="O168" i="3" s="1"/>
  <c r="N168" i="3" a="1"/>
  <c r="N168" i="3" s="1"/>
  <c r="L168" i="3" a="1"/>
  <c r="L168" i="3" s="1"/>
  <c r="J168" i="3"/>
  <c r="H168" i="3"/>
  <c r="J179" i="3"/>
  <c r="E11" i="3"/>
  <c r="H11" i="3" s="1"/>
  <c r="D11" i="3"/>
  <c r="G11" i="3" s="1"/>
  <c r="C11" i="3"/>
  <c r="F11" i="3" s="1"/>
  <c r="B11" i="3"/>
  <c r="I11" i="3" s="1"/>
  <c r="E17" i="3"/>
  <c r="H17" i="3" s="1"/>
  <c r="B17" i="3"/>
  <c r="K17" i="3" s="1"/>
  <c r="D17" i="3"/>
  <c r="G17" i="3" s="1"/>
  <c r="C17" i="3"/>
  <c r="F17" i="3" s="1"/>
  <c r="E23" i="3"/>
  <c r="H23" i="3" s="1"/>
  <c r="G23" i="3"/>
  <c r="B36" i="3"/>
  <c r="I36" i="3" s="1"/>
  <c r="B88" i="3"/>
  <c r="D36" i="3"/>
  <c r="G36" i="3" s="1"/>
  <c r="G88" i="3"/>
  <c r="O139" i="3" a="1"/>
  <c r="O139" i="3" s="1"/>
  <c r="N139" i="3" a="1"/>
  <c r="N139" i="3" s="1"/>
  <c r="E139" i="3"/>
  <c r="D139" i="3"/>
  <c r="C139" i="3"/>
  <c r="B139" i="3"/>
  <c r="L139" i="3" a="1"/>
  <c r="L139" i="3" s="1"/>
  <c r="K139" i="3"/>
  <c r="J139" i="3"/>
  <c r="P139" i="3"/>
  <c r="H139" i="3"/>
  <c r="I139" i="3"/>
  <c r="E9" i="3"/>
  <c r="H9" i="3" s="1"/>
  <c r="C9" i="3"/>
  <c r="F9" i="3" s="1"/>
  <c r="D9" i="3"/>
  <c r="G9" i="3" s="1"/>
  <c r="B9" i="3"/>
  <c r="K9" i="3" s="1"/>
  <c r="E24" i="3"/>
  <c r="D80" i="3"/>
  <c r="P80" i="3"/>
  <c r="N80" i="3" a="1"/>
  <c r="N80" i="3" s="1"/>
  <c r="L80" i="3" a="1"/>
  <c r="L80" i="3" s="1"/>
  <c r="K80" i="3"/>
  <c r="I80" i="3"/>
  <c r="J80" i="3"/>
  <c r="H80" i="3"/>
  <c r="G80" i="3"/>
  <c r="F80" i="3"/>
  <c r="O80" i="3" a="1"/>
  <c r="O80" i="3" s="1"/>
  <c r="F68" i="3"/>
  <c r="B38" i="3"/>
  <c r="K38" i="3" s="1"/>
  <c r="E38" i="3"/>
  <c r="H38" i="3" s="1"/>
  <c r="D38" i="3"/>
  <c r="G38" i="3" s="1"/>
  <c r="C38" i="3"/>
  <c r="F38" i="3" s="1"/>
  <c r="C69" i="3"/>
  <c r="J77" i="3"/>
  <c r="G77" i="3"/>
  <c r="N77" i="3" a="1"/>
  <c r="N77" i="3" s="1"/>
  <c r="L77" i="3" a="1"/>
  <c r="L77" i="3" s="1"/>
  <c r="K77" i="3"/>
  <c r="P77" i="3"/>
  <c r="D77" i="3"/>
  <c r="C77" i="3"/>
  <c r="B77" i="3"/>
  <c r="H86" i="3"/>
  <c r="B91" i="3"/>
  <c r="G135" i="3"/>
  <c r="E135" i="3"/>
  <c r="C135" i="3"/>
  <c r="B135" i="3"/>
  <c r="P135" i="3"/>
  <c r="O135" i="3" a="1"/>
  <c r="O135" i="3" s="1"/>
  <c r="N135" i="3" a="1"/>
  <c r="N135" i="3" s="1"/>
  <c r="L135" i="3" a="1"/>
  <c r="L135" i="3" s="1"/>
  <c r="K135" i="3"/>
  <c r="J135" i="3"/>
  <c r="I135" i="3"/>
  <c r="H135" i="3"/>
  <c r="F135" i="3"/>
  <c r="D135" i="3"/>
  <c r="C143" i="3"/>
  <c r="B23" i="3"/>
  <c r="J23" i="3" s="1"/>
  <c r="O83" i="3" a="1"/>
  <c r="O83" i="3" s="1"/>
  <c r="N83" i="3" a="1"/>
  <c r="N83" i="3" s="1"/>
  <c r="L83" i="3" a="1"/>
  <c r="L83" i="3" s="1"/>
  <c r="K83" i="3"/>
  <c r="J83" i="3"/>
  <c r="I83" i="3"/>
  <c r="D83" i="3"/>
  <c r="H83" i="3"/>
  <c r="G83" i="3"/>
  <c r="B83" i="3"/>
  <c r="F83" i="3"/>
  <c r="E83" i="3"/>
  <c r="C83" i="3"/>
  <c r="F84" i="3"/>
  <c r="N131" i="3" a="1"/>
  <c r="N131" i="3" s="1"/>
  <c r="C131" i="3"/>
  <c r="B131" i="3"/>
  <c r="P131" i="3"/>
  <c r="O131" i="3" a="1"/>
  <c r="O131" i="3" s="1"/>
  <c r="L131" i="3" a="1"/>
  <c r="L131" i="3" s="1"/>
  <c r="K131" i="3"/>
  <c r="J131" i="3"/>
  <c r="F131" i="3"/>
  <c r="G131" i="3"/>
  <c r="D131" i="3"/>
  <c r="H131" i="3"/>
  <c r="I131" i="3"/>
  <c r="E131" i="3"/>
  <c r="B80" i="3"/>
  <c r="J98" i="3"/>
  <c r="B112" i="3"/>
  <c r="E16" i="3"/>
  <c r="H16" i="3" s="1"/>
  <c r="H32" i="3"/>
  <c r="C10" i="3"/>
  <c r="F10" i="3" s="1"/>
  <c r="E10" i="3"/>
  <c r="H10" i="3" s="1"/>
  <c r="D10" i="3"/>
  <c r="G10" i="3" s="1"/>
  <c r="B10" i="3"/>
  <c r="I10" i="3" s="1"/>
  <c r="G16" i="3"/>
  <c r="B32" i="3"/>
  <c r="J32" i="3" s="1"/>
  <c r="E77" i="3"/>
  <c r="I86" i="3"/>
  <c r="P143" i="3"/>
  <c r="G45" i="3"/>
  <c r="B55" i="3"/>
  <c r="P55" i="3"/>
  <c r="O55" i="3" a="1"/>
  <c r="O55" i="3" s="1"/>
  <c r="N55" i="3" a="1"/>
  <c r="N55" i="3" s="1"/>
  <c r="L55" i="3" a="1"/>
  <c r="L55" i="3" s="1"/>
  <c r="K55" i="3"/>
  <c r="J55" i="3"/>
  <c r="B115" i="3"/>
  <c r="B64" i="3"/>
  <c r="P64" i="3"/>
  <c r="O64" i="3" a="1"/>
  <c r="O64" i="3" s="1"/>
  <c r="N64" i="3" a="1"/>
  <c r="N64" i="3" s="1"/>
  <c r="L64" i="3" a="1"/>
  <c r="L64" i="3" s="1"/>
  <c r="K64" i="3"/>
  <c r="G78" i="3"/>
  <c r="D55" i="3"/>
  <c r="I78" i="3"/>
  <c r="J52" i="3"/>
  <c r="K119" i="3"/>
  <c r="F55" i="3"/>
  <c r="E64" i="3"/>
  <c r="N71" i="3" a="1"/>
  <c r="N71" i="3" s="1"/>
  <c r="I87" i="3"/>
  <c r="G105" i="3"/>
  <c r="F105" i="3"/>
  <c r="P105" i="3"/>
  <c r="O105" i="3" a="1"/>
  <c r="O105" i="3" s="1"/>
  <c r="N105" i="3" a="1"/>
  <c r="N105" i="3" s="1"/>
  <c r="L105" i="3" a="1"/>
  <c r="L105" i="3" s="1"/>
  <c r="K105" i="3"/>
  <c r="J105" i="3"/>
  <c r="I105" i="3"/>
  <c r="L119" i="3" a="1"/>
  <c r="L119" i="3" s="1"/>
  <c r="J136" i="3"/>
  <c r="B22" i="3"/>
  <c r="K22" i="3" s="1"/>
  <c r="G136" i="3"/>
  <c r="K141" i="3"/>
  <c r="I141" i="3"/>
  <c r="G141" i="3"/>
  <c r="F141" i="3"/>
  <c r="E141" i="3"/>
  <c r="D141" i="3"/>
  <c r="C141" i="3"/>
  <c r="J141" i="3"/>
  <c r="H141" i="3"/>
  <c r="B141" i="3"/>
  <c r="D64" i="3"/>
  <c r="J78" i="3"/>
  <c r="O78" i="3" a="1"/>
  <c r="O78" i="3" s="1"/>
  <c r="G71" i="3"/>
  <c r="D119" i="3"/>
  <c r="B13" i="3"/>
  <c r="I13" i="3" s="1"/>
  <c r="G87" i="3"/>
  <c r="H61" i="3"/>
  <c r="G61" i="3"/>
  <c r="F61" i="3"/>
  <c r="E61" i="3"/>
  <c r="D61" i="3"/>
  <c r="C61" i="3"/>
  <c r="B61" i="3"/>
  <c r="D13" i="3"/>
  <c r="G13" i="3" s="1"/>
  <c r="L111" i="3" a="1"/>
  <c r="L111" i="3" s="1"/>
  <c r="P111" i="3"/>
  <c r="O111" i="3" a="1"/>
  <c r="O111" i="3" s="1"/>
  <c r="G111" i="3"/>
  <c r="F111" i="3"/>
  <c r="E111" i="3"/>
  <c r="D111" i="3"/>
  <c r="C111" i="3"/>
  <c r="B111" i="3"/>
  <c r="B4" i="3"/>
  <c r="H55" i="3"/>
  <c r="B81" i="3"/>
  <c r="O81" i="3" a="1"/>
  <c r="O81" i="3" s="1"/>
  <c r="N81" i="3" a="1"/>
  <c r="N81" i="3" s="1"/>
  <c r="L81" i="3" a="1"/>
  <c r="L81" i="3" s="1"/>
  <c r="K81" i="3"/>
  <c r="F81" i="3"/>
  <c r="E81" i="3"/>
  <c r="D81" i="3"/>
  <c r="C81" i="3"/>
  <c r="C105" i="3"/>
  <c r="H111" i="3"/>
  <c r="C116" i="3"/>
  <c r="B116" i="3"/>
  <c r="P116" i="3"/>
  <c r="O116" i="3" a="1"/>
  <c r="O116" i="3" s="1"/>
  <c r="N116" i="3" a="1"/>
  <c r="N116" i="3" s="1"/>
  <c r="L116" i="3" a="1"/>
  <c r="L116" i="3" s="1"/>
  <c r="K116" i="3"/>
  <c r="J116" i="3"/>
  <c r="I116" i="3"/>
  <c r="H116" i="3"/>
  <c r="C45" i="3"/>
  <c r="F45" i="3" s="1"/>
  <c r="E45" i="3"/>
  <c r="D45" i="3"/>
  <c r="B45" i="3"/>
  <c r="K45" i="3" s="1"/>
  <c r="E115" i="3"/>
  <c r="D115" i="3"/>
  <c r="P115" i="3"/>
  <c r="O115" i="3" a="1"/>
  <c r="O115" i="3" s="1"/>
  <c r="K115" i="3"/>
  <c r="J115" i="3"/>
  <c r="I115" i="3"/>
  <c r="H115" i="3"/>
  <c r="G115" i="3"/>
  <c r="F115" i="3"/>
  <c r="C22" i="3"/>
  <c r="F22" i="3" s="1"/>
  <c r="D22" i="3"/>
  <c r="G22" i="3" s="1"/>
  <c r="H52" i="3"/>
  <c r="G52" i="3"/>
  <c r="F52" i="3"/>
  <c r="E52" i="3"/>
  <c r="D52" i="3"/>
  <c r="I52" i="3"/>
  <c r="C52" i="3"/>
  <c r="B52" i="3"/>
  <c r="H87" i="3"/>
  <c r="E87" i="3"/>
  <c r="O87" i="3" a="1"/>
  <c r="O87" i="3" s="1"/>
  <c r="N87" i="3" a="1"/>
  <c r="N87" i="3" s="1"/>
  <c r="L87" i="3" a="1"/>
  <c r="L87" i="3" s="1"/>
  <c r="F87" i="3"/>
  <c r="D87" i="3"/>
  <c r="C87" i="3"/>
  <c r="B87" i="3"/>
  <c r="E30" i="3"/>
  <c r="H30" i="3" s="1"/>
  <c r="N57" i="3" a="1"/>
  <c r="N57" i="3" s="1"/>
  <c r="L57" i="3" a="1"/>
  <c r="L57" i="3" s="1"/>
  <c r="K57" i="3"/>
  <c r="D57" i="3"/>
  <c r="C57" i="3"/>
  <c r="B57" i="3"/>
  <c r="C5" i="3"/>
  <c r="F5" i="3" s="1"/>
  <c r="D5" i="3"/>
  <c r="G5" i="3" s="1"/>
  <c r="D21" i="3"/>
  <c r="B21" i="3"/>
  <c r="I21" i="3" s="1"/>
  <c r="C21" i="3"/>
  <c r="F21" i="3" s="1"/>
  <c r="B37" i="3"/>
  <c r="J37" i="3" s="1"/>
  <c r="F57" i="3"/>
  <c r="I61" i="3"/>
  <c r="F64" i="3"/>
  <c r="E13" i="3"/>
  <c r="H13" i="3" s="1"/>
  <c r="C37" i="3"/>
  <c r="F37" i="3" s="1"/>
  <c r="E47" i="3"/>
  <c r="H47" i="3" s="1"/>
  <c r="D47" i="3"/>
  <c r="G47" i="3" s="1"/>
  <c r="C47" i="3"/>
  <c r="F47" i="3" s="1"/>
  <c r="B47" i="3"/>
  <c r="I47" i="3" s="1"/>
  <c r="G57" i="3"/>
  <c r="J61" i="3"/>
  <c r="G64" i="3"/>
  <c r="N66" i="3" a="1"/>
  <c r="N66" i="3" s="1"/>
  <c r="L66" i="3" a="1"/>
  <c r="L66" i="3" s="1"/>
  <c r="K66" i="3"/>
  <c r="E66" i="3"/>
  <c r="D66" i="3"/>
  <c r="C66" i="3"/>
  <c r="B66" i="3"/>
  <c r="P78" i="3"/>
  <c r="C4" i="3"/>
  <c r="F4" i="3" s="1"/>
  <c r="I22" i="3"/>
  <c r="E29" i="3"/>
  <c r="H29" i="3" s="1"/>
  <c r="D29" i="3"/>
  <c r="G29" i="3" s="1"/>
  <c r="C29" i="3"/>
  <c r="F29" i="3" s="1"/>
  <c r="B29" i="3"/>
  <c r="I29" i="3" s="1"/>
  <c r="J51" i="3"/>
  <c r="H51" i="3"/>
  <c r="I55" i="3"/>
  <c r="H57" i="3"/>
  <c r="K61" i="3"/>
  <c r="H64" i="3"/>
  <c r="F66" i="3"/>
  <c r="D73" i="3"/>
  <c r="G81" i="3"/>
  <c r="J95" i="3"/>
  <c r="I95" i="3"/>
  <c r="H95" i="3"/>
  <c r="G95" i="3"/>
  <c r="F95" i="3"/>
  <c r="E95" i="3"/>
  <c r="D95" i="3"/>
  <c r="C95" i="3"/>
  <c r="B95" i="3"/>
  <c r="P95" i="3"/>
  <c r="D105" i="3"/>
  <c r="I111" i="3"/>
  <c r="D116" i="3"/>
  <c r="L120" i="3" a="1"/>
  <c r="L120" i="3" s="1"/>
  <c r="B120" i="3"/>
  <c r="P120" i="3"/>
  <c r="O120" i="3" a="1"/>
  <c r="O120" i="3" s="1"/>
  <c r="N120" i="3" a="1"/>
  <c r="N120" i="3" s="1"/>
  <c r="K120" i="3"/>
  <c r="J120" i="3"/>
  <c r="H120" i="3"/>
  <c r="G120" i="3"/>
  <c r="F120" i="3"/>
  <c r="E120" i="3"/>
  <c r="D120" i="3"/>
  <c r="C120" i="3"/>
  <c r="O141" i="3" a="1"/>
  <c r="O141" i="3" s="1"/>
  <c r="N176" i="3" a="1"/>
  <c r="N176" i="3" s="1"/>
  <c r="L176" i="3" a="1"/>
  <c r="L176" i="3" s="1"/>
  <c r="K176" i="3"/>
  <c r="E176" i="3"/>
  <c r="D176" i="3"/>
  <c r="C176" i="3"/>
  <c r="B176" i="3"/>
  <c r="P176" i="3"/>
  <c r="O176" i="3" a="1"/>
  <c r="O176" i="3" s="1"/>
  <c r="J176" i="3"/>
  <c r="I176" i="3"/>
  <c r="H176" i="3"/>
  <c r="G176" i="3"/>
  <c r="F176" i="3"/>
  <c r="E124" i="3"/>
  <c r="D124" i="3"/>
  <c r="C124" i="3"/>
  <c r="G124" i="3"/>
  <c r="F124" i="3"/>
  <c r="B124" i="3"/>
  <c r="P124" i="3"/>
  <c r="O124" i="3" a="1"/>
  <c r="O124" i="3" s="1"/>
  <c r="L124" i="3" a="1"/>
  <c r="L124" i="3" s="1"/>
  <c r="K124" i="3"/>
  <c r="J124" i="3"/>
  <c r="I124" i="3"/>
  <c r="H124" i="3"/>
  <c r="G171" i="3"/>
  <c r="E171" i="3"/>
  <c r="C171" i="3"/>
  <c r="L171" i="3" a="1"/>
  <c r="L171" i="3" s="1"/>
  <c r="K171" i="3"/>
  <c r="J171" i="3"/>
  <c r="I171" i="3"/>
  <c r="H171" i="3"/>
  <c r="P171" i="3"/>
  <c r="O171" i="3" a="1"/>
  <c r="O171" i="3" s="1"/>
  <c r="B171" i="3"/>
  <c r="D30" i="3"/>
  <c r="G30" i="3" s="1"/>
  <c r="C30" i="3"/>
  <c r="F30" i="3" s="1"/>
  <c r="B30" i="3"/>
  <c r="I30" i="3" s="1"/>
  <c r="E55" i="3"/>
  <c r="I136" i="3"/>
  <c r="C13" i="3"/>
  <c r="F13" i="3" s="1"/>
  <c r="K52" i="3"/>
  <c r="N141" i="3" a="1"/>
  <c r="N141" i="3" s="1"/>
  <c r="H22" i="3"/>
  <c r="D4" i="3"/>
  <c r="G4" i="3" s="1"/>
  <c r="G21" i="3"/>
  <c r="E37" i="3"/>
  <c r="H37" i="3" s="1"/>
  <c r="N52" i="3" a="1"/>
  <c r="N52" i="3" s="1"/>
  <c r="I57" i="3"/>
  <c r="L61" i="3" a="1"/>
  <c r="L61" i="3" s="1"/>
  <c r="I64" i="3"/>
  <c r="G66" i="3"/>
  <c r="E73" i="3"/>
  <c r="F79" i="3"/>
  <c r="C79" i="3"/>
  <c r="N79" i="3" a="1"/>
  <c r="N79" i="3" s="1"/>
  <c r="L79" i="3" a="1"/>
  <c r="L79" i="3" s="1"/>
  <c r="K79" i="3"/>
  <c r="O79" i="3" a="1"/>
  <c r="O79" i="3" s="1"/>
  <c r="J79" i="3"/>
  <c r="I79" i="3"/>
  <c r="H79" i="3"/>
  <c r="G79" i="3"/>
  <c r="H81" i="3"/>
  <c r="P87" i="3"/>
  <c r="E105" i="3"/>
  <c r="J111" i="3"/>
  <c r="E116" i="3"/>
  <c r="L177" i="3" a="1"/>
  <c r="L177" i="3" s="1"/>
  <c r="K177" i="3"/>
  <c r="J177" i="3"/>
  <c r="I177" i="3"/>
  <c r="H177" i="3"/>
  <c r="G177" i="3"/>
  <c r="F177" i="3"/>
  <c r="E177" i="3"/>
  <c r="D177" i="3"/>
  <c r="C177" i="3"/>
  <c r="N177" i="3" a="1"/>
  <c r="N177" i="3" s="1"/>
  <c r="B177" i="3"/>
  <c r="P177" i="3"/>
  <c r="O177" i="3" a="1"/>
  <c r="O177" i="3" s="1"/>
  <c r="N119" i="3" a="1"/>
  <c r="N119" i="3" s="1"/>
  <c r="B119" i="3"/>
  <c r="P119" i="3"/>
  <c r="O119" i="3" a="1"/>
  <c r="O119" i="3" s="1"/>
  <c r="J119" i="3"/>
  <c r="I119" i="3"/>
  <c r="H119" i="3"/>
  <c r="G119" i="3"/>
  <c r="F119" i="3"/>
  <c r="E119" i="3"/>
  <c r="H45" i="3"/>
  <c r="F71" i="3"/>
  <c r="E71" i="3"/>
  <c r="D71" i="3"/>
  <c r="C71" i="3"/>
  <c r="B71" i="3"/>
  <c r="P71" i="3"/>
  <c r="L71" i="3" a="1"/>
  <c r="L71" i="3" s="1"/>
  <c r="K71" i="3"/>
  <c r="J71" i="3"/>
  <c r="I71" i="3"/>
  <c r="H71" i="3"/>
  <c r="C115" i="3"/>
  <c r="N140" i="3" a="1"/>
  <c r="N140" i="3" s="1"/>
  <c r="K140" i="3"/>
  <c r="F140" i="3"/>
  <c r="E140" i="3"/>
  <c r="D140" i="3"/>
  <c r="C140" i="3"/>
  <c r="B140" i="3"/>
  <c r="P140" i="3"/>
  <c r="L140" i="3" a="1"/>
  <c r="L140" i="3" s="1"/>
  <c r="J140" i="3"/>
  <c r="I140" i="3"/>
  <c r="H140" i="3"/>
  <c r="G140" i="3"/>
  <c r="O140" i="3" a="1"/>
  <c r="O140" i="3" s="1"/>
  <c r="C64" i="3"/>
  <c r="B5" i="3"/>
  <c r="I5" i="3" s="1"/>
  <c r="E22" i="3"/>
  <c r="E44" i="3"/>
  <c r="H44" i="3" s="1"/>
  <c r="D44" i="3"/>
  <c r="G44" i="3" s="1"/>
  <c r="C44" i="3"/>
  <c r="F44" i="3" s="1"/>
  <c r="B44" i="3"/>
  <c r="I44" i="3" s="1"/>
  <c r="G55" i="3"/>
  <c r="N115" i="3" a="1"/>
  <c r="N115" i="3" s="1"/>
  <c r="H8" i="3"/>
  <c r="D12" i="3"/>
  <c r="G12" i="3" s="1"/>
  <c r="B12" i="3"/>
  <c r="C12" i="3"/>
  <c r="F12" i="3" s="1"/>
  <c r="H5" i="3"/>
  <c r="O56" i="3" a="1"/>
  <c r="O56" i="3" s="1"/>
  <c r="N56" i="3" a="1"/>
  <c r="N56" i="3" s="1"/>
  <c r="P56" i="3"/>
  <c r="J57" i="3"/>
  <c r="J64" i="3"/>
  <c r="H66" i="3"/>
  <c r="B79" i="3"/>
  <c r="I81" i="3"/>
  <c r="H105" i="3"/>
  <c r="K111" i="3"/>
  <c r="F116" i="3"/>
  <c r="P141" i="3"/>
  <c r="O166" i="3" a="1"/>
  <c r="O166" i="3" s="1"/>
  <c r="N166" i="3" a="1"/>
  <c r="N166" i="3" s="1"/>
  <c r="E166" i="3"/>
  <c r="D166" i="3"/>
  <c r="C166" i="3"/>
  <c r="B166" i="3"/>
  <c r="P166" i="3"/>
  <c r="H78" i="3"/>
  <c r="E78" i="3"/>
  <c r="N78" i="3" a="1"/>
  <c r="N78" i="3" s="1"/>
  <c r="L78" i="3" a="1"/>
  <c r="L78" i="3" s="1"/>
  <c r="K78" i="3"/>
  <c r="D78" i="3"/>
  <c r="C78" i="3"/>
  <c r="B78" i="3"/>
  <c r="N101" i="3" a="1"/>
  <c r="N101" i="3" s="1"/>
  <c r="D101" i="3"/>
  <c r="C101" i="3"/>
  <c r="B101" i="3"/>
  <c r="P101" i="3"/>
  <c r="J101" i="3"/>
  <c r="I101" i="3"/>
  <c r="H101" i="3"/>
  <c r="G101" i="3"/>
  <c r="F101" i="3"/>
  <c r="E101" i="3"/>
  <c r="O101" i="3" a="1"/>
  <c r="O101" i="3" s="1"/>
  <c r="L101" i="3" a="1"/>
  <c r="L101" i="3" s="1"/>
  <c r="E136" i="3"/>
  <c r="C136" i="3"/>
  <c r="D136" i="3"/>
  <c r="B136" i="3"/>
  <c r="P136" i="3"/>
  <c r="O136" i="3" a="1"/>
  <c r="O136" i="3" s="1"/>
  <c r="N136" i="3" a="1"/>
  <c r="N136" i="3" s="1"/>
  <c r="L136" i="3" a="1"/>
  <c r="L136" i="3" s="1"/>
  <c r="C55" i="3"/>
  <c r="G180" i="3"/>
  <c r="F180" i="3"/>
  <c r="E180" i="3"/>
  <c r="D180" i="3"/>
  <c r="C180" i="3"/>
  <c r="P180" i="3"/>
  <c r="O180" i="3" a="1"/>
  <c r="O180" i="3" s="1"/>
  <c r="N180" i="3" a="1"/>
  <c r="N180" i="3" s="1"/>
  <c r="L180" i="3" a="1"/>
  <c r="L180" i="3" s="1"/>
  <c r="K180" i="3"/>
  <c r="J180" i="3"/>
  <c r="I180" i="3"/>
  <c r="H180" i="3"/>
  <c r="B180" i="3"/>
  <c r="L115" i="3" a="1"/>
  <c r="L115" i="3" s="1"/>
  <c r="H136" i="3"/>
  <c r="D171" i="3"/>
  <c r="L141" i="3" a="1"/>
  <c r="L141" i="3" s="1"/>
  <c r="E57" i="3"/>
  <c r="B73" i="3"/>
  <c r="P73" i="3"/>
  <c r="O73" i="3" a="1"/>
  <c r="O73" i="3" s="1"/>
  <c r="N73" i="3" a="1"/>
  <c r="N73" i="3" s="1"/>
  <c r="L73" i="3" a="1"/>
  <c r="L73" i="3" s="1"/>
  <c r="J87" i="3"/>
  <c r="B105" i="3"/>
  <c r="K136" i="3"/>
  <c r="N171" i="3" a="1"/>
  <c r="N171" i="3" s="1"/>
  <c r="E5" i="3"/>
  <c r="E21" i="3"/>
  <c r="H21" i="3" s="1"/>
  <c r="C73" i="3"/>
  <c r="E4" i="3"/>
  <c r="H4" i="3" s="1"/>
  <c r="B8" i="3"/>
  <c r="K8" i="3" s="1"/>
  <c r="E12" i="3"/>
  <c r="H12" i="3" s="1"/>
  <c r="C8" i="3"/>
  <c r="F8" i="3" s="1"/>
  <c r="E20" i="3"/>
  <c r="H20" i="3" s="1"/>
  <c r="D20" i="3"/>
  <c r="G20" i="3" s="1"/>
  <c r="C20" i="3"/>
  <c r="F20" i="3" s="1"/>
  <c r="B20" i="3"/>
  <c r="G37" i="3"/>
  <c r="D51" i="3"/>
  <c r="G51" i="3" s="1"/>
  <c r="O52" i="3" a="1"/>
  <c r="O52" i="3" s="1"/>
  <c r="B56" i="3"/>
  <c r="O57" i="3" a="1"/>
  <c r="O57" i="3" s="1"/>
  <c r="I66" i="3"/>
  <c r="G73" i="3"/>
  <c r="O75" i="3" a="1"/>
  <c r="O75" i="3" s="1"/>
  <c r="N75" i="3" a="1"/>
  <c r="N75" i="3" s="1"/>
  <c r="L75" i="3" a="1"/>
  <c r="L75" i="3" s="1"/>
  <c r="K75" i="3"/>
  <c r="F75" i="3"/>
  <c r="E75" i="3"/>
  <c r="D75" i="3"/>
  <c r="C75" i="3"/>
  <c r="B75" i="3"/>
  <c r="D79" i="3"/>
  <c r="J81" i="3"/>
  <c r="G116" i="3"/>
  <c r="G123" i="3"/>
  <c r="F123" i="3"/>
  <c r="E123" i="3"/>
  <c r="C123" i="3"/>
  <c r="B123" i="3"/>
  <c r="P123" i="3"/>
  <c r="N123" i="3" a="1"/>
  <c r="N123" i="3" s="1"/>
  <c r="L123" i="3" a="1"/>
  <c r="L123" i="3" s="1"/>
  <c r="K123" i="3"/>
  <c r="K142" i="3"/>
  <c r="I142" i="3"/>
  <c r="G142" i="3"/>
  <c r="J142" i="3"/>
  <c r="H142" i="3"/>
  <c r="F142" i="3"/>
  <c r="E142" i="3"/>
  <c r="D142" i="3"/>
  <c r="C142" i="3"/>
  <c r="P142" i="3"/>
  <c r="O142" i="3" a="1"/>
  <c r="O142" i="3" s="1"/>
  <c r="N142" i="3" a="1"/>
  <c r="N142" i="3" s="1"/>
  <c r="L142" i="3" a="1"/>
  <c r="L142" i="3" s="1"/>
  <c r="B142" i="3"/>
  <c r="F166" i="3"/>
  <c r="K169" i="3"/>
  <c r="I169" i="3"/>
  <c r="G169" i="3"/>
  <c r="J169" i="3"/>
  <c r="H169" i="3"/>
  <c r="F169" i="3"/>
  <c r="E169" i="3"/>
  <c r="D169" i="3"/>
  <c r="C169" i="3"/>
  <c r="P169" i="3"/>
  <c r="O169" i="3" a="1"/>
  <c r="O169" i="3" s="1"/>
  <c r="N169" i="3" a="1"/>
  <c r="N169" i="3" s="1"/>
  <c r="K178" i="3"/>
  <c r="J178" i="3"/>
  <c r="I178" i="3"/>
  <c r="H178" i="3"/>
  <c r="G178" i="3"/>
  <c r="N178" i="3" a="1"/>
  <c r="N178" i="3" s="1"/>
  <c r="L178" i="3" a="1"/>
  <c r="L178" i="3" s="1"/>
  <c r="F178" i="3"/>
  <c r="P178" i="3"/>
  <c r="B178" i="3"/>
  <c r="B90" i="3"/>
  <c r="O90" i="3" a="1"/>
  <c r="O90" i="3" s="1"/>
  <c r="P90" i="3"/>
  <c r="N90" i="3" a="1"/>
  <c r="N90" i="3" s="1"/>
  <c r="L90" i="3" a="1"/>
  <c r="L90" i="3" s="1"/>
  <c r="C107" i="3"/>
  <c r="B107" i="3"/>
  <c r="P107" i="3"/>
  <c r="O107" i="3" a="1"/>
  <c r="O107" i="3" s="1"/>
  <c r="J107" i="3"/>
  <c r="I107" i="3"/>
  <c r="H107" i="3"/>
  <c r="G107" i="3"/>
  <c r="F107" i="3"/>
  <c r="E107" i="3"/>
  <c r="K196" i="3"/>
  <c r="J196" i="3"/>
  <c r="I196" i="3"/>
  <c r="H196" i="3"/>
  <c r="G196" i="3"/>
  <c r="F196" i="3"/>
  <c r="L196" i="3" a="1"/>
  <c r="L196" i="3" s="1"/>
  <c r="E196" i="3"/>
  <c r="D196" i="3"/>
  <c r="C196" i="3"/>
  <c r="B46" i="3"/>
  <c r="C90" i="3"/>
  <c r="D107" i="3"/>
  <c r="I134" i="3"/>
  <c r="G134" i="3"/>
  <c r="C134" i="3"/>
  <c r="B134" i="3"/>
  <c r="P134" i="3"/>
  <c r="L134" i="3" a="1"/>
  <c r="L134" i="3" s="1"/>
  <c r="K134" i="3"/>
  <c r="J134" i="3"/>
  <c r="H134" i="3"/>
  <c r="F134" i="3"/>
  <c r="B196" i="3"/>
  <c r="C46" i="3"/>
  <c r="F46" i="3" s="1"/>
  <c r="D90" i="3"/>
  <c r="I104" i="3"/>
  <c r="P104" i="3"/>
  <c r="O104" i="3" a="1"/>
  <c r="O104" i="3" s="1"/>
  <c r="N104" i="3" a="1"/>
  <c r="N104" i="3" s="1"/>
  <c r="L104" i="3" a="1"/>
  <c r="L104" i="3" s="1"/>
  <c r="K104" i="3"/>
  <c r="K107" i="3"/>
  <c r="G126" i="3"/>
  <c r="E126" i="3"/>
  <c r="P126" i="3"/>
  <c r="J126" i="3"/>
  <c r="I126" i="3"/>
  <c r="H126" i="3"/>
  <c r="F126" i="3"/>
  <c r="D126" i="3"/>
  <c r="C126" i="3"/>
  <c r="O126" i="3" a="1"/>
  <c r="O126" i="3" s="1"/>
  <c r="N126" i="3" a="1"/>
  <c r="N126" i="3" s="1"/>
  <c r="D134" i="3"/>
  <c r="N158" i="3" a="1"/>
  <c r="N158" i="3" s="1"/>
  <c r="K158" i="3"/>
  <c r="L158" i="3" a="1"/>
  <c r="L158" i="3" s="1"/>
  <c r="J158" i="3"/>
  <c r="I158" i="3"/>
  <c r="H158" i="3"/>
  <c r="G158" i="3"/>
  <c r="C158" i="3"/>
  <c r="B158" i="3"/>
  <c r="I161" i="3"/>
  <c r="G161" i="3"/>
  <c r="E161" i="3"/>
  <c r="O161" i="3" a="1"/>
  <c r="O161" i="3" s="1"/>
  <c r="N161" i="3" a="1"/>
  <c r="N161" i="3" s="1"/>
  <c r="H161" i="3"/>
  <c r="F161" i="3"/>
  <c r="D161" i="3"/>
  <c r="C161" i="3"/>
  <c r="B161" i="3"/>
  <c r="P161" i="3"/>
  <c r="N196" i="3" a="1"/>
  <c r="N196" i="3" s="1"/>
  <c r="D46" i="3"/>
  <c r="G46" i="3" s="1"/>
  <c r="H70" i="3"/>
  <c r="G70" i="3"/>
  <c r="F70" i="3"/>
  <c r="E70" i="3"/>
  <c r="D70" i="3"/>
  <c r="C70" i="3"/>
  <c r="E90" i="3"/>
  <c r="L107" i="3" a="1"/>
  <c r="L107" i="3" s="1"/>
  <c r="I113" i="3"/>
  <c r="H113" i="3"/>
  <c r="P113" i="3"/>
  <c r="O113" i="3" a="1"/>
  <c r="O113" i="3" s="1"/>
  <c r="N113" i="3" a="1"/>
  <c r="N113" i="3" s="1"/>
  <c r="P147" i="3"/>
  <c r="O147" i="3" a="1"/>
  <c r="O147" i="3" s="1"/>
  <c r="N147" i="3" a="1"/>
  <c r="N147" i="3" s="1"/>
  <c r="L147" i="3" a="1"/>
  <c r="L147" i="3" s="1"/>
  <c r="K147" i="3"/>
  <c r="J147" i="3"/>
  <c r="I147" i="3"/>
  <c r="H147" i="3"/>
  <c r="G147" i="3"/>
  <c r="F147" i="3"/>
  <c r="E147" i="3"/>
  <c r="D147" i="3"/>
  <c r="C147" i="3"/>
  <c r="E46" i="3"/>
  <c r="H46" i="3" s="1"/>
  <c r="B70" i="3"/>
  <c r="O74" i="3" a="1"/>
  <c r="O74" i="3" s="1"/>
  <c r="N74" i="3" a="1"/>
  <c r="N74" i="3" s="1"/>
  <c r="F90" i="3"/>
  <c r="O100" i="3" a="1"/>
  <c r="O100" i="3" s="1"/>
  <c r="E100" i="3"/>
  <c r="D100" i="3"/>
  <c r="C100" i="3"/>
  <c r="B100" i="3"/>
  <c r="G100" i="3"/>
  <c r="F100" i="3"/>
  <c r="O109" i="3" a="1"/>
  <c r="O109" i="3" s="1"/>
  <c r="P109" i="3"/>
  <c r="N109" i="3" a="1"/>
  <c r="N109" i="3" s="1"/>
  <c r="L109" i="3" a="1"/>
  <c r="L109" i="3" s="1"/>
  <c r="K109" i="3"/>
  <c r="J109" i="3"/>
  <c r="B113" i="3"/>
  <c r="B147" i="3"/>
  <c r="N185" i="3" a="1"/>
  <c r="N185" i="3" s="1"/>
  <c r="L185" i="3" a="1"/>
  <c r="L185" i="3" s="1"/>
  <c r="K185" i="3"/>
  <c r="P185" i="3"/>
  <c r="O185" i="3" a="1"/>
  <c r="O185" i="3" s="1"/>
  <c r="J185" i="3"/>
  <c r="I185" i="3"/>
  <c r="H185" i="3"/>
  <c r="O193" i="3" a="1"/>
  <c r="O193" i="3" s="1"/>
  <c r="N193" i="3" a="1"/>
  <c r="N193" i="3" s="1"/>
  <c r="L193" i="3" a="1"/>
  <c r="L193" i="3" s="1"/>
  <c r="P193" i="3"/>
  <c r="K193" i="3"/>
  <c r="J193" i="3"/>
  <c r="I193" i="3"/>
  <c r="H193" i="3"/>
  <c r="G193" i="3"/>
  <c r="F193" i="3"/>
  <c r="E193" i="3"/>
  <c r="C193" i="3"/>
  <c r="B193" i="3"/>
  <c r="O196" i="3" a="1"/>
  <c r="O196" i="3" s="1"/>
  <c r="C200" i="3"/>
  <c r="B200" i="3"/>
  <c r="P200" i="3"/>
  <c r="O200" i="3" a="1"/>
  <c r="O200" i="3" s="1"/>
  <c r="J200" i="3"/>
  <c r="I200" i="3"/>
  <c r="H200" i="3"/>
  <c r="G200" i="3"/>
  <c r="F200" i="3"/>
  <c r="E200" i="3"/>
  <c r="N200" i="3" a="1"/>
  <c r="N200" i="3" s="1"/>
  <c r="L200" i="3" a="1"/>
  <c r="L200" i="3" s="1"/>
  <c r="K200" i="3"/>
  <c r="D200" i="3"/>
  <c r="O65" i="3" a="1"/>
  <c r="O65" i="3" s="1"/>
  <c r="N65" i="3" a="1"/>
  <c r="N65" i="3" s="1"/>
  <c r="I70" i="3"/>
  <c r="B74" i="3"/>
  <c r="G90" i="3"/>
  <c r="N92" i="3" a="1"/>
  <c r="N92" i="3" s="1"/>
  <c r="P92" i="3"/>
  <c r="O92" i="3" a="1"/>
  <c r="O92" i="3" s="1"/>
  <c r="H100" i="3"/>
  <c r="D104" i="3"/>
  <c r="B109" i="3"/>
  <c r="C113" i="3"/>
  <c r="L126" i="3" a="1"/>
  <c r="L126" i="3" s="1"/>
  <c r="N134" i="3" a="1"/>
  <c r="N134" i="3" s="1"/>
  <c r="F158" i="3"/>
  <c r="L161" i="3" a="1"/>
  <c r="L161" i="3" s="1"/>
  <c r="B185" i="3"/>
  <c r="D193" i="3"/>
  <c r="I122" i="3"/>
  <c r="H122" i="3"/>
  <c r="G122" i="3"/>
  <c r="B122" i="3"/>
  <c r="P122" i="3"/>
  <c r="C122" i="3"/>
  <c r="O130" i="3" a="1"/>
  <c r="O130" i="3" s="1"/>
  <c r="N130" i="3" a="1"/>
  <c r="N130" i="3" s="1"/>
  <c r="C130" i="3"/>
  <c r="B130" i="3"/>
  <c r="L130" i="3" a="1"/>
  <c r="L130" i="3" s="1"/>
  <c r="K130" i="3"/>
  <c r="K151" i="3"/>
  <c r="I151" i="3"/>
  <c r="G151" i="3"/>
  <c r="B151" i="3"/>
  <c r="P151" i="3"/>
  <c r="O151" i="3" a="1"/>
  <c r="O151" i="3" s="1"/>
  <c r="N151" i="3" a="1"/>
  <c r="N151" i="3" s="1"/>
  <c r="I188" i="3"/>
  <c r="H188" i="3"/>
  <c r="G188" i="3"/>
  <c r="F188" i="3"/>
  <c r="E188" i="3"/>
  <c r="D188" i="3"/>
  <c r="N188" i="3" a="1"/>
  <c r="N188" i="3" s="1"/>
  <c r="L188" i="3" a="1"/>
  <c r="L188" i="3" s="1"/>
  <c r="K188" i="3"/>
  <c r="J188" i="3"/>
  <c r="L195" i="3" a="1"/>
  <c r="L195" i="3" s="1"/>
  <c r="K195" i="3"/>
  <c r="J195" i="3"/>
  <c r="I195" i="3"/>
  <c r="H195" i="3"/>
  <c r="D195" i="3"/>
  <c r="C195" i="3"/>
  <c r="B195" i="3"/>
  <c r="O195" i="3" a="1"/>
  <c r="O195" i="3" s="1"/>
  <c r="N195" i="3" a="1"/>
  <c r="N195" i="3" s="1"/>
  <c r="G195" i="3"/>
  <c r="F195" i="3"/>
  <c r="E195" i="3"/>
  <c r="P54" i="3"/>
  <c r="P63" i="3"/>
  <c r="P72" i="3"/>
  <c r="L94" i="3" a="1"/>
  <c r="L94" i="3" s="1"/>
  <c r="K94" i="3"/>
  <c r="J94" i="3"/>
  <c r="I94" i="3"/>
  <c r="E106" i="3"/>
  <c r="D106" i="3"/>
  <c r="P106" i="3"/>
  <c r="O106" i="3" a="1"/>
  <c r="O106" i="3" s="1"/>
  <c r="G114" i="3"/>
  <c r="F114" i="3"/>
  <c r="P114" i="3"/>
  <c r="O114" i="3" a="1"/>
  <c r="O114" i="3" s="1"/>
  <c r="O118" i="3" a="1"/>
  <c r="O118" i="3" s="1"/>
  <c r="B118" i="3"/>
  <c r="P118" i="3"/>
  <c r="N118" i="3" a="1"/>
  <c r="N118" i="3" s="1"/>
  <c r="D122" i="3"/>
  <c r="E145" i="3"/>
  <c r="C145" i="3"/>
  <c r="P145" i="3"/>
  <c r="L145" i="3" a="1"/>
  <c r="L145" i="3" s="1"/>
  <c r="K145" i="3"/>
  <c r="J145" i="3"/>
  <c r="I145" i="3"/>
  <c r="O145" i="3" a="1"/>
  <c r="O145" i="3" s="1"/>
  <c r="O157" i="3" a="1"/>
  <c r="O157" i="3" s="1"/>
  <c r="N157" i="3" a="1"/>
  <c r="N157" i="3" s="1"/>
  <c r="K157" i="3"/>
  <c r="J157" i="3"/>
  <c r="I157" i="3"/>
  <c r="H157" i="3"/>
  <c r="G157" i="3"/>
  <c r="F157" i="3"/>
  <c r="P157" i="3"/>
  <c r="G162" i="3"/>
  <c r="E162" i="3"/>
  <c r="C162" i="3"/>
  <c r="P162" i="3"/>
  <c r="O162" i="3" a="1"/>
  <c r="O162" i="3" s="1"/>
  <c r="N162" i="3" a="1"/>
  <c r="N162" i="3" s="1"/>
  <c r="L162" i="3" a="1"/>
  <c r="L162" i="3" s="1"/>
  <c r="K162" i="3"/>
  <c r="J162" i="3"/>
  <c r="O175" i="3" a="1"/>
  <c r="O175" i="3" s="1"/>
  <c r="N175" i="3" a="1"/>
  <c r="N175" i="3" s="1"/>
  <c r="B175" i="3"/>
  <c r="K175" i="3"/>
  <c r="J175" i="3"/>
  <c r="I175" i="3"/>
  <c r="H175" i="3"/>
  <c r="G175" i="3"/>
  <c r="F175" i="3"/>
  <c r="E175" i="3"/>
  <c r="B54" i="3"/>
  <c r="B63" i="3"/>
  <c r="B72" i="3"/>
  <c r="B94" i="3"/>
  <c r="B106" i="3"/>
  <c r="B114" i="3"/>
  <c r="C118" i="3"/>
  <c r="E122" i="3"/>
  <c r="E130" i="3"/>
  <c r="B145" i="3"/>
  <c r="O148" i="3" a="1"/>
  <c r="O148" i="3" s="1"/>
  <c r="N148" i="3" a="1"/>
  <c r="N148" i="3" s="1"/>
  <c r="P148" i="3"/>
  <c r="L148" i="3" a="1"/>
  <c r="L148" i="3" s="1"/>
  <c r="D151" i="3"/>
  <c r="B157" i="3"/>
  <c r="B162" i="3"/>
  <c r="C175" i="3"/>
  <c r="C188" i="3"/>
  <c r="P195" i="3"/>
  <c r="C54" i="3"/>
  <c r="C63" i="3"/>
  <c r="C72" i="3"/>
  <c r="L93" i="3" a="1"/>
  <c r="L93" i="3" s="1"/>
  <c r="K93" i="3"/>
  <c r="C94" i="3"/>
  <c r="C106" i="3"/>
  <c r="N110" i="3" a="1"/>
  <c r="N110" i="3" s="1"/>
  <c r="P110" i="3"/>
  <c r="O110" i="3" a="1"/>
  <c r="O110" i="3" s="1"/>
  <c r="C114" i="3"/>
  <c r="D118" i="3"/>
  <c r="F122" i="3"/>
  <c r="F130" i="3"/>
  <c r="D145" i="3"/>
  <c r="B148" i="3"/>
  <c r="E151" i="3"/>
  <c r="C157" i="3"/>
  <c r="D162" i="3"/>
  <c r="D175" i="3"/>
  <c r="B93" i="3"/>
  <c r="D94" i="3"/>
  <c r="F106" i="3"/>
  <c r="B110" i="3"/>
  <c r="D114" i="3"/>
  <c r="E118" i="3"/>
  <c r="K121" i="3"/>
  <c r="J121" i="3"/>
  <c r="B121" i="3"/>
  <c r="P121" i="3"/>
  <c r="O121" i="3" a="1"/>
  <c r="O121" i="3" s="1"/>
  <c r="J122" i="3"/>
  <c r="G130" i="3"/>
  <c r="F145" i="3"/>
  <c r="C148" i="3"/>
  <c r="F151" i="3"/>
  <c r="C155" i="3"/>
  <c r="P155" i="3"/>
  <c r="O155" i="3" a="1"/>
  <c r="O155" i="3" s="1"/>
  <c r="I155" i="3"/>
  <c r="H155" i="3"/>
  <c r="G155" i="3"/>
  <c r="F155" i="3"/>
  <c r="E155" i="3"/>
  <c r="D155" i="3"/>
  <c r="D157" i="3"/>
  <c r="F162" i="3"/>
  <c r="I170" i="3"/>
  <c r="G170" i="3"/>
  <c r="E170" i="3"/>
  <c r="L170" i="3" a="1"/>
  <c r="L170" i="3" s="1"/>
  <c r="K170" i="3"/>
  <c r="J170" i="3"/>
  <c r="H170" i="3"/>
  <c r="F170" i="3"/>
  <c r="D170" i="3"/>
  <c r="N170" i="3" a="1"/>
  <c r="N170" i="3" s="1"/>
  <c r="C170" i="3"/>
  <c r="B170" i="3"/>
  <c r="L175" i="3" a="1"/>
  <c r="L175" i="3" s="1"/>
  <c r="O188" i="3" a="1"/>
  <c r="O188" i="3" s="1"/>
  <c r="N149" i="3" a="1"/>
  <c r="N149" i="3" s="1"/>
  <c r="K149" i="3"/>
  <c r="P149" i="3"/>
  <c r="O149" i="3" a="1"/>
  <c r="O149" i="3" s="1"/>
  <c r="P156" i="3"/>
  <c r="O156" i="3" a="1"/>
  <c r="O156" i="3" s="1"/>
  <c r="N156" i="3" a="1"/>
  <c r="N156" i="3" s="1"/>
  <c r="J156" i="3"/>
  <c r="I156" i="3"/>
  <c r="H156" i="3"/>
  <c r="G156" i="3"/>
  <c r="F156" i="3"/>
  <c r="E156" i="3"/>
  <c r="L186" i="3" a="1"/>
  <c r="L186" i="3" s="1"/>
  <c r="K186" i="3"/>
  <c r="J186" i="3"/>
  <c r="I186" i="3"/>
  <c r="B186" i="3"/>
  <c r="P201" i="3"/>
  <c r="O201" i="3" a="1"/>
  <c r="O201" i="3" s="1"/>
  <c r="N201" i="3" a="1"/>
  <c r="N201" i="3" s="1"/>
  <c r="L201" i="3" a="1"/>
  <c r="L201" i="3" s="1"/>
  <c r="K201" i="3"/>
  <c r="J201" i="3"/>
  <c r="I201" i="3"/>
  <c r="H201" i="3"/>
  <c r="C125" i="3"/>
  <c r="B125" i="3"/>
  <c r="P125" i="3"/>
  <c r="B149" i="3"/>
  <c r="B156" i="3"/>
  <c r="C186" i="3"/>
  <c r="B201" i="3"/>
  <c r="D125" i="3"/>
  <c r="K133" i="3"/>
  <c r="I133" i="3"/>
  <c r="C133" i="3"/>
  <c r="B133" i="3"/>
  <c r="P133" i="3"/>
  <c r="C149" i="3"/>
  <c r="G153" i="3"/>
  <c r="E153" i="3"/>
  <c r="C153" i="3"/>
  <c r="F153" i="3"/>
  <c r="D153" i="3"/>
  <c r="B153" i="3"/>
  <c r="C156" i="3"/>
  <c r="N167" i="3" a="1"/>
  <c r="N167" i="3" s="1"/>
  <c r="K167" i="3"/>
  <c r="F167" i="3"/>
  <c r="E167" i="3"/>
  <c r="D167" i="3"/>
  <c r="C167" i="3"/>
  <c r="B167" i="3"/>
  <c r="D186" i="3"/>
  <c r="C201" i="3"/>
  <c r="P102" i="3"/>
  <c r="E125" i="3"/>
  <c r="D133" i="3"/>
  <c r="C146" i="3"/>
  <c r="P146" i="3"/>
  <c r="O146" i="3" a="1"/>
  <c r="O146" i="3" s="1"/>
  <c r="N146" i="3" a="1"/>
  <c r="N146" i="3" s="1"/>
  <c r="L146" i="3" a="1"/>
  <c r="L146" i="3" s="1"/>
  <c r="K146" i="3"/>
  <c r="J146" i="3"/>
  <c r="D149" i="3"/>
  <c r="H153" i="3"/>
  <c r="D156" i="3"/>
  <c r="G167" i="3"/>
  <c r="E172" i="3"/>
  <c r="C172" i="3"/>
  <c r="P172" i="3"/>
  <c r="L172" i="3" a="1"/>
  <c r="L172" i="3" s="1"/>
  <c r="K172" i="3"/>
  <c r="J172" i="3"/>
  <c r="I172" i="3"/>
  <c r="E186" i="3"/>
  <c r="E190" i="3"/>
  <c r="D190" i="3"/>
  <c r="C190" i="3"/>
  <c r="B190" i="3"/>
  <c r="P190" i="3"/>
  <c r="O190" i="3" a="1"/>
  <c r="O190" i="3" s="1"/>
  <c r="D201" i="3"/>
  <c r="P103" i="3"/>
  <c r="F125" i="3"/>
  <c r="E133" i="3"/>
  <c r="B146" i="3"/>
  <c r="E149" i="3"/>
  <c r="I153" i="3"/>
  <c r="K156" i="3"/>
  <c r="E163" i="3"/>
  <c r="C163" i="3"/>
  <c r="P163" i="3"/>
  <c r="O163" i="3" a="1"/>
  <c r="O163" i="3" s="1"/>
  <c r="N163" i="3" a="1"/>
  <c r="N163" i="3" s="1"/>
  <c r="H167" i="3"/>
  <c r="B172" i="3"/>
  <c r="P174" i="3"/>
  <c r="O174" i="3" a="1"/>
  <c r="O174" i="3" s="1"/>
  <c r="N174" i="3" a="1"/>
  <c r="N174" i="3" s="1"/>
  <c r="L174" i="3" a="1"/>
  <c r="L174" i="3" s="1"/>
  <c r="F186" i="3"/>
  <c r="E201" i="3"/>
  <c r="G125" i="3"/>
  <c r="K132" i="3"/>
  <c r="C132" i="3"/>
  <c r="B132" i="3"/>
  <c r="F133" i="3"/>
  <c r="D146" i="3"/>
  <c r="F149" i="3"/>
  <c r="J153" i="3"/>
  <c r="L156" i="3" a="1"/>
  <c r="L156" i="3" s="1"/>
  <c r="B163" i="3"/>
  <c r="I167" i="3"/>
  <c r="D172" i="3"/>
  <c r="B174" i="3"/>
  <c r="G186" i="3"/>
  <c r="G190" i="3"/>
  <c r="N194" i="3" a="1"/>
  <c r="N194" i="3" s="1"/>
  <c r="L194" i="3" a="1"/>
  <c r="L194" i="3" s="1"/>
  <c r="K194" i="3"/>
  <c r="J194" i="3"/>
  <c r="P194" i="3"/>
  <c r="F201" i="3"/>
  <c r="B103" i="3"/>
  <c r="B117" i="3"/>
  <c r="H125" i="3"/>
  <c r="D132" i="3"/>
  <c r="G133" i="3"/>
  <c r="E146" i="3"/>
  <c r="G149" i="3"/>
  <c r="K153" i="3"/>
  <c r="D163" i="3"/>
  <c r="J167" i="3"/>
  <c r="F172" i="3"/>
  <c r="C174" i="3"/>
  <c r="H186" i="3"/>
  <c r="H190" i="3"/>
  <c r="P192" i="3"/>
  <c r="O192" i="3" a="1"/>
  <c r="O192" i="3" s="1"/>
  <c r="N192" i="3" a="1"/>
  <c r="N192" i="3" s="1"/>
  <c r="J192" i="3"/>
  <c r="I192" i="3"/>
  <c r="H192" i="3"/>
  <c r="G192" i="3"/>
  <c r="F192" i="3"/>
  <c r="E192" i="3"/>
  <c r="B194" i="3"/>
  <c r="G201" i="3"/>
  <c r="E154" i="3"/>
  <c r="C154" i="3"/>
  <c r="P154" i="3"/>
  <c r="P138" i="3"/>
  <c r="O138" i="3" a="1"/>
  <c r="O138" i="3" s="1"/>
  <c r="B154" i="3"/>
  <c r="K187" i="3"/>
  <c r="J187" i="3"/>
  <c r="I187" i="3"/>
  <c r="H187" i="3"/>
  <c r="G187" i="3"/>
  <c r="F187" i="3"/>
  <c r="C191" i="3"/>
  <c r="B191" i="3"/>
  <c r="P191" i="3"/>
  <c r="O191" i="3" a="1"/>
  <c r="O191" i="3" s="1"/>
  <c r="C137" i="3"/>
  <c r="P137" i="3"/>
  <c r="B138" i="3"/>
  <c r="D154" i="3"/>
  <c r="P165" i="3"/>
  <c r="O165" i="3" a="1"/>
  <c r="O165" i="3" s="1"/>
  <c r="N165" i="3" a="1"/>
  <c r="N165" i="3" s="1"/>
  <c r="B187" i="3"/>
  <c r="D191" i="3"/>
  <c r="P129" i="3"/>
  <c r="O129" i="3" a="1"/>
  <c r="O129" i="3" s="1"/>
  <c r="C138" i="3"/>
  <c r="I152" i="3"/>
  <c r="G152" i="3"/>
  <c r="E152" i="3"/>
  <c r="F154" i="3"/>
  <c r="E181" i="3"/>
  <c r="D181" i="3"/>
  <c r="C181" i="3"/>
  <c r="B181" i="3"/>
  <c r="P181" i="3"/>
  <c r="C187" i="3"/>
  <c r="E191" i="3"/>
  <c r="E199" i="3"/>
  <c r="D199" i="3"/>
  <c r="C199" i="3"/>
  <c r="B199" i="3"/>
  <c r="P199" i="3"/>
  <c r="C128" i="3"/>
  <c r="P128" i="3"/>
  <c r="B129" i="3"/>
  <c r="D137" i="3"/>
  <c r="D138" i="3"/>
  <c r="B152" i="3"/>
  <c r="G154" i="3"/>
  <c r="C164" i="3"/>
  <c r="P164" i="3"/>
  <c r="O164" i="3" a="1"/>
  <c r="O164" i="3" s="1"/>
  <c r="C165" i="3"/>
  <c r="F181" i="3"/>
  <c r="D187" i="3"/>
  <c r="F191" i="3"/>
  <c r="F199" i="3"/>
  <c r="E127" i="3"/>
  <c r="C127" i="3"/>
  <c r="C129" i="3"/>
  <c r="E137" i="3"/>
  <c r="E138" i="3"/>
  <c r="K150" i="3"/>
  <c r="I150" i="3"/>
  <c r="C152" i="3"/>
  <c r="H154" i="3"/>
  <c r="D165" i="3"/>
  <c r="G181" i="3"/>
  <c r="E187" i="3"/>
  <c r="G191" i="3"/>
  <c r="G199" i="3"/>
  <c r="J3" i="1"/>
  <c r="J4" i="1"/>
  <c r="J5" i="1"/>
  <c r="K3" i="3" l="1"/>
  <c r="J43" i="3"/>
  <c r="K33" i="3"/>
  <c r="K10" i="3"/>
  <c r="I14" i="3"/>
  <c r="K7" i="3"/>
  <c r="J7" i="3"/>
  <c r="I51" i="3"/>
  <c r="K11" i="3"/>
  <c r="I31" i="3"/>
  <c r="I32" i="3"/>
  <c r="J31" i="3"/>
  <c r="J45" i="3"/>
  <c r="I45" i="3"/>
  <c r="K48" i="3"/>
  <c r="I24" i="3"/>
  <c r="I48" i="3"/>
  <c r="J24" i="3"/>
  <c r="J36" i="3"/>
  <c r="K36" i="3"/>
  <c r="J11" i="3"/>
  <c r="K15" i="3"/>
  <c r="K39" i="3"/>
  <c r="J27" i="3"/>
  <c r="J10" i="3"/>
  <c r="J40" i="3"/>
  <c r="I34" i="3"/>
  <c r="J18" i="3"/>
  <c r="J34" i="3"/>
  <c r="I41" i="3"/>
  <c r="I39" i="3"/>
  <c r="L39" i="3" s="1" a="1"/>
  <c r="L39" i="3" s="1"/>
  <c r="I27" i="3"/>
  <c r="J3" i="3"/>
  <c r="K35" i="3"/>
  <c r="J22" i="3"/>
  <c r="J41" i="3"/>
  <c r="I40" i="3"/>
  <c r="K23" i="3"/>
  <c r="I20" i="3"/>
  <c r="J20" i="3"/>
  <c r="K20" i="3"/>
  <c r="K28" i="3"/>
  <c r="I37" i="3"/>
  <c r="I9" i="3"/>
  <c r="K18" i="3"/>
  <c r="I6" i="3"/>
  <c r="I25" i="3"/>
  <c r="I16" i="3"/>
  <c r="K47" i="3"/>
  <c r="J47" i="3"/>
  <c r="I8" i="3"/>
  <c r="J38" i="3"/>
  <c r="J25" i="3"/>
  <c r="J16" i="3"/>
  <c r="I43" i="3"/>
  <c r="J9" i="3"/>
  <c r="K32" i="3"/>
  <c r="I38" i="3"/>
  <c r="J8" i="3"/>
  <c r="I26" i="3"/>
  <c r="J49" i="3"/>
  <c r="K6" i="3"/>
  <c r="I15" i="3"/>
  <c r="J28" i="3"/>
  <c r="J14" i="3"/>
  <c r="L14" i="3" s="1" a="1"/>
  <c r="L14" i="3" s="1"/>
  <c r="I49" i="3"/>
  <c r="J44" i="3"/>
  <c r="K13" i="3"/>
  <c r="J13" i="3"/>
  <c r="J26" i="3"/>
  <c r="I42" i="3"/>
  <c r="J42" i="3"/>
  <c r="K46" i="3"/>
  <c r="J46" i="3"/>
  <c r="I46" i="3"/>
  <c r="K37" i="3"/>
  <c r="K30" i="3"/>
  <c r="I23" i="3"/>
  <c r="I17" i="3"/>
  <c r="I50" i="3"/>
  <c r="I19" i="3"/>
  <c r="J21" i="3"/>
  <c r="K21" i="3"/>
  <c r="J19" i="3"/>
  <c r="J12" i="3"/>
  <c r="I12" i="3"/>
  <c r="K12" i="3"/>
  <c r="J4" i="3"/>
  <c r="I4" i="3"/>
  <c r="K4" i="3"/>
  <c r="K29" i="3"/>
  <c r="J29" i="3"/>
  <c r="J17" i="3"/>
  <c r="J50" i="3"/>
  <c r="J5" i="3"/>
  <c r="K5" i="3"/>
  <c r="K44" i="3"/>
  <c r="I35" i="3"/>
  <c r="J30" i="3"/>
  <c r="H2" i="1"/>
  <c r="B6" i="2"/>
  <c r="E68" i="2"/>
  <c r="D68" i="2"/>
  <c r="C68" i="2"/>
  <c r="B68" i="2"/>
  <c r="E67" i="2"/>
  <c r="D67" i="2"/>
  <c r="C67" i="2"/>
  <c r="B67" i="2"/>
  <c r="E66" i="2"/>
  <c r="D66" i="2"/>
  <c r="C66" i="2"/>
  <c r="B66" i="2"/>
  <c r="B9" i="2"/>
  <c r="B8" i="2"/>
  <c r="B7" i="2"/>
  <c r="H5" i="1"/>
  <c r="H4" i="1"/>
  <c r="H3" i="1"/>
  <c r="L30" i="3" l="1" a="1"/>
  <c r="L30" i="3" s="1"/>
  <c r="L34" i="3" a="1"/>
  <c r="L34" i="3" s="1"/>
  <c r="L40" i="3" a="1"/>
  <c r="L40" i="3" s="1"/>
  <c r="L5" i="3" a="1"/>
  <c r="L5" i="3" s="1"/>
  <c r="L21" i="3" a="1"/>
  <c r="L21" i="3" s="1"/>
  <c r="L32" i="3" a="1"/>
  <c r="L32" i="3" s="1"/>
  <c r="L51" i="3" a="1"/>
  <c r="L51" i="3" s="1"/>
  <c r="L24" i="3" a="1"/>
  <c r="L24" i="3" s="1"/>
  <c r="L12" i="3" a="1"/>
  <c r="L12" i="3" s="1"/>
  <c r="L42" i="3" a="1"/>
  <c r="L42" i="3" s="1"/>
  <c r="L38" i="3" a="1"/>
  <c r="L38" i="3" s="1"/>
  <c r="L6" i="3" a="1"/>
  <c r="L6" i="3" s="1"/>
  <c r="L16" i="3" a="1"/>
  <c r="L16" i="3" s="1"/>
  <c r="L46" i="3" a="1"/>
  <c r="L46" i="3" s="1"/>
  <c r="L25" i="3" a="1"/>
  <c r="L25" i="3" s="1"/>
  <c r="L31" i="3" a="1"/>
  <c r="L31" i="3" s="1"/>
  <c r="L45" i="3" a="1"/>
  <c r="L45" i="3" s="1"/>
  <c r="L8" i="3" a="1"/>
  <c r="L8" i="3" s="1"/>
  <c r="L47" i="3" a="1"/>
  <c r="L47" i="3" s="1"/>
  <c r="L4" i="3" a="1"/>
  <c r="L4" i="3" s="1"/>
  <c r="L22" i="3" a="1"/>
  <c r="L22" i="3" s="1"/>
  <c r="L3" i="3" a="1"/>
  <c r="L3" i="3" s="1"/>
  <c r="L11" i="3" a="1"/>
  <c r="L11" i="3" s="1"/>
  <c r="L35" i="3" a="1"/>
  <c r="L35" i="3" s="1"/>
  <c r="L19" i="3" a="1"/>
  <c r="L19" i="3" s="1"/>
  <c r="L43" i="3" a="1"/>
  <c r="L43" i="3" s="1"/>
  <c r="L37" i="3" a="1"/>
  <c r="L37" i="3" s="1"/>
  <c r="L18" i="3" a="1"/>
  <c r="L18" i="3" s="1"/>
  <c r="L50" i="3" a="1"/>
  <c r="L50" i="3" s="1"/>
  <c r="L49" i="3" a="1"/>
  <c r="L49" i="3" s="1"/>
  <c r="L17" i="3" a="1"/>
  <c r="L17" i="3" s="1"/>
  <c r="L28" i="3" a="1"/>
  <c r="L28" i="3" s="1"/>
  <c r="L23" i="3" a="1"/>
  <c r="L23" i="3" s="1"/>
  <c r="L41" i="3" a="1"/>
  <c r="L41" i="3" s="1"/>
  <c r="L20" i="3" a="1"/>
  <c r="L20" i="3" s="1"/>
  <c r="L7" i="3" a="1"/>
  <c r="L7" i="3" s="1"/>
  <c r="L33" i="3" a="1"/>
  <c r="L33" i="3" s="1"/>
  <c r="L44" i="3" a="1"/>
  <c r="L44" i="3" s="1"/>
  <c r="L26" i="3" a="1"/>
  <c r="L26" i="3" s="1"/>
  <c r="L13" i="3" a="1"/>
  <c r="L13" i="3" s="1"/>
  <c r="L9" i="3" a="1"/>
  <c r="L9" i="3" s="1"/>
  <c r="L48" i="3" a="1"/>
  <c r="L48" i="3" s="1"/>
  <c r="L36" i="3" a="1"/>
  <c r="L36" i="3" s="1"/>
  <c r="L29" i="3" a="1"/>
  <c r="L29" i="3" s="1"/>
  <c r="L15" i="3" a="1"/>
  <c r="L15" i="3" s="1"/>
  <c r="L27" i="3" a="1"/>
  <c r="L27" i="3" s="1"/>
  <c r="L2" i="3" a="1"/>
  <c r="L2" i="3" s="1"/>
  <c r="L10" i="3" a="1"/>
  <c r="L10" i="3" s="1"/>
  <c r="C9" i="2"/>
  <c r="C7" i="2"/>
  <c r="C8" i="2"/>
  <c r="M4" i="3" l="1" a="1"/>
  <c r="M4" i="3" s="1"/>
  <c r="M31" i="3" a="1"/>
  <c r="M31" i="3" s="1"/>
  <c r="M49" i="3" a="1"/>
  <c r="M49" i="3" s="1"/>
  <c r="M18" i="3" a="1"/>
  <c r="M18" i="3" s="1"/>
  <c r="M33" i="3" a="1"/>
  <c r="M33" i="3" s="1"/>
  <c r="M17" i="3" a="1"/>
  <c r="M17" i="3" s="1"/>
  <c r="M37" i="3" a="1"/>
  <c r="M37" i="3" s="1"/>
  <c r="M12" i="3" a="1"/>
  <c r="M12" i="3" s="1"/>
  <c r="M20" i="3" a="1"/>
  <c r="M20" i="3" s="1"/>
  <c r="O34" i="3" a="1"/>
  <c r="O34" i="3" s="1"/>
  <c r="P34" i="3" s="1"/>
  <c r="M44" i="3" a="1"/>
  <c r="M44" i="3" s="1"/>
  <c r="M27" i="3" a="1"/>
  <c r="M27" i="3" s="1"/>
  <c r="M9" i="3" a="1"/>
  <c r="M9" i="3" s="1"/>
  <c r="M2" i="3" a="1"/>
  <c r="M2" i="3" s="1"/>
  <c r="M43" i="3" a="1"/>
  <c r="M43" i="3" s="1"/>
  <c r="M26" i="3" a="1"/>
  <c r="M26" i="3" s="1"/>
  <c r="M42" i="3" a="1"/>
  <c r="M42" i="3" s="1"/>
  <c r="M25" i="3" a="1"/>
  <c r="M25" i="3" s="1"/>
  <c r="M7" i="3" a="1"/>
  <c r="M7" i="3" s="1"/>
  <c r="M41" i="3" a="1"/>
  <c r="M41" i="3" s="1"/>
  <c r="M24" i="3" a="1"/>
  <c r="M24" i="3" s="1"/>
  <c r="M6" i="3" a="1"/>
  <c r="M6" i="3" s="1"/>
  <c r="M40" i="3" a="1"/>
  <c r="M40" i="3" s="1"/>
  <c r="M23" i="3" a="1"/>
  <c r="M23" i="3" s="1"/>
  <c r="M5" i="3" a="1"/>
  <c r="M5" i="3" s="1"/>
  <c r="M39" i="3" a="1"/>
  <c r="M39" i="3" s="1"/>
  <c r="M38" i="3" a="1"/>
  <c r="M38" i="3" s="1"/>
  <c r="M21" i="3" a="1"/>
  <c r="M21" i="3" s="1"/>
  <c r="M3" i="3" a="1"/>
  <c r="M3" i="3" s="1"/>
  <c r="M29" i="3" a="1"/>
  <c r="M29" i="3" s="1"/>
  <c r="M45" i="3" a="1"/>
  <c r="M45" i="3" s="1"/>
  <c r="M16" i="3" a="1"/>
  <c r="M16" i="3" s="1"/>
  <c r="M15" i="3" a="1"/>
  <c r="M15" i="3" s="1"/>
  <c r="M19" i="3" a="1"/>
  <c r="M19" i="3" s="1"/>
  <c r="M51" i="3" a="1"/>
  <c r="M51" i="3" s="1"/>
  <c r="M10" i="3" a="1"/>
  <c r="M10" i="3" s="1"/>
  <c r="M48" i="3" a="1"/>
  <c r="M48" i="3" s="1"/>
  <c r="M35" i="3" a="1"/>
  <c r="M35" i="3" s="1"/>
  <c r="M30" i="3" a="1"/>
  <c r="M30" i="3" s="1"/>
  <c r="M8" i="3" a="1"/>
  <c r="M8" i="3" s="1"/>
  <c r="M36" i="3" a="1"/>
  <c r="M36" i="3" s="1"/>
  <c r="M11" i="3" a="1"/>
  <c r="M11" i="3" s="1"/>
  <c r="M32" i="3" a="1"/>
  <c r="M32" i="3" s="1"/>
  <c r="M46" i="3" a="1"/>
  <c r="M46" i="3" s="1"/>
  <c r="M50" i="3" a="1"/>
  <c r="M50" i="3" s="1"/>
  <c r="M13" i="3" a="1"/>
  <c r="M13" i="3" s="1"/>
  <c r="N32" i="3" a="1"/>
  <c r="N32" i="3" s="1"/>
  <c r="M14" i="3" a="1"/>
  <c r="M14" i="3" s="1"/>
  <c r="M47" i="3" a="1"/>
  <c r="M47" i="3" s="1"/>
  <c r="M28" i="3" a="1"/>
  <c r="M28" i="3" s="1"/>
  <c r="M22" i="3" a="1"/>
  <c r="M22" i="3" s="1"/>
  <c r="M34" i="3" a="1"/>
  <c r="M34" i="3" s="1"/>
  <c r="O46" i="3" a="1"/>
  <c r="O46" i="3" s="1"/>
  <c r="P46" i="3" s="1"/>
  <c r="O15" i="3" a="1"/>
  <c r="O15" i="3" s="1"/>
  <c r="P15" i="3" s="1"/>
  <c r="O28" i="3" a="1"/>
  <c r="O28" i="3" s="1"/>
  <c r="P28" i="3" s="1"/>
  <c r="N18" i="3" a="1"/>
  <c r="N18" i="3" s="1"/>
  <c r="O49" i="3" a="1"/>
  <c r="O49" i="3" s="1"/>
  <c r="P49" i="3" s="1"/>
  <c r="O50" i="3" a="1"/>
  <c r="O50" i="3" s="1"/>
  <c r="P50" i="3" s="1"/>
  <c r="O27" i="3" a="1"/>
  <c r="O27" i="3" s="1"/>
  <c r="P27" i="3" s="1"/>
  <c r="O16" i="3" a="1"/>
  <c r="O16" i="3" s="1"/>
  <c r="P16" i="3" s="1"/>
  <c r="N16" i="3" a="1"/>
  <c r="N16" i="3" s="1"/>
  <c r="O22" i="3" a="1"/>
  <c r="O22" i="3" s="1"/>
  <c r="P22" i="3" s="1"/>
  <c r="O17" i="3" a="1"/>
  <c r="O17" i="3" s="1"/>
  <c r="P17" i="3" s="1"/>
  <c r="N49" i="3" a="1"/>
  <c r="N49" i="3" s="1"/>
  <c r="N21" i="3" a="1"/>
  <c r="N21" i="3" s="1"/>
  <c r="O44" i="3" a="1"/>
  <c r="O44" i="3" s="1"/>
  <c r="P44" i="3" s="1"/>
  <c r="N8" i="3" a="1"/>
  <c r="N8" i="3" s="1"/>
  <c r="O30" i="3" a="1"/>
  <c r="O30" i="3" s="1"/>
  <c r="P30" i="3" s="1"/>
  <c r="O40" i="3" a="1"/>
  <c r="O40" i="3" s="1"/>
  <c r="P40" i="3" s="1"/>
  <c r="N12" i="3" a="1"/>
  <c r="N12" i="3" s="1"/>
  <c r="N35" i="3" a="1"/>
  <c r="N35" i="3" s="1"/>
  <c r="O23" i="3" a="1"/>
  <c r="O23" i="3" s="1"/>
  <c r="P23" i="3" s="1"/>
  <c r="N23" i="3" a="1"/>
  <c r="N23" i="3" s="1"/>
  <c r="O39" i="3" a="1"/>
  <c r="O39" i="3" s="1"/>
  <c r="P39" i="3" s="1"/>
  <c r="N4" i="3" a="1"/>
  <c r="N4" i="3" s="1"/>
  <c r="O9" i="3" a="1"/>
  <c r="O9" i="3" s="1"/>
  <c r="P9" i="3" s="1"/>
  <c r="N6" i="3" a="1"/>
  <c r="N6" i="3" s="1"/>
  <c r="O26" i="3" a="1"/>
  <c r="O26" i="3" s="1"/>
  <c r="P26" i="3" s="1"/>
  <c r="O42" i="3" a="1"/>
  <c r="O42" i="3" s="1"/>
  <c r="P42" i="3" s="1"/>
  <c r="N43" i="3" a="1"/>
  <c r="N43" i="3" s="1"/>
  <c r="O24" i="3" a="1"/>
  <c r="O24" i="3" s="1"/>
  <c r="P24" i="3" s="1"/>
  <c r="N20" i="3" a="1"/>
  <c r="N20" i="3" s="1"/>
  <c r="N15" i="3" a="1"/>
  <c r="N15" i="3" s="1"/>
  <c r="O11" i="3" a="1"/>
  <c r="O11" i="3" s="1"/>
  <c r="P11" i="3" s="1"/>
  <c r="O36" i="3" a="1"/>
  <c r="O36" i="3" s="1"/>
  <c r="P36" i="3" s="1"/>
  <c r="N17" i="3" a="1"/>
  <c r="N17" i="3" s="1"/>
  <c r="O4" i="3" a="1"/>
  <c r="O4" i="3" s="1"/>
  <c r="P4" i="3" s="1"/>
  <c r="O13" i="3" a="1"/>
  <c r="O13" i="3" s="1"/>
  <c r="P13" i="3" s="1"/>
  <c r="N26" i="3" a="1"/>
  <c r="N26" i="3" s="1"/>
  <c r="N38" i="3" a="1"/>
  <c r="N38" i="3" s="1"/>
  <c r="O18" i="3" a="1"/>
  <c r="O18" i="3" s="1"/>
  <c r="P18" i="3" s="1"/>
  <c r="O45" i="3" a="1"/>
  <c r="O45" i="3" s="1"/>
  <c r="P45" i="3" s="1"/>
  <c r="O33" i="3" a="1"/>
  <c r="O33" i="3" s="1"/>
  <c r="P33" i="3" s="1"/>
  <c r="O43" i="3" a="1"/>
  <c r="O43" i="3" s="1"/>
  <c r="P43" i="3" s="1"/>
  <c r="O25" i="3" a="1"/>
  <c r="O25" i="3" s="1"/>
  <c r="P25" i="3" s="1"/>
  <c r="O51" i="3" a="1"/>
  <c r="O51" i="3" s="1"/>
  <c r="P51" i="3" s="1"/>
  <c r="O41" i="3" a="1"/>
  <c r="O41" i="3" s="1"/>
  <c r="P41" i="3" s="1"/>
  <c r="O21" i="3" a="1"/>
  <c r="O21" i="3" s="1"/>
  <c r="P21" i="3" s="1"/>
  <c r="O3" i="3" a="1"/>
  <c r="O3" i="3" s="1"/>
  <c r="P3" i="3" s="1"/>
  <c r="N28" i="3" a="1"/>
  <c r="N28" i="3" s="1"/>
  <c r="O6" i="3" a="1"/>
  <c r="O6" i="3" s="1"/>
  <c r="P6" i="3" s="1"/>
  <c r="O38" i="3" a="1"/>
  <c r="O38" i="3" s="1"/>
  <c r="P38" i="3" s="1"/>
  <c r="N50" i="3" a="1"/>
  <c r="N50" i="3" s="1"/>
  <c r="O5" i="3" a="1"/>
  <c r="O5" i="3" s="1"/>
  <c r="P5" i="3" s="1"/>
  <c r="N42" i="3" a="1"/>
  <c r="N42" i="3" s="1"/>
  <c r="O37" i="3" a="1"/>
  <c r="O37" i="3" s="1"/>
  <c r="P37" i="3" s="1"/>
  <c r="O31" i="3" a="1"/>
  <c r="O31" i="3" s="1"/>
  <c r="P31" i="3" s="1"/>
  <c r="O10" i="3" a="1"/>
  <c r="O10" i="3" s="1"/>
  <c r="P10" i="3" s="1"/>
  <c r="O7" i="3" a="1"/>
  <c r="O7" i="3" s="1"/>
  <c r="P7" i="3" s="1"/>
  <c r="N19" i="3" a="1"/>
  <c r="N19" i="3" s="1"/>
  <c r="N25" i="3" a="1"/>
  <c r="N25" i="3" s="1"/>
  <c r="O35" i="3" a="1"/>
  <c r="O35" i="3" s="1"/>
  <c r="P35" i="3" s="1"/>
  <c r="O29" i="3" a="1"/>
  <c r="O29" i="3" s="1"/>
  <c r="P29" i="3" s="1"/>
  <c r="O48" i="3" a="1"/>
  <c r="O48" i="3" s="1"/>
  <c r="P48" i="3" s="1"/>
  <c r="N9" i="3" a="1"/>
  <c r="N9" i="3" s="1"/>
  <c r="O47" i="3" a="1"/>
  <c r="O47" i="3" s="1"/>
  <c r="P47" i="3" s="1"/>
  <c r="O14" i="3" a="1"/>
  <c r="O14" i="3" s="1"/>
  <c r="P14" i="3" s="1"/>
  <c r="N5" i="3" a="1"/>
  <c r="N5" i="3" s="1"/>
  <c r="O8" i="3" a="1"/>
  <c r="O8" i="3" s="1"/>
  <c r="P8" i="3" s="1"/>
  <c r="O12" i="3" a="1"/>
  <c r="O12" i="3" s="1"/>
  <c r="P12" i="3" s="1"/>
  <c r="N37" i="3" a="1"/>
  <c r="N37" i="3" s="1"/>
  <c r="O2" i="3" a="1"/>
  <c r="O2" i="3" s="1"/>
  <c r="P2" i="3" s="1"/>
  <c r="N2" i="3" a="1"/>
  <c r="N2" i="3" s="1"/>
  <c r="N3" i="3" a="1"/>
  <c r="N3" i="3" s="1"/>
  <c r="N11" i="3" a="1"/>
  <c r="N11" i="3" s="1"/>
  <c r="N48" i="3" a="1"/>
  <c r="N48" i="3" s="1"/>
  <c r="N13" i="3" a="1"/>
  <c r="N13" i="3" s="1"/>
  <c r="N51" i="3" a="1"/>
  <c r="N51" i="3" s="1"/>
  <c r="N44" i="3" a="1"/>
  <c r="N44" i="3" s="1"/>
  <c r="N30" i="3" a="1"/>
  <c r="N30" i="3" s="1"/>
  <c r="N27" i="3" a="1"/>
  <c r="N27" i="3" s="1"/>
  <c r="N24" i="3" a="1"/>
  <c r="N24" i="3" s="1"/>
  <c r="N36" i="3" a="1"/>
  <c r="N36" i="3" s="1"/>
  <c r="N40" i="3" a="1"/>
  <c r="N40" i="3" s="1"/>
  <c r="N10" i="3" a="1"/>
  <c r="N10" i="3" s="1"/>
  <c r="N22" i="3" a="1"/>
  <c r="N22" i="3" s="1"/>
  <c r="N41" i="3" a="1"/>
  <c r="N41" i="3" s="1"/>
  <c r="N14" i="3" a="1"/>
  <c r="N14" i="3" s="1"/>
  <c r="N29" i="3" a="1"/>
  <c r="N29" i="3" s="1"/>
  <c r="N33" i="3" a="1"/>
  <c r="N33" i="3" s="1"/>
  <c r="N45" i="3" a="1"/>
  <c r="N45" i="3" s="1"/>
  <c r="N7" i="3" a="1"/>
  <c r="N7" i="3" s="1"/>
  <c r="N47" i="3" a="1"/>
  <c r="N47" i="3" s="1"/>
  <c r="N31" i="3" a="1"/>
  <c r="N31" i="3" s="1"/>
  <c r="N39" i="3" a="1"/>
  <c r="N39" i="3" s="1"/>
  <c r="N34" i="3" a="1"/>
  <c r="N34" i="3" s="1"/>
  <c r="O20" i="3" a="1"/>
  <c r="O20" i="3" s="1"/>
  <c r="P20" i="3" s="1"/>
  <c r="O19" i="3" a="1"/>
  <c r="O19" i="3" s="1"/>
  <c r="P19" i="3" s="1"/>
  <c r="N46" i="3" a="1"/>
  <c r="N46" i="3" s="1"/>
  <c r="O32" i="3" a="1"/>
  <c r="O32" i="3" s="1"/>
  <c r="P32" i="3" s="1"/>
  <c r="B15" i="2"/>
  <c r="C15" i="2" s="1"/>
  <c r="B13" i="2"/>
  <c r="C13" i="2" s="1"/>
  <c r="B14" i="2"/>
  <c r="C14" i="2" s="1"/>
  <c r="B16" i="2" a="1"/>
  <c r="B16" i="2" s="1"/>
  <c r="C16" i="2" s="1"/>
  <c r="B26" i="2" l="1"/>
  <c r="C35" i="2"/>
  <c r="C42" i="2"/>
  <c r="B24" i="2"/>
  <c r="C40" i="2"/>
  <c r="B21" i="2"/>
  <c r="C32" i="2"/>
  <c r="B25" i="2"/>
  <c r="C25" i="2"/>
  <c r="C43" i="2"/>
  <c r="B35" i="2"/>
  <c r="B29" i="2"/>
  <c r="B34" i="2"/>
  <c r="C38" i="2"/>
  <c r="B32" i="2"/>
  <c r="C30" i="2"/>
  <c r="B30" i="2"/>
  <c r="C23" i="2"/>
  <c r="B28" i="2"/>
  <c r="D28" i="2" s="1"/>
  <c r="C22" i="2"/>
  <c r="C39" i="2"/>
  <c r="B33" i="2"/>
  <c r="C31" i="2"/>
  <c r="B31" i="2"/>
  <c r="B41" i="2"/>
  <c r="B40" i="2"/>
  <c r="B36" i="2"/>
  <c r="D36" i="2" s="1"/>
  <c r="B42" i="2"/>
  <c r="C21" i="2"/>
  <c r="C29" i="2"/>
  <c r="B43" i="2"/>
  <c r="B39" i="2"/>
  <c r="B38" i="2"/>
  <c r="C37" i="2"/>
  <c r="B37" i="2"/>
  <c r="C34" i="2"/>
  <c r="C26" i="2"/>
  <c r="C41" i="2"/>
  <c r="C33" i="2"/>
  <c r="B27" i="2"/>
  <c r="C27" i="2"/>
  <c r="B22" i="2"/>
  <c r="B20" i="2"/>
  <c r="D20" i="2" s="1"/>
  <c r="C24" i="2"/>
  <c r="B23" i="2"/>
  <c r="D26" i="2" l="1"/>
  <c r="D30" i="2"/>
  <c r="D33" i="2"/>
  <c r="D39" i="2"/>
  <c r="D31" i="2"/>
  <c r="A62" i="2" a="1"/>
  <c r="A62" i="2" s="1"/>
  <c r="A59" i="2" a="1"/>
  <c r="A59" i="2" s="1"/>
  <c r="A63" i="2" a="1"/>
  <c r="A63" i="2" s="1"/>
  <c r="A61" i="2" a="1"/>
  <c r="A61" i="2" s="1"/>
  <c r="C61" i="2" s="1"/>
  <c r="A65" i="2" a="1"/>
  <c r="A65" i="2" s="1"/>
  <c r="A64" i="2" a="1"/>
  <c r="A64" i="2" s="1"/>
  <c r="A60" i="2" a="1"/>
  <c r="A60" i="2" s="1"/>
  <c r="D23" i="2"/>
  <c r="D34" i="2"/>
  <c r="D21" i="2"/>
  <c r="D29" i="2"/>
  <c r="D32" i="2"/>
  <c r="D22" i="2"/>
  <c r="D24" i="2"/>
  <c r="D41" i="2"/>
  <c r="D37" i="2"/>
  <c r="D40" i="2"/>
  <c r="D35" i="2"/>
  <c r="D43" i="2"/>
  <c r="D27" i="2"/>
  <c r="D38" i="2"/>
  <c r="B48" i="2"/>
  <c r="D42" i="2"/>
  <c r="D25" i="2"/>
  <c r="B54" i="2" l="1" a="1"/>
  <c r="B54" i="2" s="1"/>
  <c r="B55" i="2" s="1"/>
  <c r="D60" i="2"/>
  <c r="E60" i="2"/>
  <c r="C60" i="2"/>
  <c r="B60" i="2"/>
  <c r="D64" i="2"/>
  <c r="B64" i="2"/>
  <c r="E64" i="2"/>
  <c r="C64" i="2"/>
  <c r="D65" i="2"/>
  <c r="E65" i="2"/>
  <c r="C65" i="2"/>
  <c r="B65" i="2"/>
  <c r="E61" i="2"/>
  <c r="D61" i="2"/>
  <c r="B61" i="2"/>
  <c r="D63" i="2"/>
  <c r="E63" i="2"/>
  <c r="B63" i="2"/>
  <c r="C63" i="2"/>
  <c r="D59" i="2"/>
  <c r="C59" i="2"/>
  <c r="E59" i="2"/>
  <c r="B59" i="2"/>
  <c r="D62" i="2"/>
  <c r="C62" i="2"/>
  <c r="E62" i="2"/>
  <c r="B62" i="2"/>
  <c r="B49" i="2"/>
  <c r="B50" i="2" s="1"/>
  <c r="B51" i="2" s="1"/>
  <c r="A110" i="2"/>
  <c r="B110" i="2" s="1"/>
  <c r="A92" i="2"/>
  <c r="B92" i="2" s="1"/>
  <c r="A74" i="2"/>
  <c r="A120" i="2"/>
  <c r="B120" i="2" s="1"/>
  <c r="A83" i="2"/>
  <c r="B83" i="2" s="1"/>
  <c r="A82" i="2"/>
  <c r="B82" i="2" s="1"/>
  <c r="A116" i="2"/>
  <c r="B116" i="2" s="1"/>
  <c r="A97" i="2"/>
  <c r="B97" i="2" s="1"/>
  <c r="A96" i="2"/>
  <c r="B96" i="2" s="1"/>
  <c r="A113" i="2"/>
  <c r="B113" i="2" s="1"/>
  <c r="A109" i="2"/>
  <c r="B109" i="2" s="1"/>
  <c r="A91" i="2"/>
  <c r="B91" i="2" s="1"/>
  <c r="A73" i="2"/>
  <c r="A103" i="2"/>
  <c r="B103" i="2" s="1"/>
  <c r="A102" i="2"/>
  <c r="B102" i="2" s="1"/>
  <c r="A118" i="2"/>
  <c r="B118" i="2" s="1"/>
  <c r="A81" i="2"/>
  <c r="B81" i="2" s="1"/>
  <c r="A80" i="2"/>
  <c r="B80" i="2" s="1"/>
  <c r="A112" i="2"/>
  <c r="B112" i="2" s="1"/>
  <c r="A75" i="2"/>
  <c r="B75" i="2" s="1"/>
  <c r="A108" i="2"/>
  <c r="B108" i="2" s="1"/>
  <c r="A90" i="2"/>
  <c r="B90" i="2" s="1"/>
  <c r="A86" i="2"/>
  <c r="B86" i="2" s="1"/>
  <c r="A85" i="2"/>
  <c r="B85" i="2" s="1"/>
  <c r="A84" i="2"/>
  <c r="B84" i="2" s="1"/>
  <c r="A77" i="2"/>
  <c r="B77" i="2" s="1"/>
  <c r="A107" i="2"/>
  <c r="B107" i="2" s="1"/>
  <c r="A89" i="2"/>
  <c r="B89" i="2" s="1"/>
  <c r="A72" i="2"/>
  <c r="A104" i="2"/>
  <c r="B104" i="2" s="1"/>
  <c r="A100" i="2"/>
  <c r="B100" i="2" s="1"/>
  <c r="A98" i="2"/>
  <c r="B98" i="2" s="1"/>
  <c r="A115" i="2"/>
  <c r="B115" i="2" s="1"/>
  <c r="A114" i="2"/>
  <c r="B114" i="2" s="1"/>
  <c r="A94" i="2"/>
  <c r="B94" i="2" s="1"/>
  <c r="A106" i="2"/>
  <c r="B106" i="2" s="1"/>
  <c r="A88" i="2"/>
  <c r="B88" i="2" s="1"/>
  <c r="A101" i="2"/>
  <c r="B101" i="2" s="1"/>
  <c r="A99" i="2"/>
  <c r="B99" i="2" s="1"/>
  <c r="A93" i="2"/>
  <c r="B93" i="2" s="1"/>
  <c r="A105" i="2"/>
  <c r="B105" i="2" s="1"/>
  <c r="A87" i="2"/>
  <c r="B87" i="2" s="1"/>
  <c r="A119" i="2"/>
  <c r="B119" i="2" s="1"/>
  <c r="A117" i="2"/>
  <c r="B117" i="2" s="1"/>
  <c r="A79" i="2"/>
  <c r="B79" i="2" s="1"/>
  <c r="A78" i="2"/>
  <c r="B78" i="2" s="1"/>
  <c r="A95" i="2"/>
  <c r="B95" i="2" s="1"/>
  <c r="A76" i="2"/>
  <c r="B76" i="2" s="1"/>
  <c r="A111" i="2"/>
  <c r="B111" i="2" s="1"/>
  <c r="A169" i="2"/>
  <c r="A151" i="2"/>
  <c r="A133" i="2"/>
  <c r="A158" i="2"/>
  <c r="A140" i="2"/>
  <c r="A122" i="2"/>
  <c r="A165" i="2"/>
  <c r="A147" i="2"/>
  <c r="A129" i="2"/>
  <c r="A171" i="2"/>
  <c r="A153" i="2"/>
  <c r="A135" i="2"/>
  <c r="A146" i="2"/>
  <c r="A137" i="2"/>
  <c r="A132" i="2"/>
  <c r="A123" i="2"/>
  <c r="A164" i="2"/>
  <c r="A155" i="2"/>
  <c r="A150" i="2"/>
  <c r="A141" i="2"/>
  <c r="A136" i="2"/>
  <c r="A127" i="2"/>
  <c r="A173" i="2"/>
  <c r="A168" i="2"/>
  <c r="A159" i="2"/>
  <c r="A154" i="2"/>
  <c r="A145" i="2"/>
  <c r="A131" i="2"/>
  <c r="A144" i="2"/>
  <c r="A139" i="2"/>
  <c r="A130" i="2"/>
  <c r="A125" i="2"/>
  <c r="A170" i="2"/>
  <c r="A156" i="2"/>
  <c r="A142" i="2"/>
  <c r="A128" i="2"/>
  <c r="A174" i="2"/>
  <c r="A160" i="2"/>
  <c r="A167" i="2"/>
  <c r="A157" i="2"/>
  <c r="A166" i="2"/>
  <c r="A134" i="2"/>
  <c r="A124" i="2"/>
  <c r="A148" i="2"/>
  <c r="A138" i="2"/>
  <c r="A126" i="2"/>
  <c r="A121" i="2"/>
  <c r="A163" i="2"/>
  <c r="A143" i="2"/>
  <c r="A172" i="2"/>
  <c r="A162" i="2"/>
  <c r="A152" i="2"/>
  <c r="A161" i="2"/>
  <c r="A149" i="2"/>
  <c r="B73" i="2" l="1"/>
  <c r="D73" i="2"/>
  <c r="E73" i="2" s="1"/>
  <c r="C73" i="2"/>
  <c r="D72" i="2"/>
  <c r="E72" i="2" s="1"/>
  <c r="B72" i="2"/>
  <c r="C72" i="2"/>
  <c r="B74" i="2"/>
  <c r="C74" i="2"/>
  <c r="D74" i="2"/>
  <c r="E74" i="2" s="1"/>
  <c r="B53" i="2"/>
  <c r="B52" i="2"/>
  <c r="C167" i="2"/>
  <c r="E167" i="2"/>
  <c r="D167" i="2"/>
  <c r="B167" i="2"/>
  <c r="D110" i="2"/>
  <c r="E110" i="2" s="1"/>
  <c r="C110" i="2"/>
  <c r="C97" i="2"/>
  <c r="D97" i="2"/>
  <c r="E97" i="2" s="1"/>
  <c r="E135" i="2"/>
  <c r="D135" i="2"/>
  <c r="B135" i="2"/>
  <c r="C135" i="2"/>
  <c r="E143" i="2"/>
  <c r="D143" i="2"/>
  <c r="C143" i="2"/>
  <c r="B143" i="2"/>
  <c r="D81" i="2"/>
  <c r="E81" i="2" s="1"/>
  <c r="C81" i="2"/>
  <c r="C84" i="2"/>
  <c r="D84" i="2"/>
  <c r="E84" i="2" s="1"/>
  <c r="C113" i="2"/>
  <c r="D113" i="2"/>
  <c r="E113" i="2" s="1"/>
  <c r="E153" i="2"/>
  <c r="D153" i="2"/>
  <c r="C153" i="2"/>
  <c r="B153" i="2"/>
  <c r="E163" i="2"/>
  <c r="D163" i="2"/>
  <c r="C163" i="2"/>
  <c r="B163" i="2"/>
  <c r="D107" i="2"/>
  <c r="E107" i="2" s="1"/>
  <c r="C107" i="2"/>
  <c r="D103" i="2"/>
  <c r="E103" i="2" s="1"/>
  <c r="C103" i="2"/>
  <c r="E127" i="2"/>
  <c r="C127" i="2"/>
  <c r="B127" i="2"/>
  <c r="D127" i="2"/>
  <c r="C171" i="2"/>
  <c r="D171" i="2"/>
  <c r="B171" i="2"/>
  <c r="E171" i="2"/>
  <c r="D112" i="2"/>
  <c r="E112" i="2" s="1"/>
  <c r="C112" i="2"/>
  <c r="D101" i="2"/>
  <c r="E101" i="2" s="1"/>
  <c r="C101" i="2"/>
  <c r="D116" i="2"/>
  <c r="E116" i="2" s="1"/>
  <c r="C116" i="2"/>
  <c r="D136" i="2"/>
  <c r="C136" i="2"/>
  <c r="B136" i="2"/>
  <c r="E136" i="2"/>
  <c r="C111" i="2"/>
  <c r="D111" i="2"/>
  <c r="E111" i="2"/>
  <c r="D121" i="2"/>
  <c r="E121" i="2" s="1"/>
  <c r="C121" i="2"/>
  <c r="B121" i="2"/>
  <c r="C129" i="2"/>
  <c r="B129" i="2"/>
  <c r="E129" i="2"/>
  <c r="D129" i="2"/>
  <c r="E130" i="2"/>
  <c r="D130" i="2"/>
  <c r="B130" i="2"/>
  <c r="C130" i="2"/>
  <c r="D91" i="2"/>
  <c r="E91" i="2" s="1"/>
  <c r="C91" i="2"/>
  <c r="D138" i="2"/>
  <c r="C138" i="2"/>
  <c r="B138" i="2"/>
  <c r="E138" i="2"/>
  <c r="D174" i="2"/>
  <c r="E174" i="2"/>
  <c r="C174" i="2"/>
  <c r="B174" i="2"/>
  <c r="E139" i="2"/>
  <c r="D139" i="2"/>
  <c r="C139" i="2"/>
  <c r="B139" i="2"/>
  <c r="C155" i="2"/>
  <c r="B155" i="2"/>
  <c r="E155" i="2"/>
  <c r="D155" i="2"/>
  <c r="C165" i="2"/>
  <c r="B165" i="2"/>
  <c r="E165" i="2"/>
  <c r="D165" i="2"/>
  <c r="D92" i="2"/>
  <c r="E92" i="2" s="1"/>
  <c r="C92" i="2"/>
  <c r="C148" i="2"/>
  <c r="D148" i="2"/>
  <c r="B148" i="2"/>
  <c r="E148" i="2"/>
  <c r="C79" i="2"/>
  <c r="D79" i="2"/>
  <c r="E79" i="2" s="1"/>
  <c r="D144" i="2"/>
  <c r="B144" i="2"/>
  <c r="E144" i="2"/>
  <c r="C144" i="2"/>
  <c r="C164" i="2"/>
  <c r="B164" i="2"/>
  <c r="E164" i="2"/>
  <c r="D164" i="2"/>
  <c r="D86" i="2"/>
  <c r="E86" i="2" s="1"/>
  <c r="C86" i="2"/>
  <c r="C100" i="2"/>
  <c r="D100" i="2"/>
  <c r="E100" i="2" s="1"/>
  <c r="D87" i="2"/>
  <c r="E87" i="2" s="1"/>
  <c r="C87" i="2"/>
  <c r="C94" i="2"/>
  <c r="D94" i="2"/>
  <c r="E94" i="2" s="1"/>
  <c r="D85" i="2"/>
  <c r="E85" i="2" s="1"/>
  <c r="C85" i="2"/>
  <c r="D82" i="2"/>
  <c r="E82" i="2" s="1"/>
  <c r="C82" i="2"/>
  <c r="D104" i="2"/>
  <c r="E104" i="2" s="1"/>
  <c r="C104" i="2"/>
  <c r="D99" i="2"/>
  <c r="E99" i="2" s="1"/>
  <c r="C99" i="2"/>
  <c r="C95" i="2"/>
  <c r="D95" i="2"/>
  <c r="E95" i="2" s="1"/>
  <c r="D114" i="2"/>
  <c r="E114" i="2" s="1"/>
  <c r="C114" i="2"/>
  <c r="C131" i="2"/>
  <c r="D131" i="2"/>
  <c r="B131" i="2"/>
  <c r="E131" i="2"/>
  <c r="D109" i="2"/>
  <c r="E109" i="2" s="1"/>
  <c r="C109" i="2"/>
  <c r="B122" i="2"/>
  <c r="D122" i="2"/>
  <c r="E122" i="2" s="1"/>
  <c r="C122" i="2"/>
  <c r="C77" i="2"/>
  <c r="D77" i="2"/>
  <c r="E77" i="2" s="1"/>
  <c r="C141" i="2"/>
  <c r="B141" i="2"/>
  <c r="E141" i="2"/>
  <c r="D141" i="2"/>
  <c r="B160" i="2"/>
  <c r="E160" i="2"/>
  <c r="D160" i="2"/>
  <c r="C160" i="2"/>
  <c r="B124" i="2"/>
  <c r="E124" i="2"/>
  <c r="D124" i="2"/>
  <c r="C124" i="2"/>
  <c r="B140" i="2"/>
  <c r="E140" i="2"/>
  <c r="D140" i="2"/>
  <c r="C140" i="2"/>
  <c r="C128" i="2"/>
  <c r="B128" i="2"/>
  <c r="D128" i="2"/>
  <c r="E128" i="2"/>
  <c r="B158" i="2"/>
  <c r="D158" i="2"/>
  <c r="C158" i="2"/>
  <c r="E158" i="2"/>
  <c r="E166" i="2"/>
  <c r="D166" i="2"/>
  <c r="C166" i="2"/>
  <c r="B166" i="2"/>
  <c r="D98" i="2"/>
  <c r="E98" i="2" s="1"/>
  <c r="C98" i="2"/>
  <c r="D115" i="2"/>
  <c r="E115" i="2" s="1"/>
  <c r="C115" i="2"/>
  <c r="E157" i="2"/>
  <c r="C157" i="2"/>
  <c r="D157" i="2"/>
  <c r="B157" i="2"/>
  <c r="E168" i="2"/>
  <c r="D168" i="2"/>
  <c r="C168" i="2"/>
  <c r="B168" i="2"/>
  <c r="C133" i="2"/>
  <c r="B133" i="2"/>
  <c r="E133" i="2"/>
  <c r="D133" i="2"/>
  <c r="D120" i="2"/>
  <c r="E120" i="2" s="1"/>
  <c r="C120" i="2"/>
  <c r="C80" i="2"/>
  <c r="D80" i="2"/>
  <c r="E80" i="2" s="1"/>
  <c r="D156" i="2"/>
  <c r="B156" i="2"/>
  <c r="C156" i="2"/>
  <c r="E156" i="2"/>
  <c r="E173" i="2"/>
  <c r="D173" i="2"/>
  <c r="C173" i="2"/>
  <c r="B173" i="2"/>
  <c r="E132" i="2"/>
  <c r="D132" i="2"/>
  <c r="C132" i="2"/>
  <c r="B132" i="2"/>
  <c r="E151" i="2"/>
  <c r="D151" i="2"/>
  <c r="C151" i="2"/>
  <c r="B151" i="2"/>
  <c r="D90" i="2"/>
  <c r="E90" i="2" s="1"/>
  <c r="C90" i="2"/>
  <c r="E126" i="2"/>
  <c r="D126" i="2"/>
  <c r="C126" i="2"/>
  <c r="B126" i="2"/>
  <c r="C147" i="2"/>
  <c r="B147" i="2"/>
  <c r="D147" i="2"/>
  <c r="E147" i="2"/>
  <c r="D108" i="2"/>
  <c r="E108" i="2" s="1"/>
  <c r="C108" i="2"/>
  <c r="C119" i="2"/>
  <c r="D119" i="2"/>
  <c r="E119" i="2" s="1"/>
  <c r="D75" i="2"/>
  <c r="E75" i="2" s="1"/>
  <c r="C75" i="2"/>
  <c r="C149" i="2"/>
  <c r="E149" i="2"/>
  <c r="D149" i="2"/>
  <c r="B149" i="2"/>
  <c r="D154" i="2"/>
  <c r="C154" i="2"/>
  <c r="B154" i="2"/>
  <c r="E154" i="2"/>
  <c r="E161" i="2"/>
  <c r="D161" i="2"/>
  <c r="C161" i="2"/>
  <c r="B161" i="2"/>
  <c r="E159" i="2"/>
  <c r="C159" i="2"/>
  <c r="B159" i="2"/>
  <c r="D159" i="2"/>
  <c r="D118" i="2"/>
  <c r="E118" i="2" s="1"/>
  <c r="C118" i="2"/>
  <c r="D76" i="2"/>
  <c r="E76" i="2" s="1"/>
  <c r="C76" i="2"/>
  <c r="B142" i="2"/>
  <c r="C142" i="2"/>
  <c r="E142" i="2"/>
  <c r="D142" i="2"/>
  <c r="E123" i="2"/>
  <c r="D123" i="2"/>
  <c r="C123" i="2"/>
  <c r="B123" i="2"/>
  <c r="E152" i="2"/>
  <c r="D152" i="2"/>
  <c r="C152" i="2"/>
  <c r="B152" i="2"/>
  <c r="D88" i="2"/>
  <c r="E88" i="2" s="1"/>
  <c r="C88" i="2"/>
  <c r="B170" i="2"/>
  <c r="C170" i="2"/>
  <c r="E170" i="2"/>
  <c r="D170" i="2"/>
  <c r="D78" i="2"/>
  <c r="E78" i="2" s="1"/>
  <c r="C78" i="2"/>
  <c r="E137" i="2"/>
  <c r="D137" i="2"/>
  <c r="C137" i="2"/>
  <c r="B137" i="2"/>
  <c r="C169" i="2"/>
  <c r="E169" i="2"/>
  <c r="D169" i="2"/>
  <c r="B169" i="2"/>
  <c r="E125" i="2"/>
  <c r="D125" i="2"/>
  <c r="C125" i="2"/>
  <c r="B125" i="2"/>
  <c r="E150" i="2"/>
  <c r="D150" i="2"/>
  <c r="C150" i="2"/>
  <c r="B150" i="2"/>
  <c r="E145" i="2"/>
  <c r="C145" i="2"/>
  <c r="B145" i="2"/>
  <c r="D145" i="2"/>
  <c r="C134" i="2"/>
  <c r="D134" i="2"/>
  <c r="E134" i="2"/>
  <c r="B134" i="2"/>
  <c r="D105" i="2"/>
  <c r="E105" i="2" s="1"/>
  <c r="C105" i="2"/>
  <c r="C162" i="2"/>
  <c r="E162" i="2"/>
  <c r="D162" i="2"/>
  <c r="B162" i="2"/>
  <c r="D96" i="2"/>
  <c r="E96" i="2" s="1"/>
  <c r="C96" i="2"/>
  <c r="D83" i="2"/>
  <c r="E83" i="2" s="1"/>
  <c r="C83" i="2"/>
  <c r="D89" i="2"/>
  <c r="E89" i="2" s="1"/>
  <c r="C89" i="2"/>
  <c r="E146" i="2"/>
  <c r="D146" i="2"/>
  <c r="C146" i="2"/>
  <c r="B146" i="2"/>
  <c r="D172" i="2"/>
  <c r="C172" i="2"/>
  <c r="B172" i="2"/>
  <c r="E172" i="2"/>
  <c r="D106" i="2"/>
  <c r="E106" i="2" s="1"/>
  <c r="C106" i="2"/>
  <c r="C102" i="2"/>
  <c r="D102" i="2"/>
  <c r="E102" i="2" s="1"/>
  <c r="D93" i="2"/>
  <c r="E93" i="2" s="1"/>
  <c r="C93" i="2"/>
  <c r="D117" i="2"/>
  <c r="E117" i="2" s="1"/>
  <c r="C1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<sst xmlns="http://schemas.openxmlformats.org/spreadsheetml/2006/main" count="640" uniqueCount="430">
  <si>
    <t>Name</t>
  </si>
  <si>
    <t>Gender</t>
  </si>
  <si>
    <t xml:space="preserve">❤︎♂? </t>
  </si>
  <si>
    <t>❤︎♀?</t>
  </si>
  <si>
    <t>❤︎⚧?</t>
  </si>
  <si>
    <t>📊 SUMMARY</t>
  </si>
  <si>
    <t>Nonbinary</t>
  </si>
  <si>
    <t>✓</t>
  </si>
  <si>
    <t>Total Miis</t>
  </si>
  <si>
    <t>Likes  ♂</t>
  </si>
  <si>
    <t>Male</t>
  </si>
  <si>
    <t>✗</t>
  </si>
  <si>
    <t>Likes ♀</t>
  </si>
  <si>
    <t>Female</t>
  </si>
  <si>
    <t>Likes ⚧</t>
  </si>
  <si>
    <t>🏝️ MII RELATIONSHIP ANALYSIS</t>
  </si>
  <si>
    <t>Optimal pairing to minimize Miis who fail to find a relationship</t>
  </si>
  <si>
    <t>📊 POPULATION OVERVIEW</t>
  </si>
  <si>
    <t>Metric</t>
  </si>
  <si>
    <t>Count</t>
  </si>
  <si>
    <t>% of Total</t>
  </si>
  <si>
    <t>—</t>
  </si>
  <si>
    <t xml:space="preserve">  Males</t>
  </si>
  <si>
    <t xml:space="preserve">  Females</t>
  </si>
  <si>
    <t xml:space="preserve">  Enbies</t>
  </si>
  <si>
    <t>💕 ATTRACTION PREFERENCES</t>
  </si>
  <si>
    <t>Preference</t>
  </si>
  <si>
    <t>Attracted to men</t>
  </si>
  <si>
    <t>Attracted to women</t>
  </si>
  <si>
    <t>Attracted to enbies</t>
  </si>
  <si>
    <t>Attracted to nobody</t>
  </si>
  <si>
    <t>🔍 SUPPLY &amp; DEMAND ANALYSIS</t>
  </si>
  <si>
    <t>Market</t>
  </si>
  <si>
    <t>Demand</t>
  </si>
  <si>
    <t>Supply</t>
  </si>
  <si>
    <t>♂ wanting nobody</t>
  </si>
  <si>
    <t>♂ wanting ⚧ only</t>
  </si>
  <si>
    <t>♂ wanting ♀ only</t>
  </si>
  <si>
    <t>♂ wanting ♀+⚧</t>
  </si>
  <si>
    <t>♂ wanting ♂ only</t>
  </si>
  <si>
    <t>♂ wanting ♂+⚧</t>
  </si>
  <si>
    <t>♂ wanting ♂+♀</t>
  </si>
  <si>
    <t>♂ wanting ♂+♀+⚧</t>
  </si>
  <si>
    <t>♀ wanting nobody</t>
  </si>
  <si>
    <t>♀ wanting ⚧ only</t>
  </si>
  <si>
    <t>♀ wanting ♀ only</t>
  </si>
  <si>
    <t>♀ wanting ♀+⚧</t>
  </si>
  <si>
    <t>♀ wanting ♂ only</t>
  </si>
  <si>
    <t>♀ wanting ♂+⚧</t>
  </si>
  <si>
    <t>♀ wanting ♂+♀</t>
  </si>
  <si>
    <t>♀ wanting ♂+♀+⚧</t>
  </si>
  <si>
    <t>⚧ wanting nobody</t>
  </si>
  <si>
    <t>⚧ wanting ⚧ only</t>
  </si>
  <si>
    <t>⚧ wanting ♀ only</t>
  </si>
  <si>
    <t>⚧ wanting ♀+⚧</t>
  </si>
  <si>
    <t>⚧ wanting ♂ only</t>
  </si>
  <si>
    <t>⚧ wanting ♂+⚧</t>
  </si>
  <si>
    <t>⚧ wanting ♂+♀</t>
  </si>
  <si>
    <t>⚧ wanting ♂+♀+⚧</t>
  </si>
  <si>
    <t>⚠️ MATCHING RESULTS</t>
  </si>
  <si>
    <t>Result</t>
  </si>
  <si>
    <t>Value</t>
  </si>
  <si>
    <t>Formula Logic</t>
  </si>
  <si>
    <t>Zero-Compatible (guaranteed alone)</t>
  </si>
  <si>
    <t>Miis with 0 compatible partners</t>
  </si>
  <si>
    <t>Surplus from constrained markets</t>
  </si>
  <si>
    <t>Exclusive-preference Miis exceeding reciprocal supply</t>
  </si>
  <si>
    <t>Parity adjustment (odd total)</t>
  </si>
  <si>
    <t>Odd remaining Miis → 1 extra unpaired</t>
  </si>
  <si>
    <t>📛 MINIMUM UNPAIRED MIIS</t>
  </si>
  <si>
    <t>zero-compatible + surplus + parity</t>
  </si>
  <si>
    <t>(total - unpaired) / 2</t>
  </si>
  <si>
    <t>Percentage who can find a partner</t>
  </si>
  <si>
    <t>WHO'S AT RISK? (0 Compatible Partners)</t>
  </si>
  <si>
    <t>Preferences</t>
  </si>
  <si>
    <t># Compatible</t>
  </si>
  <si>
    <t>Reason</t>
  </si>
  <si>
    <t>FULL COMPATIBILITY ROSTER</t>
  </si>
  <si>
    <t>♂?</t>
  </si>
  <si>
    <t>♀?</t>
  </si>
  <si>
    <t>⚧?</t>
  </si>
  <si>
    <t>Wants M</t>
  </si>
  <si>
    <t>Wants F</t>
  </si>
  <si>
    <t>Wants NB</t>
  </si>
  <si>
    <t>Is M</t>
  </si>
  <si>
    <t>Is F</t>
  </si>
  <si>
    <t>Is NB</t>
  </si>
  <si>
    <t>Rank</t>
  </si>
  <si>
    <t># compatible</t>
  </si>
  <si>
    <t>Surplus (unpaired)</t>
  </si>
  <si>
    <t>Maximum pairing success rate</t>
  </si>
  <si>
    <t>Maximum pairs formed</t>
  </si>
  <si>
    <t>Probable pairing success rate</t>
  </si>
  <si>
    <t>Demand Rate (H)</t>
  </si>
  <si>
    <t>Percentage who find a compatible partner under greedy random matching</t>
  </si>
  <si>
    <t>Avg Partner Compat</t>
  </si>
  <si>
    <t>CR Scale</t>
  </si>
  <si>
    <t>Probable pairs formed</t>
  </si>
  <si>
    <t xml:space="preserve">                    GNU GENERAL PUBLIC LICENSE</t>
  </si>
  <si>
    <t xml:space="preserve">                       Version 2, June 1991</t>
  </si>
  <si>
    <t xml:space="preserve"> Copyright (C) 1989, 1991 Free Software Foundation, Inc.,</t>
  </si>
  <si>
    <t xml:space="preserve"> &lt;https://fsf.org/&gt;</t>
  </si>
  <si>
    <t xml:space="preserve"> Everyone is permitted to copy and distribute verbatim copies</t>
  </si>
  <si>
    <t xml:space="preserve"> of this license document, but changing it is not allowed.</t>
  </si>
  <si>
    <t xml:space="preserve">                            Preamble</t>
  </si>
  <si>
    <t xml:space="preserve">  The licenses for most software are designed to take away your</t>
  </si>
  <si>
    <t>freedom to share and change it.  By contrast, the GNU General Public</t>
  </si>
  <si>
    <t>License is intended to guarantee your freedom to share and change free</t>
  </si>
  <si>
    <t>software--to make sure the software is free for all its users.  This</t>
  </si>
  <si>
    <t>General Public License applies to most of the Free Software</t>
  </si>
  <si>
    <t>Foundation's software and to any other program whose authors commit to</t>
  </si>
  <si>
    <t>using it.  (Some other Free Software Foundation software is covered by</t>
  </si>
  <si>
    <t>the GNU Lesser General Public License instead.)  You can apply it to</t>
  </si>
  <si>
    <t>your programs, too.</t>
  </si>
  <si>
    <t xml:space="preserve">  When we speak of free software, we are referring to freedom, not</t>
  </si>
  <si>
    <t>price.  Our General Public Licenses are designed to make sure that you</t>
  </si>
  <si>
    <t>have the freedom to distribute copies of free software (and charge for</t>
  </si>
  <si>
    <t>this service if you wish), that you receive source code or can get it</t>
  </si>
  <si>
    <t>if you want it, that you can change the software or use pieces of it</t>
  </si>
  <si>
    <t>in new free programs; and that you know you can do these things.</t>
  </si>
  <si>
    <t xml:space="preserve">  To protect your rights, we need to make restrictions that forbid</t>
  </si>
  <si>
    <t>anyone to deny you these rights or to ask you to surrender the rights.</t>
  </si>
  <si>
    <t>These restrictions translate to certain responsibilities for you if you</t>
  </si>
  <si>
    <t>distribute copies of the software, or if you modify it.</t>
  </si>
  <si>
    <t xml:space="preserve">  For example, if you distribute copies of such a program, whether</t>
  </si>
  <si>
    <t>gratis or for a fee, you must give the recipients all the rights that</t>
  </si>
  <si>
    <t>you have.  You must make sure that they, too, receive or can get the</t>
  </si>
  <si>
    <t>source code.  And you must show them these terms so they know their</t>
  </si>
  <si>
    <t>rights.</t>
  </si>
  <si>
    <t xml:space="preserve">  We protect your rights with two steps: (1) copyright the software, and</t>
  </si>
  <si>
    <t>(2) offer you this license which gives you legal permission to copy,</t>
  </si>
  <si>
    <t>distribute and/or modify the software.</t>
  </si>
  <si>
    <t xml:space="preserve">  Also, for each author's protection and ours, we want to make certain</t>
  </si>
  <si>
    <t>that everyone understands that there is no warranty for this free</t>
  </si>
  <si>
    <t>software.  If the software is modified by someone else and passed on, we</t>
  </si>
  <si>
    <t>want its recipients to know that what they have is not the original, so</t>
  </si>
  <si>
    <t>that any problems introduced by others will not reflect on the original</t>
  </si>
  <si>
    <t>authors' reputations.</t>
  </si>
  <si>
    <t xml:space="preserve">  Finally, any free program is threatened constantly by software</t>
  </si>
  <si>
    <t>patents.  We wish to avoid the danger that redistributors of a free</t>
  </si>
  <si>
    <t>program will individually obtain patent licenses, in effect making the</t>
  </si>
  <si>
    <t>program proprietary.  To prevent this, we have made it clear that any</t>
  </si>
  <si>
    <t>patent must be licensed for everyone's free use or not licensed at all.</t>
  </si>
  <si>
    <t xml:space="preserve">  The precise terms and conditions for copying, distribution and</t>
  </si>
  <si>
    <t>modification follow.</t>
  </si>
  <si>
    <t xml:space="preserve">   TERMS AND CONDITIONS FOR COPYING, DISTRIBUTION AND MODIFICATION</t>
  </si>
  <si>
    <t xml:space="preserve">  0. This License applies to any program or other work which contains</t>
  </si>
  <si>
    <t>a notice placed by the copyright holder saying it may be distributed</t>
  </si>
  <si>
    <t>under the terms of this General Public License.  The "Program", below,</t>
  </si>
  <si>
    <t>refers to any such program or work, and a "work based on the Program"</t>
  </si>
  <si>
    <t>means either the Program or any derivative work under copyright law:</t>
  </si>
  <si>
    <t>that is to say, a work containing the Program or a portion of it,</t>
  </si>
  <si>
    <t>either verbatim or with modifications and/or translated into another</t>
  </si>
  <si>
    <t>language.  (Hereinafter, translation is included without limitation in</t>
  </si>
  <si>
    <t>the term "modification".)  Each licensee is addressed as "you".</t>
  </si>
  <si>
    <t>Activities other than copying, distribution and modification are not</t>
  </si>
  <si>
    <t>covered by this License; they are outside its scope.  The act of</t>
  </si>
  <si>
    <t>running the Program is not restricted, and the output from the Program</t>
  </si>
  <si>
    <t>is covered only if its contents constitute a work based on the</t>
  </si>
  <si>
    <t>Program (independent of having been made by running the Program).</t>
  </si>
  <si>
    <t>Whether that is true depends on what the Program does.</t>
  </si>
  <si>
    <t xml:space="preserve">  1. You may copy and distribute verbatim copies of the Program's</t>
  </si>
  <si>
    <t>source code as you receive it, in any medium, provided that you</t>
  </si>
  <si>
    <t>conspicuously and appropriately publish on each copy an appropriate</t>
  </si>
  <si>
    <t>copyright notice and disclaimer of warranty; keep intact all the</t>
  </si>
  <si>
    <t>notices that refer to this License and to the absence of any warranty;</t>
  </si>
  <si>
    <t>and give any other recipients of the Program a copy of this License</t>
  </si>
  <si>
    <t>along with the Program.</t>
  </si>
  <si>
    <t>You may charge a fee for the physical act of transferring a copy, and</t>
  </si>
  <si>
    <t>you may at your option offer warranty protection in exchange for a fee.</t>
  </si>
  <si>
    <t xml:space="preserve">  2. You may modify your copy or copies of the Program or any portion</t>
  </si>
  <si>
    <t>of it, thus forming a work based on the Program, and copy and</t>
  </si>
  <si>
    <t>distribute such modifications or work under the terms of Section 1</t>
  </si>
  <si>
    <t>above, provided that you also meet all of these conditions:</t>
  </si>
  <si>
    <t xml:space="preserve">    a) You must cause the modified files to carry prominent notices</t>
  </si>
  <si>
    <t xml:space="preserve">    stating that you changed the files and the date of any change.</t>
  </si>
  <si>
    <t xml:space="preserve">    b) You must cause any work that you distribute or publish, that in</t>
  </si>
  <si>
    <t xml:space="preserve">    whole or in part contains or is derived from the Program or any</t>
  </si>
  <si>
    <t xml:space="preserve">    part thereof, to be licensed as a whole at no charge to all third</t>
  </si>
  <si>
    <t xml:space="preserve">    parties under the terms of this License.</t>
  </si>
  <si>
    <t xml:space="preserve">    c) If the modified program normally reads commands interactively</t>
  </si>
  <si>
    <t xml:space="preserve">    when run, you must cause it, when started running for such</t>
  </si>
  <si>
    <t xml:space="preserve">    interactive use in the most ordinary way, to print or display an</t>
  </si>
  <si>
    <t xml:space="preserve">    announcement including an appropriate copyright notice and a</t>
  </si>
  <si>
    <t xml:space="preserve">    notice that there is no warranty (or else, saying that you provide</t>
  </si>
  <si>
    <t xml:space="preserve">    a warranty) and that users may redistribute the program under</t>
  </si>
  <si>
    <t xml:space="preserve">    these conditions, and telling the user how to view a copy of this</t>
  </si>
  <si>
    <t xml:space="preserve">    License.  (Exception: if the Program itself is interactive but</t>
  </si>
  <si>
    <t xml:space="preserve">    does not normally print such an announcement, your work based on</t>
  </si>
  <si>
    <t xml:space="preserve">    the Program is not required to print an announcement.)</t>
  </si>
  <si>
    <t>These requirements apply to the modified work as a whole.  If</t>
  </si>
  <si>
    <t>identifiable sections of that work are not derived from the Program,</t>
  </si>
  <si>
    <t>and can be reasonably considered independent and separate works in</t>
  </si>
  <si>
    <t>themselves, then this License, and its terms, do not apply to those</t>
  </si>
  <si>
    <t>sections when you distribute them as separate works.  But when you</t>
  </si>
  <si>
    <t>distribute the same sections as part of a whole which is a work based</t>
  </si>
  <si>
    <t>on the Program, the distribution of the whole must be on the terms of</t>
  </si>
  <si>
    <t>this License, whose permissions for other licensees extend to the</t>
  </si>
  <si>
    <t>entire whole, and thus to each and every part regardless of who wrote it.</t>
  </si>
  <si>
    <t>Thus, it is not the intent of this section to claim rights or contest</t>
  </si>
  <si>
    <t>your rights to work written entirely by you; rather, the intent is to</t>
  </si>
  <si>
    <t>exercise the right to control the distribution of derivative or</t>
  </si>
  <si>
    <t>collective works based on the Program.</t>
  </si>
  <si>
    <t>In addition, mere aggregation of another work not based on the Program</t>
  </si>
  <si>
    <t>with the Program (or with a work based on the Program) on a volume of</t>
  </si>
  <si>
    <t>a storage or distribution medium does not bring the other work under</t>
  </si>
  <si>
    <t>the scope of this License.</t>
  </si>
  <si>
    <t xml:space="preserve">  3. You may copy and distribute the Program (or a work based on it,</t>
  </si>
  <si>
    <t>under Section 2) in object code or executable form under the terms of</t>
  </si>
  <si>
    <t>Sections 1 and 2 above provided that you also do one of the following:</t>
  </si>
  <si>
    <t xml:space="preserve">    a) Accompany it with the complete corresponding machine-readable</t>
  </si>
  <si>
    <t xml:space="preserve">    source code, which must be distributed under the terms of Sections</t>
  </si>
  <si>
    <t xml:space="preserve">    1 and 2 above on a medium customarily used for software interchange; or,</t>
  </si>
  <si>
    <t xml:space="preserve">    b) Accompany it with a written offer, valid for at least three</t>
  </si>
  <si>
    <t xml:space="preserve">    years, to give any third party, for a charge no more than your</t>
  </si>
  <si>
    <t xml:space="preserve">    cost of physically performing source distribution, a complete</t>
  </si>
  <si>
    <t xml:space="preserve">    machine-readable copy of the corresponding source code, to be</t>
  </si>
  <si>
    <t xml:space="preserve">    distributed under the terms of Sections 1 and 2 above on a medium</t>
  </si>
  <si>
    <t xml:space="preserve">    customarily used for software interchange; or,</t>
  </si>
  <si>
    <t xml:space="preserve">    c) Accompany it with the information you received as to the offer</t>
  </si>
  <si>
    <t xml:space="preserve">    to distribute corresponding source code.  (This alternative is</t>
  </si>
  <si>
    <t xml:space="preserve">    allowed only for noncommercial distribution and only if you</t>
  </si>
  <si>
    <t xml:space="preserve">    received the program in object code or executable form with such</t>
  </si>
  <si>
    <t xml:space="preserve">    an offer, in accord with Subsection b above.)</t>
  </si>
  <si>
    <t>The source code for a work means the preferred form of the work for</t>
  </si>
  <si>
    <t>making modifications to it.  For an executable work, complete source</t>
  </si>
  <si>
    <t>code means all the source code for all modules it contains, plus any</t>
  </si>
  <si>
    <t>associated interface definition files, plus the scripts used to</t>
  </si>
  <si>
    <t>control compilation and installation of the executable.  However, as a</t>
  </si>
  <si>
    <t>special exception, the source code distributed need not include</t>
  </si>
  <si>
    <t>anything that is normally distributed (in either source or binary</t>
  </si>
  <si>
    <t>form) with the major components (compiler, kernel, and so on) of the</t>
  </si>
  <si>
    <t>operating system on which the executable runs, unless that component</t>
  </si>
  <si>
    <t>itself accompanies the executable.</t>
  </si>
  <si>
    <t>If distribution of executable or object code is made by offering</t>
  </si>
  <si>
    <t>access to copy from a designated place, then offering equivalent</t>
  </si>
  <si>
    <t>access to copy the source code from the same place counts as</t>
  </si>
  <si>
    <t>distribution of the source code, even though third parties are not</t>
  </si>
  <si>
    <t>compelled to copy the source along with the object code.</t>
  </si>
  <si>
    <t xml:space="preserve">  4. You may not copy, modify, sublicense, or distribute the Program</t>
  </si>
  <si>
    <t>except as expressly provided under this License.  Any attempt</t>
  </si>
  <si>
    <t>otherwise to copy, modify, sublicense or distribute the Program is</t>
  </si>
  <si>
    <t>void, and will automatically terminate your rights under this License.</t>
  </si>
  <si>
    <t>However, parties who have received copies, or rights, from you under</t>
  </si>
  <si>
    <t>this License will not have their licenses terminated so long as such</t>
  </si>
  <si>
    <t>parties remain in full compliance.</t>
  </si>
  <si>
    <t xml:space="preserve">  5. You are not required to accept this License, since you have not</t>
  </si>
  <si>
    <t>signed it.  However, nothing else grants you permission to modify or</t>
  </si>
  <si>
    <t>distribute the Program or its derivative works.  These actions are</t>
  </si>
  <si>
    <t>prohibited by law if you do not accept this License.  Therefore, by</t>
  </si>
  <si>
    <t>modifying or distributing the Program (or any work based on the</t>
  </si>
  <si>
    <t>Program), you indicate your acceptance of this License to do so, and</t>
  </si>
  <si>
    <t>all its terms and conditions for copying, distributing or modifying</t>
  </si>
  <si>
    <t>the Program or works based on it.</t>
  </si>
  <si>
    <t xml:space="preserve">  6. Each time you redistribute the Program (or any work based on the</t>
  </si>
  <si>
    <t>Program), the recipient automatically receives a license from the</t>
  </si>
  <si>
    <t>original licensor to copy, distribute or modify the Program subject to</t>
  </si>
  <si>
    <t>these terms and conditions.  You may not impose any further</t>
  </si>
  <si>
    <t>restrictions on the recipients' exercise of the rights granted herein.</t>
  </si>
  <si>
    <t>You are not responsible for enforcing compliance by third parties to</t>
  </si>
  <si>
    <t>this License.</t>
  </si>
  <si>
    <t xml:space="preserve">  7. If, as a consequence of a court judgment or allegation of patent</t>
  </si>
  <si>
    <t>infringement or for any other reason (not limited to patent issues),</t>
  </si>
  <si>
    <t>conditions are imposed on you (whether by court order, agreement or</t>
  </si>
  <si>
    <t>otherwise) that contradict the conditions of this License, they do not</t>
  </si>
  <si>
    <t>excuse you from the conditions of this License.  If you cannot</t>
  </si>
  <si>
    <t>distribute so as to satisfy simultaneously your obligations under this</t>
  </si>
  <si>
    <t>License and any other pertinent obligations, then as a consequence you</t>
  </si>
  <si>
    <t>may not distribute the Program at all.  For example, if a patent</t>
  </si>
  <si>
    <t>license would not permit royalty-free redistribution of the Program by</t>
  </si>
  <si>
    <t>all those who receive copies directly or indirectly through you, then</t>
  </si>
  <si>
    <t>the only way you could satisfy both it and this License would be to</t>
  </si>
  <si>
    <t>refrain entirely from distribution of the Program.</t>
  </si>
  <si>
    <t>If any portion of this section is held invalid or unenforceable under</t>
  </si>
  <si>
    <t>any particular circumstance, the balance of the section is intended to</t>
  </si>
  <si>
    <t>apply and the section as a whole is intended to apply in other</t>
  </si>
  <si>
    <t>circumstances.</t>
  </si>
  <si>
    <t>It is not the purpose of this section to induce you to infringe any</t>
  </si>
  <si>
    <t>patents or other property right claims or to contest validity of any</t>
  </si>
  <si>
    <t>such claims; this section has the sole purpose of protecting the</t>
  </si>
  <si>
    <t>integrity of the free software distribution system, which is</t>
  </si>
  <si>
    <t>implemented by public license practices.  Many people have made</t>
  </si>
  <si>
    <t>generous contributions to the wide range of software distributed</t>
  </si>
  <si>
    <t>through that system in reliance on consistent application of that</t>
  </si>
  <si>
    <t>system; it is up to the author/donor to decide if he or she is willing</t>
  </si>
  <si>
    <t>to distribute software through any other system and a licensee cannot</t>
  </si>
  <si>
    <t>impose that choice.</t>
  </si>
  <si>
    <t>This section is intended to make thoroughly clear what is believed to</t>
  </si>
  <si>
    <t>be a consequence of the rest of this License.</t>
  </si>
  <si>
    <t xml:space="preserve">  8. If the distribution and/or use of the Program is restricted in</t>
  </si>
  <si>
    <t>certain countries either by patents or by copyrighted interfaces, the</t>
  </si>
  <si>
    <t>original copyright holder who places the Program under this License</t>
  </si>
  <si>
    <t>may add an explicit geographical distribution limitation excluding</t>
  </si>
  <si>
    <t>those countries, so that distribution is permitted only in or among</t>
  </si>
  <si>
    <t>countries not thus excluded.  In such case, this License incorporates</t>
  </si>
  <si>
    <t>the limitation as if written in the body of this License.</t>
  </si>
  <si>
    <t xml:space="preserve">  9. The Free Software Foundation may publish revised and/or new versions</t>
  </si>
  <si>
    <t>of the General Public License from time to time.  Such new versions will</t>
  </si>
  <si>
    <t>be similar in spirit to the present version, but may differ in detail to</t>
  </si>
  <si>
    <t>address new problems or concerns.</t>
  </si>
  <si>
    <t>Each version is given a distinguishing version number.  If the Program</t>
  </si>
  <si>
    <t>specifies a version number of this License which applies to it and "any</t>
  </si>
  <si>
    <t>later version", you have the option of following the terms and conditions</t>
  </si>
  <si>
    <t>either of that version or of any later version published by the Free</t>
  </si>
  <si>
    <t>Software Foundation.  If the Program does not specify a version number of</t>
  </si>
  <si>
    <t>this License, you may choose any version ever published by the Free Software</t>
  </si>
  <si>
    <t>Foundation.</t>
  </si>
  <si>
    <t xml:space="preserve">  10. If you wish to incorporate parts of the Program into other free</t>
  </si>
  <si>
    <t>programs whose distribution conditions are different, write to the author</t>
  </si>
  <si>
    <t>to ask for permission.  For software which is copyrighted by the Free</t>
  </si>
  <si>
    <t>Software Foundation, write to the Free Software Foundation; we sometimes</t>
  </si>
  <si>
    <t>make exceptions for this.  Our decision will be guided by the two goals</t>
  </si>
  <si>
    <t>of preserving the free status of all derivatives of our free software and</t>
  </si>
  <si>
    <t>of promoting the sharing and reuse of software generally.</t>
  </si>
  <si>
    <t xml:space="preserve">                            NO WARRANTY</t>
  </si>
  <si>
    <t xml:space="preserve">  11. BECAUSE THE PROGRAM IS LICENSED FREE OF CHARGE, THERE IS NO WARRANTY</t>
  </si>
  <si>
    <t>FOR THE PROGRAM, TO THE EXTENT PERMITTED BY APPLICABLE LAW.  EXCEPT WHEN</t>
  </si>
  <si>
    <t>OTHERWISE STATED IN WRITING THE COPYRIGHT HOLDERS AND/OR OTHER PARTIES</t>
  </si>
  <si>
    <t>PROVIDE THE PROGRAM "AS IS" WITHOUT WARRANTY OF ANY KIND, EITHER EXPRESSED</t>
  </si>
  <si>
    <t>OR IMPLIED, INCLUDING, BUT NOT LIMITED TO, THE IMPLIED WARRANTIES OF</t>
  </si>
  <si>
    <t>MERCHANTABILITY AND FITNESS FOR A PARTICULAR PURPOSE.  THE ENTIRE RISK AS</t>
  </si>
  <si>
    <t>TO THE QUALITY AND PERFORMANCE OF THE PROGRAM IS WITH YOU.  SHOULD THE</t>
  </si>
  <si>
    <t>PROGRAM PROVE DEFECTIVE, YOU ASSUME THE COST OF ALL NECESSARY SERVICING,</t>
  </si>
  <si>
    <t>REPAIR OR CORRECTION.</t>
  </si>
  <si>
    <t xml:space="preserve">  12. IN NO EVENT UNLESS REQUIRED BY APPLICABLE LAW OR AGREED TO IN WRITING</t>
  </si>
  <si>
    <t>WILL ANY COPYRIGHT HOLDER, OR ANY OTHER PARTY WHO MAY MODIFY AND/OR</t>
  </si>
  <si>
    <t>REDISTRIBUTE THE PROGRAM AS PERMITTED ABOVE, BE LIABLE TO YOU FOR DAMAGES,</t>
  </si>
  <si>
    <t>INCLUDING ANY GENERAL, SPECIAL, INCIDENTAL OR CONSEQUENTIAL DAMAGES ARISING</t>
  </si>
  <si>
    <t>OUT OF THE USE OR INABILITY TO USE THE PROGRAM (INCLUDING BUT NOT LIMITED</t>
  </si>
  <si>
    <t>TO LOSS OF DATA OR DATA BEING RENDERED INACCURATE OR LOSSES SUSTAINED BY</t>
  </si>
  <si>
    <t>YOU OR THIRD PARTIES OR A FAILURE OF THE PROGRAM TO OPERATE WITH ANY OTHER</t>
  </si>
  <si>
    <t>PROGRAMS), EVEN IF SUCH HOLDER OR OTHER PARTY HAS BEEN ADVISED OF THE</t>
  </si>
  <si>
    <t>POSSIBILITY OF SUCH DAMAGES.</t>
  </si>
  <si>
    <t xml:space="preserve">                     END OF TERMS AND CONDITIONS</t>
  </si>
  <si>
    <t xml:space="preserve">            How to Apply These Terms to Your New Programs</t>
  </si>
  <si>
    <t xml:space="preserve">  If you develop a new program, and you want it to be of the greatest</t>
  </si>
  <si>
    <t>possible use to the public, the best way to achieve this is to make it</t>
  </si>
  <si>
    <t>free software which everyone can redistribute and change under these terms.</t>
  </si>
  <si>
    <t xml:space="preserve">  To do so, attach the following notices to the program.  It is safest</t>
  </si>
  <si>
    <t>to attach them to the start of each source file to most effectively</t>
  </si>
  <si>
    <t>convey the exclusion of warranty; and each file should have at least</t>
  </si>
  <si>
    <t>the "copyright" line and a pointer to where the full notice is found.</t>
  </si>
  <si>
    <t xml:space="preserve">    &lt;one line to give the program's name and a brief idea of what it does.&gt;</t>
  </si>
  <si>
    <t xml:space="preserve">    Copyright (C) &lt;year&gt;  &lt;name of author&gt;</t>
  </si>
  <si>
    <t xml:space="preserve">    This program is free software; you can redistribute it and/or modify</t>
  </si>
  <si>
    <t xml:space="preserve">    it under the terms of the GNU General Public License as published by</t>
  </si>
  <si>
    <t xml:space="preserve">    the Free Software Foundation; either version 2 of the License, or</t>
  </si>
  <si>
    <t xml:space="preserve">    (at your option) any later version.</t>
  </si>
  <si>
    <t xml:space="preserve">    This program is distributed in the hope that it will be useful,</t>
  </si>
  <si>
    <t xml:space="preserve">    but WITHOUT ANY WARRANTY; without even the implied warranty of</t>
  </si>
  <si>
    <t xml:space="preserve">    MERCHANTABILITY or FITNESS FOR A PARTICULAR PURPOSE.  See the</t>
  </si>
  <si>
    <t xml:space="preserve">    GNU General Public License for more details.</t>
  </si>
  <si>
    <t xml:space="preserve">    You should have received a copy of the GNU General Public License along</t>
  </si>
  <si>
    <t xml:space="preserve">    with this program; if not, see &lt;https://www.gnu.org/licenses/&gt;.</t>
  </si>
  <si>
    <t>Also add information on how to contact you by electronic and paper mail.</t>
  </si>
  <si>
    <t>If the program is interactive, make it output a short notice like this</t>
  </si>
  <si>
    <t>when it starts in an interactive mode:</t>
  </si>
  <si>
    <t xml:space="preserve">    Gnomovision version 69, Copyright (C) year name of author</t>
  </si>
  <si>
    <t xml:space="preserve">    Gnomovision comes with ABSOLUTELY NO WARRANTY; for details type `show w'.</t>
  </si>
  <si>
    <t xml:space="preserve">    This is free software, and you are welcome to redistribute it</t>
  </si>
  <si>
    <t xml:space="preserve">    under certain conditions; type `show c' for details.</t>
  </si>
  <si>
    <t>The hypothetical commands `show w' and `show c' should show the appropriate</t>
  </si>
  <si>
    <t>parts of the General Public License.  Of course, the commands you use may</t>
  </si>
  <si>
    <t>be called something other than `show w' and `show c'; they could even be</t>
  </si>
  <si>
    <t>mouse-clicks or menu items--whatever suits your program.</t>
  </si>
  <si>
    <t>You should also get your employer (if you work as a programmer) or your</t>
  </si>
  <si>
    <t>school, if any, to sign a "copyright disclaimer" for the program, if</t>
  </si>
  <si>
    <t>necessary.  Here is a sample; alter the names:</t>
  </si>
  <si>
    <t xml:space="preserve">  Yoyodyne, Inc., hereby disclaims all copyright interest in the program</t>
  </si>
  <si>
    <t xml:space="preserve">  `Gnomovision' (which makes passes at compilers) written by James Hacker.</t>
  </si>
  <si>
    <t xml:space="preserve">  &lt;signature of Moe Ghoul&gt;, 1 April 1989</t>
  </si>
  <si>
    <t xml:space="preserve">  Moe Ghoul, President of Vice</t>
  </si>
  <si>
    <t>This General Public License does not permit incorporating your program into</t>
  </si>
  <si>
    <t>proprietary programs.  If your program is a subroutine library, you may</t>
  </si>
  <si>
    <t>consider it more useful to permit linking proprietary applications with the</t>
  </si>
  <si>
    <t>library.  If this is what you want to do, use the GNU Lesser General</t>
  </si>
  <si>
    <t>Public License instead of this License.</t>
  </si>
  <si>
    <t>Greedy model: Miis pair with random compatible partners. Uses Poisson competition model with iterative pool depletion and competition-ratio correction for shared partner pools.</t>
  </si>
  <si>
    <t>Tomodachi Life and Mii are trademarks of Nintendo. This project is not affiliated with or endorsed by Nintendo.</t>
  </si>
  <si>
    <t>Percentage of Miis compatible</t>
  </si>
  <si>
    <t>Robin</t>
  </si>
  <si>
    <t>Barack Obama</t>
  </si>
  <si>
    <t>Randy Sexton</t>
  </si>
  <si>
    <t>Biff Williams</t>
  </si>
  <si>
    <t>Michael Newman</t>
  </si>
  <si>
    <t>Morty</t>
  </si>
  <si>
    <t>Ben</t>
  </si>
  <si>
    <t>Bea</t>
  </si>
  <si>
    <t>Bill Nye</t>
  </si>
  <si>
    <t>Justin Trudeau</t>
  </si>
  <si>
    <t>Katy Perry</t>
  </si>
  <si>
    <t>House</t>
  </si>
  <si>
    <t>Wilson</t>
  </si>
  <si>
    <t>Cuddy</t>
  </si>
  <si>
    <t>Cameron</t>
  </si>
  <si>
    <t>Chase</t>
  </si>
  <si>
    <t>Kutner</t>
  </si>
  <si>
    <t>Thirteen</t>
  </si>
  <si>
    <t>Foreman</t>
  </si>
  <si>
    <t>Taub</t>
  </si>
  <si>
    <t>June Egbert</t>
  </si>
  <si>
    <t>Rose Lalonde</t>
  </si>
  <si>
    <t>Jade Harley</t>
  </si>
  <si>
    <t>Dave Strider</t>
  </si>
  <si>
    <t>Robert Freeman</t>
  </si>
  <si>
    <t>Riley Freeman</t>
  </si>
  <si>
    <t>Huey Freeman</t>
  </si>
  <si>
    <t>Uncle Ruckus</t>
  </si>
  <si>
    <t>Chuck</t>
  </si>
  <si>
    <t>Larry</t>
  </si>
  <si>
    <t>Hugh Morris</t>
  </si>
  <si>
    <t>Jason Speer</t>
  </si>
  <si>
    <t>Dr. Winters</t>
  </si>
  <si>
    <t>Nikki</t>
  </si>
  <si>
    <t>Bill Trinnen</t>
  </si>
  <si>
    <t>Yoshiaki Koizumi</t>
  </si>
  <si>
    <t>Aradia Megido</t>
  </si>
  <si>
    <t>Tavros Nitram</t>
  </si>
  <si>
    <t>Sollux Captor</t>
  </si>
  <si>
    <t>Karkat Vantas</t>
  </si>
  <si>
    <t>Nepeta Leijon</t>
  </si>
  <si>
    <t>Kanaya Maryam</t>
  </si>
  <si>
    <t>Terezi Pyrope</t>
  </si>
  <si>
    <t>Vriska Serket</t>
  </si>
  <si>
    <t>Equius Zahhak</t>
  </si>
  <si>
    <t>Gamzee Makara</t>
  </si>
  <si>
    <t>Eridan Ampora</t>
  </si>
  <si>
    <t>Feferi Peixes</t>
  </si>
  <si>
    <t>Alvie</t>
  </si>
  <si>
    <t>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</si>
</sst>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6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Calibri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charset val="1"/>
    </font>
    <font>
      <sz val="11"/>
      <color theme="1"/>
      <name val="Calibri"/>
      <charset val="1"/>
    </font>
    <font>
      <b/>
      <sz val="11"/>
      <color rgb="FF7B2D8E"/>
      <name val="Calibri"/>
      <charset val="1"/>
    </font>
    <font>
      <sz val="11"/>
      <color rgb="FF548235"/>
      <name val="Calibri"/>
      <charset val="1"/>
    </font>
    <font>
      <b/>
      <sz val="11"/>
      <color theme="1"/>
      <name val="Calibri"/>
      <charset val="1"/>
    </font>
    <font>
      <b/>
      <sz val="11"/>
      <color rgb="FF4472C4"/>
      <name val="Calibri"/>
      <charset val="1"/>
    </font>
    <font>
      <sz val="11"/>
      <color rgb="FFC00000"/>
      <name val="Calibri"/>
      <charset val="1"/>
    </font>
    <font>
      <b/>
      <sz val="11"/>
      <color rgb="FFED7D9B"/>
      <name val="Calibri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6"/>
      <color rgb="FFFFFFFF"/>
      <name val="Aptos Narrow"/>
      <family val="2"/>
      <charset val="1"/>
    </font>
    <font>
      <i/>
      <sz val="11"/>
      <color rgb="FF666666"/>
      <name val="Aptos Narrow"/>
      <family val="2"/>
      <charset val="1"/>
    </font>
    <font>
      <b/>
      <sz val="13"/>
      <color rgb="FFFFFFFF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charset val="1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Consolas"/>
      <family val="3"/>
    </font>
    <font>
      <b/>
      <sz val="11"/>
      <color rgb="FFFA7D00"/>
      <name val="Consolas"/>
      <family val="3"/>
    </font>
    <font>
      <b/>
      <sz val="11"/>
      <name val="Aptos Narrow"/>
      <family val="2"/>
      <scheme val="minor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b/>
      <sz val="11"/>
      <color rgb="FF7B2D8E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2F5496"/>
        <bgColor rgb="FF4472C4"/>
      </patternFill>
    </fill>
    <fill>
      <patternFill patternType="solid">
        <fgColor rgb="FFD9E2F3"/>
        <bgColor rgb="FFD6E4F0"/>
      </patternFill>
    </fill>
    <fill>
      <patternFill patternType="solid">
        <fgColor rgb="FFD6DCE4"/>
        <bgColor rgb="FFD9E2F3"/>
      </patternFill>
    </fill>
    <fill>
      <patternFill patternType="solid">
        <fgColor rgb="FFFFFFFF"/>
        <bgColor rgb="FFFFFFCC"/>
      </patternFill>
    </fill>
    <fill>
      <patternFill patternType="solid">
        <fgColor rgb="FFE9EDF4"/>
        <bgColor rgb="FFD9E2F3"/>
      </patternFill>
    </fill>
    <fill>
      <patternFill patternType="solid">
        <fgColor rgb="FFD6E4F0"/>
        <bgColor rgb="FFD9E2F3"/>
      </patternFill>
    </fill>
    <fill>
      <patternFill patternType="solid">
        <fgColor rgb="FFC00000"/>
        <bgColor rgb="FFFF0000"/>
      </patternFill>
    </fill>
    <fill>
      <patternFill patternType="solid">
        <fgColor rgb="FFF2DCDB"/>
        <bgColor rgb="FFD6DCE4"/>
      </patternFill>
    </fill>
    <fill>
      <patternFill patternType="solid">
        <fgColor rgb="FFF2F2F2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1" fillId="11" borderId="1" applyNumberFormat="0" applyAlignment="0" applyProtection="0"/>
    <xf numFmtId="9" fontId="2" fillId="0" borderId="0" applyBorder="0" applyAlignment="0" applyProtection="0"/>
  </cellStyleXfs>
  <cellXfs count="67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8" fillId="4" borderId="0" xfId="0" applyFont="1" applyFill="1" applyAlignment="1">
      <alignment horizontal="center"/>
    </xf>
    <xf numFmtId="0" fontId="9" fillId="5" borderId="0" xfId="0" applyFont="1" applyFill="1"/>
    <xf numFmtId="0" fontId="6" fillId="5" borderId="0" xfId="0" applyFont="1" applyFill="1" applyAlignment="1">
      <alignment horizontal="center"/>
    </xf>
    <xf numFmtId="0" fontId="10" fillId="7" borderId="0" xfId="0" applyFont="1" applyFill="1"/>
    <xf numFmtId="0" fontId="6" fillId="7" borderId="0" xfId="0" applyFont="1" applyFill="1" applyAlignment="1">
      <alignment horizontal="center"/>
    </xf>
    <xf numFmtId="0" fontId="9" fillId="7" borderId="0" xfId="0" applyFont="1" applyFill="1"/>
    <xf numFmtId="0" fontId="12" fillId="5" borderId="0" xfId="0" applyFont="1" applyFill="1"/>
    <xf numFmtId="0" fontId="7" fillId="7" borderId="0" xfId="0" applyFont="1" applyFill="1"/>
    <xf numFmtId="0" fontId="14" fillId="6" borderId="0" xfId="0" applyFont="1" applyFill="1"/>
    <xf numFmtId="0" fontId="6" fillId="6" borderId="0" xfId="0" applyFont="1" applyFill="1" applyAlignment="1">
      <alignment horizontal="center"/>
    </xf>
    <xf numFmtId="0" fontId="14" fillId="4" borderId="0" xfId="0" applyFont="1" applyFill="1"/>
    <xf numFmtId="0" fontId="6" fillId="4" borderId="0" xfId="0" applyFont="1" applyFill="1" applyAlignment="1">
      <alignment horizontal="center"/>
    </xf>
    <xf numFmtId="0" fontId="15" fillId="2" borderId="0" xfId="0" applyFont="1" applyFill="1"/>
    <xf numFmtId="0" fontId="16" fillId="0" borderId="0" xfId="0" applyFont="1"/>
    <xf numFmtId="0" fontId="17" fillId="3" borderId="0" xfId="0" applyFont="1" applyFill="1"/>
    <xf numFmtId="0" fontId="18" fillId="8" borderId="0" xfId="0" applyFont="1" applyFill="1"/>
    <xf numFmtId="0" fontId="18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0" fillId="9" borderId="0" xfId="0" applyFill="1"/>
    <xf numFmtId="0" fontId="0" fillId="10" borderId="0" xfId="0" applyFill="1"/>
    <xf numFmtId="0" fontId="21" fillId="11" borderId="1" xfId="1"/>
    <xf numFmtId="0" fontId="0" fillId="0" borderId="0" xfId="0" applyAlignment="1">
      <alignment horizontal="left"/>
    </xf>
    <xf numFmtId="0" fontId="24" fillId="9" borderId="0" xfId="0" applyFont="1" applyFill="1"/>
    <xf numFmtId="0" fontId="1" fillId="9" borderId="0" xfId="0" applyFont="1" applyFill="1"/>
    <xf numFmtId="0" fontId="23" fillId="10" borderId="0" xfId="0" applyFont="1" applyFill="1"/>
    <xf numFmtId="0" fontId="23" fillId="10" borderId="0" xfId="0" applyFont="1" applyFill="1" applyAlignment="1">
      <alignment horizontal="center"/>
    </xf>
    <xf numFmtId="0" fontId="22" fillId="0" borderId="0" xfId="0" applyFont="1"/>
    <xf numFmtId="0" fontId="25" fillId="0" borderId="0" xfId="0" applyFont="1" applyAlignment="1">
      <alignment horizont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26" fillId="0" borderId="0" xfId="0" applyFont="1"/>
    <xf numFmtId="0" fontId="27" fillId="9" borderId="0" xfId="0" applyFont="1" applyFill="1" applyAlignment="1">
      <alignment horizontal="center"/>
    </xf>
    <xf numFmtId="1" fontId="23" fillId="0" borderId="0" xfId="0" applyNumberFormat="1" applyFont="1" applyAlignment="1">
      <alignment horizontal="center"/>
    </xf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29" fillId="11" borderId="1" xfId="1" applyFont="1"/>
    <xf numFmtId="9" fontId="30" fillId="0" borderId="0" xfId="2" applyFont="1" applyAlignment="1">
      <alignment horizontal="center"/>
    </xf>
    <xf numFmtId="0" fontId="32" fillId="0" borderId="0" xfId="0" applyFont="1"/>
    <xf numFmtId="0" fontId="7" fillId="4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4" fillId="6" borderId="0" xfId="0" applyFont="1" applyFill="1"/>
    <xf numFmtId="0" fontId="35" fillId="6" borderId="0" xfId="0" applyFont="1" applyFill="1" applyAlignment="1">
      <alignment horizontal="center"/>
    </xf>
    <xf numFmtId="0" fontId="14" fillId="12" borderId="0" xfId="0" applyFont="1" applyFill="1"/>
    <xf numFmtId="0" fontId="14" fillId="13" borderId="0" xfId="0" applyFont="1" applyFill="1"/>
    <xf numFmtId="0" fontId="13" fillId="13" borderId="0" xfId="0" applyFont="1" applyFill="1"/>
    <xf numFmtId="0" fontId="10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/>
  </cellXfs>
  <cellStyles count="3">
    <cellStyle name="Calculation" xfId="1" builtinId="22"/>
    <cellStyle name="Normal" xfId="0" builtinId="0"/>
    <cellStyle name="Percent" xfId="2" builtinId="5"/>
  </cellStyles>
  <dxfs count="3">
    <dxf>
      <font>
        <color rgb="FF7030A0"/>
      </font>
    </dxf>
    <dxf>
      <font>
        <color rgb="FFC00070"/>
      </font>
    </dxf>
    <dxf>
      <font>
        <color rgb="FF0070C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B2D8E"/>
      <rgbColor rgb="FFFFFFCC"/>
      <rgbColor rgb="FFE9EDF4"/>
      <rgbColor rgb="FF660066"/>
      <rgbColor rgb="FFED7D9B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2F3"/>
      <rgbColor rgb="FFFFFF99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B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E50759-BD8E-4CFB-A8B8-0A53F40E2D9C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"/>
  <sheetViews>
    <sheetView tabSelected="1" zoomScaleNormal="100" workbookViewId="0">
      <selection activeCell="C2" sqref="C2:E200"/>
    </sheetView>
  </sheetViews>
  <sheetFormatPr defaultColWidth="8.54296875" defaultRowHeight="14.5" x14ac:dyDescent="0.35"/>
  <cols>
    <col min="1" max="1" width="15.36328125" customWidth="1"/>
    <col min="2" max="2" width="9.54296875" customWidth="1"/>
    <col min="3" max="5" width="5.6328125" customWidth="1"/>
    <col min="7" max="7" width="9.6328125" customWidth="1"/>
  </cols>
  <sheetData>
    <row r="1" spans="1:1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4"/>
      <c r="I1" s="4"/>
      <c r="J1" s="4"/>
    </row>
    <row r="2" spans="1:10" ht="14.25" customHeight="1" x14ac:dyDescent="0.35">
      <c r="A2" s="15" t="s">
        <v>380</v>
      </c>
      <c r="B2" s="49" t="s">
        <v>6</v>
      </c>
      <c r="C2" s="5" t="s">
        <v>7</v>
      </c>
      <c r="D2" s="5" t="s">
        <v>7</v>
      </c>
      <c r="E2" s="5" t="s">
        <v>7</v>
      </c>
      <c r="G2" s="6" t="s">
        <v>8</v>
      </c>
      <c r="H2" s="7">
        <f>COUNTA(A2:A200)</f>
        <v>50</v>
      </c>
      <c r="I2" s="7"/>
      <c r="J2" s="7"/>
    </row>
    <row r="3" spans="1:10" ht="14.25" customHeight="1" x14ac:dyDescent="0.35">
      <c r="A3" s="51" t="s">
        <v>429</v>
      </c>
      <c r="B3" s="50" t="s">
        <v>6</v>
      </c>
      <c r="C3" s="52" t="s">
        <v>11</v>
      </c>
      <c r="D3" s="52" t="s">
        <v>11</v>
      </c>
      <c r="E3" s="52" t="s">
        <v>11</v>
      </c>
      <c r="G3" s="8" t="s">
        <v>10</v>
      </c>
      <c r="H3" s="9">
        <f>COUNTIF(B:B,"Male")</f>
        <v>32</v>
      </c>
      <c r="I3" s="10" t="s">
        <v>9</v>
      </c>
      <c r="J3" s="9">
        <f>COUNTIF(C2:C50,"✓")</f>
        <v>32</v>
      </c>
    </row>
    <row r="4" spans="1:10" ht="14.25" customHeight="1" x14ac:dyDescent="0.35">
      <c r="A4" s="53" t="s">
        <v>381</v>
      </c>
      <c r="B4" s="56" t="s">
        <v>10</v>
      </c>
      <c r="C4" s="57" t="s">
        <v>11</v>
      </c>
      <c r="D4" s="58" t="s">
        <v>7</v>
      </c>
      <c r="E4" s="57" t="s">
        <v>11</v>
      </c>
      <c r="G4" s="11" t="s">
        <v>13</v>
      </c>
      <c r="H4" s="7">
        <f>COUNTIF(B:B,"Female")</f>
        <v>16</v>
      </c>
      <c r="I4" s="6" t="s">
        <v>12</v>
      </c>
      <c r="J4" s="7">
        <f>COUNTIF(D2:D50,"✓")</f>
        <v>39</v>
      </c>
    </row>
    <row r="5" spans="1:10" ht="14.25" customHeight="1" x14ac:dyDescent="0.35">
      <c r="A5" s="54" t="s">
        <v>382</v>
      </c>
      <c r="B5" s="59" t="s">
        <v>10</v>
      </c>
      <c r="C5" s="60" t="s">
        <v>7</v>
      </c>
      <c r="D5" s="60" t="s">
        <v>7</v>
      </c>
      <c r="E5" s="60" t="s">
        <v>7</v>
      </c>
      <c r="G5" s="12" t="s">
        <v>6</v>
      </c>
      <c r="H5" s="9">
        <f>COUNTIF(B:B,"Nonbinary")</f>
        <v>2</v>
      </c>
      <c r="I5" s="10" t="s">
        <v>14</v>
      </c>
      <c r="J5" s="9">
        <f>COUNTIF(E2:E50,"✓")</f>
        <v>23</v>
      </c>
    </row>
    <row r="6" spans="1:10" ht="14.25" customHeight="1" x14ac:dyDescent="0.35">
      <c r="A6" s="53" t="s">
        <v>383</v>
      </c>
      <c r="B6" s="56" t="s">
        <v>10</v>
      </c>
      <c r="C6" s="57" t="s">
        <v>11</v>
      </c>
      <c r="D6" s="58" t="s">
        <v>7</v>
      </c>
      <c r="E6" s="57" t="s">
        <v>11</v>
      </c>
    </row>
    <row r="7" spans="1:10" ht="14.25" customHeight="1" x14ac:dyDescent="0.35">
      <c r="A7" s="54" t="s">
        <v>384</v>
      </c>
      <c r="B7" s="59" t="s">
        <v>10</v>
      </c>
      <c r="C7" s="60" t="s">
        <v>7</v>
      </c>
      <c r="D7" s="60" t="s">
        <v>7</v>
      </c>
      <c r="E7" s="60" t="s">
        <v>7</v>
      </c>
    </row>
    <row r="8" spans="1:10" ht="14.25" customHeight="1" x14ac:dyDescent="0.35">
      <c r="A8" s="53" t="s">
        <v>385</v>
      </c>
      <c r="B8" s="56" t="s">
        <v>10</v>
      </c>
      <c r="C8" s="58" t="s">
        <v>7</v>
      </c>
      <c r="D8" s="57" t="s">
        <v>11</v>
      </c>
      <c r="E8" s="57" t="s">
        <v>11</v>
      </c>
    </row>
    <row r="9" spans="1:10" ht="14.25" customHeight="1" x14ac:dyDescent="0.35">
      <c r="A9" s="54" t="s">
        <v>386</v>
      </c>
      <c r="B9" s="59" t="s">
        <v>10</v>
      </c>
      <c r="C9" s="61" t="s">
        <v>11</v>
      </c>
      <c r="D9" s="60" t="s">
        <v>7</v>
      </c>
      <c r="E9" s="61" t="s">
        <v>11</v>
      </c>
    </row>
    <row r="10" spans="1:10" ht="14.25" customHeight="1" x14ac:dyDescent="0.35">
      <c r="A10" s="53" t="s">
        <v>387</v>
      </c>
      <c r="B10" s="62" t="s">
        <v>13</v>
      </c>
      <c r="C10" s="58" t="s">
        <v>7</v>
      </c>
      <c r="D10" s="57" t="s">
        <v>11</v>
      </c>
      <c r="E10" s="57" t="s">
        <v>11</v>
      </c>
    </row>
    <row r="11" spans="1:10" ht="14.25" customHeight="1" x14ac:dyDescent="0.35">
      <c r="A11" s="54" t="s">
        <v>388</v>
      </c>
      <c r="B11" s="59" t="s">
        <v>10</v>
      </c>
      <c r="C11" s="61" t="s">
        <v>11</v>
      </c>
      <c r="D11" s="60" t="s">
        <v>7</v>
      </c>
      <c r="E11" s="61" t="s">
        <v>11</v>
      </c>
    </row>
    <row r="12" spans="1:10" ht="14.25" customHeight="1" x14ac:dyDescent="0.35">
      <c r="A12" s="53" t="s">
        <v>389</v>
      </c>
      <c r="B12" s="56" t="s">
        <v>10</v>
      </c>
      <c r="C12" s="57" t="s">
        <v>11</v>
      </c>
      <c r="D12" s="58" t="s">
        <v>7</v>
      </c>
      <c r="E12" s="57" t="s">
        <v>11</v>
      </c>
    </row>
    <row r="13" spans="1:10" ht="14.25" customHeight="1" x14ac:dyDescent="0.35">
      <c r="A13" s="54" t="s">
        <v>390</v>
      </c>
      <c r="B13" s="63" t="s">
        <v>13</v>
      </c>
      <c r="C13" s="60" t="s">
        <v>7</v>
      </c>
      <c r="D13" s="61" t="s">
        <v>11</v>
      </c>
      <c r="E13" s="61" t="s">
        <v>11</v>
      </c>
    </row>
    <row r="14" spans="1:10" ht="14.25" customHeight="1" x14ac:dyDescent="0.35">
      <c r="A14" s="53" t="s">
        <v>391</v>
      </c>
      <c r="B14" s="56" t="s">
        <v>10</v>
      </c>
      <c r="C14" s="58" t="s">
        <v>7</v>
      </c>
      <c r="D14" s="57" t="s">
        <v>11</v>
      </c>
      <c r="E14" s="57" t="s">
        <v>11</v>
      </c>
    </row>
    <row r="15" spans="1:10" ht="14.25" customHeight="1" x14ac:dyDescent="0.35">
      <c r="A15" s="54" t="s">
        <v>392</v>
      </c>
      <c r="B15" s="59" t="s">
        <v>10</v>
      </c>
      <c r="C15" s="60" t="s">
        <v>7</v>
      </c>
      <c r="D15" s="61" t="s">
        <v>11</v>
      </c>
      <c r="E15" s="61" t="s">
        <v>11</v>
      </c>
    </row>
    <row r="16" spans="1:10" ht="14.25" customHeight="1" x14ac:dyDescent="0.35">
      <c r="A16" s="53" t="s">
        <v>393</v>
      </c>
      <c r="B16" s="62" t="s">
        <v>13</v>
      </c>
      <c r="C16" s="58" t="s">
        <v>7</v>
      </c>
      <c r="D16" s="57" t="s">
        <v>11</v>
      </c>
      <c r="E16" s="57" t="s">
        <v>11</v>
      </c>
    </row>
    <row r="17" spans="1:5" ht="14.25" customHeight="1" x14ac:dyDescent="0.35">
      <c r="A17" s="54" t="s">
        <v>394</v>
      </c>
      <c r="B17" s="63" t="s">
        <v>13</v>
      </c>
      <c r="C17" s="60" t="s">
        <v>7</v>
      </c>
      <c r="D17" s="61" t="s">
        <v>11</v>
      </c>
      <c r="E17" s="61" t="s">
        <v>11</v>
      </c>
    </row>
    <row r="18" spans="1:5" ht="14.25" customHeight="1" x14ac:dyDescent="0.35">
      <c r="A18" s="53" t="s">
        <v>395</v>
      </c>
      <c r="B18" s="56" t="s">
        <v>10</v>
      </c>
      <c r="C18" s="58" t="s">
        <v>7</v>
      </c>
      <c r="D18" s="58" t="s">
        <v>7</v>
      </c>
      <c r="E18" s="58" t="s">
        <v>7</v>
      </c>
    </row>
    <row r="19" spans="1:5" ht="14.25" customHeight="1" x14ac:dyDescent="0.35">
      <c r="A19" s="54" t="s">
        <v>396</v>
      </c>
      <c r="B19" s="59" t="s">
        <v>10</v>
      </c>
      <c r="C19" s="61" t="s">
        <v>11</v>
      </c>
      <c r="D19" s="60" t="s">
        <v>7</v>
      </c>
      <c r="E19" s="61" t="s">
        <v>11</v>
      </c>
    </row>
    <row r="20" spans="1:5" ht="14.25" customHeight="1" x14ac:dyDescent="0.35">
      <c r="A20" s="53" t="s">
        <v>397</v>
      </c>
      <c r="B20" s="62" t="s">
        <v>13</v>
      </c>
      <c r="C20" s="58" t="s">
        <v>7</v>
      </c>
      <c r="D20" s="58" t="s">
        <v>7</v>
      </c>
      <c r="E20" s="57" t="s">
        <v>11</v>
      </c>
    </row>
    <row r="21" spans="1:5" ht="14.25" customHeight="1" x14ac:dyDescent="0.35">
      <c r="A21" s="54" t="s">
        <v>398</v>
      </c>
      <c r="B21" s="59" t="s">
        <v>10</v>
      </c>
      <c r="C21" s="61" t="s">
        <v>11</v>
      </c>
      <c r="D21" s="60" t="s">
        <v>7</v>
      </c>
      <c r="E21" s="61" t="s">
        <v>11</v>
      </c>
    </row>
    <row r="22" spans="1:5" ht="14.25" customHeight="1" x14ac:dyDescent="0.35">
      <c r="A22" s="53" t="s">
        <v>399</v>
      </c>
      <c r="B22" s="56" t="s">
        <v>10</v>
      </c>
      <c r="C22" s="57" t="s">
        <v>11</v>
      </c>
      <c r="D22" s="58" t="s">
        <v>7</v>
      </c>
      <c r="E22" s="57" t="s">
        <v>11</v>
      </c>
    </row>
    <row r="23" spans="1:5" ht="14.25" customHeight="1" x14ac:dyDescent="0.35">
      <c r="A23" s="54" t="s">
        <v>400</v>
      </c>
      <c r="B23" s="63" t="s">
        <v>13</v>
      </c>
      <c r="C23" s="60" t="s">
        <v>7</v>
      </c>
      <c r="D23" s="60" t="s">
        <v>7</v>
      </c>
      <c r="E23" s="60" t="s">
        <v>7</v>
      </c>
    </row>
    <row r="24" spans="1:5" ht="14.25" customHeight="1" x14ac:dyDescent="0.35">
      <c r="A24" s="53" t="s">
        <v>401</v>
      </c>
      <c r="B24" s="62" t="s">
        <v>13</v>
      </c>
      <c r="C24" s="57" t="s">
        <v>11</v>
      </c>
      <c r="D24" s="58" t="s">
        <v>7</v>
      </c>
      <c r="E24" s="57" t="s">
        <v>11</v>
      </c>
    </row>
    <row r="25" spans="1:5" ht="14.25" customHeight="1" x14ac:dyDescent="0.35">
      <c r="A25" s="54" t="s">
        <v>402</v>
      </c>
      <c r="B25" s="63" t="s">
        <v>13</v>
      </c>
      <c r="C25" s="60" t="s">
        <v>7</v>
      </c>
      <c r="D25" s="60" t="s">
        <v>7</v>
      </c>
      <c r="E25" s="60" t="s">
        <v>7</v>
      </c>
    </row>
    <row r="26" spans="1:5" ht="14.25" customHeight="1" x14ac:dyDescent="0.35">
      <c r="A26" s="53" t="s">
        <v>403</v>
      </c>
      <c r="B26" s="56" t="s">
        <v>10</v>
      </c>
      <c r="C26" s="58" t="s">
        <v>7</v>
      </c>
      <c r="D26" s="58" t="s">
        <v>7</v>
      </c>
      <c r="E26" s="58" t="s">
        <v>7</v>
      </c>
    </row>
    <row r="27" spans="1:5" ht="14.25" customHeight="1" x14ac:dyDescent="0.35">
      <c r="A27" s="54" t="s">
        <v>404</v>
      </c>
      <c r="B27" s="59" t="s">
        <v>10</v>
      </c>
      <c r="C27" s="61" t="s">
        <v>11</v>
      </c>
      <c r="D27" s="60" t="s">
        <v>7</v>
      </c>
      <c r="E27" s="61" t="s">
        <v>11</v>
      </c>
    </row>
    <row r="28" spans="1:5" ht="14.25" customHeight="1" x14ac:dyDescent="0.35">
      <c r="A28" s="53" t="s">
        <v>405</v>
      </c>
      <c r="B28" s="56" t="s">
        <v>10</v>
      </c>
      <c r="C28" s="57" t="s">
        <v>11</v>
      </c>
      <c r="D28" s="58" t="s">
        <v>7</v>
      </c>
      <c r="E28" s="57" t="s">
        <v>11</v>
      </c>
    </row>
    <row r="29" spans="1:5" ht="14.25" customHeight="1" x14ac:dyDescent="0.35">
      <c r="A29" s="54" t="s">
        <v>406</v>
      </c>
      <c r="B29" s="59" t="s">
        <v>10</v>
      </c>
      <c r="C29" s="61" t="s">
        <v>11</v>
      </c>
      <c r="D29" s="60" t="s">
        <v>7</v>
      </c>
      <c r="E29" s="60" t="s">
        <v>7</v>
      </c>
    </row>
    <row r="30" spans="1:5" ht="14.25" customHeight="1" x14ac:dyDescent="0.35">
      <c r="A30" s="53" t="s">
        <v>407</v>
      </c>
      <c r="B30" s="56" t="s">
        <v>10</v>
      </c>
      <c r="C30" s="57" t="s">
        <v>11</v>
      </c>
      <c r="D30" s="58" t="s">
        <v>7</v>
      </c>
      <c r="E30" s="57" t="s">
        <v>11</v>
      </c>
    </row>
    <row r="31" spans="1:5" ht="14.25" customHeight="1" x14ac:dyDescent="0.35">
      <c r="A31" s="54" t="s">
        <v>408</v>
      </c>
      <c r="B31" s="59" t="s">
        <v>10</v>
      </c>
      <c r="C31" s="60" t="s">
        <v>7</v>
      </c>
      <c r="D31" s="61" t="s">
        <v>11</v>
      </c>
      <c r="E31" s="61" t="s">
        <v>11</v>
      </c>
    </row>
    <row r="32" spans="1:5" ht="14.25" customHeight="1" x14ac:dyDescent="0.35">
      <c r="A32" s="53" t="s">
        <v>409</v>
      </c>
      <c r="B32" s="56" t="s">
        <v>10</v>
      </c>
      <c r="C32" s="58" t="s">
        <v>7</v>
      </c>
      <c r="D32" s="57" t="s">
        <v>11</v>
      </c>
      <c r="E32" s="57" t="s">
        <v>11</v>
      </c>
    </row>
    <row r="33" spans="1:5" ht="14.25" customHeight="1" x14ac:dyDescent="0.35">
      <c r="A33" s="54" t="s">
        <v>410</v>
      </c>
      <c r="B33" s="59" t="s">
        <v>10</v>
      </c>
      <c r="C33" s="60" t="s">
        <v>7</v>
      </c>
      <c r="D33" s="60" t="s">
        <v>7</v>
      </c>
      <c r="E33" s="60" t="s">
        <v>7</v>
      </c>
    </row>
    <row r="34" spans="1:5" ht="14.25" customHeight="1" x14ac:dyDescent="0.35">
      <c r="A34" s="53" t="s">
        <v>411</v>
      </c>
      <c r="B34" s="56" t="s">
        <v>10</v>
      </c>
      <c r="C34" s="58" t="s">
        <v>7</v>
      </c>
      <c r="D34" s="58" t="s">
        <v>7</v>
      </c>
      <c r="E34" s="58" t="s">
        <v>7</v>
      </c>
    </row>
    <row r="35" spans="1:5" ht="14.25" customHeight="1" x14ac:dyDescent="0.35">
      <c r="A35" s="54" t="s">
        <v>412</v>
      </c>
      <c r="B35" s="63" t="s">
        <v>13</v>
      </c>
      <c r="C35" s="60" t="s">
        <v>7</v>
      </c>
      <c r="D35" s="60" t="s">
        <v>7</v>
      </c>
      <c r="E35" s="60" t="s">
        <v>7</v>
      </c>
    </row>
    <row r="36" spans="1:5" ht="14.25" customHeight="1" x14ac:dyDescent="0.35">
      <c r="A36" s="53" t="s">
        <v>413</v>
      </c>
      <c r="B36" s="62" t="s">
        <v>13</v>
      </c>
      <c r="C36" s="58" t="s">
        <v>7</v>
      </c>
      <c r="D36" s="58" t="s">
        <v>7</v>
      </c>
      <c r="E36" s="58" t="s">
        <v>7</v>
      </c>
    </row>
    <row r="37" spans="1:5" ht="14.25" customHeight="1" x14ac:dyDescent="0.35">
      <c r="A37" s="54" t="s">
        <v>414</v>
      </c>
      <c r="B37" s="59" t="s">
        <v>10</v>
      </c>
      <c r="C37" s="61" t="s">
        <v>11</v>
      </c>
      <c r="D37" s="60" t="s">
        <v>7</v>
      </c>
      <c r="E37" s="61" t="s">
        <v>11</v>
      </c>
    </row>
    <row r="38" spans="1:5" ht="14.25" customHeight="1" x14ac:dyDescent="0.35">
      <c r="A38" s="53" t="s">
        <v>415</v>
      </c>
      <c r="B38" s="56" t="s">
        <v>10</v>
      </c>
      <c r="C38" s="57" t="s">
        <v>11</v>
      </c>
      <c r="D38" s="58" t="s">
        <v>7</v>
      </c>
      <c r="E38" s="57" t="s">
        <v>11</v>
      </c>
    </row>
    <row r="39" spans="1:5" ht="14.25" customHeight="1" x14ac:dyDescent="0.35">
      <c r="A39" s="54" t="s">
        <v>416</v>
      </c>
      <c r="B39" s="63" t="s">
        <v>13</v>
      </c>
      <c r="C39" s="60" t="s">
        <v>7</v>
      </c>
      <c r="D39" s="60" t="s">
        <v>7</v>
      </c>
      <c r="E39" s="60" t="s">
        <v>7</v>
      </c>
    </row>
    <row r="40" spans="1:5" ht="14.25" customHeight="1" x14ac:dyDescent="0.35">
      <c r="A40" s="53" t="s">
        <v>417</v>
      </c>
      <c r="B40" s="56" t="s">
        <v>10</v>
      </c>
      <c r="C40" s="58" t="s">
        <v>7</v>
      </c>
      <c r="D40" s="58" t="s">
        <v>7</v>
      </c>
      <c r="E40" s="58" t="s">
        <v>7</v>
      </c>
    </row>
    <row r="41" spans="1:5" ht="14.25" customHeight="1" x14ac:dyDescent="0.35">
      <c r="A41" s="54" t="s">
        <v>418</v>
      </c>
      <c r="B41" s="59" t="s">
        <v>10</v>
      </c>
      <c r="C41" s="60" t="s">
        <v>7</v>
      </c>
      <c r="D41" s="60" t="s">
        <v>7</v>
      </c>
      <c r="E41" s="60" t="s">
        <v>7</v>
      </c>
    </row>
    <row r="42" spans="1:5" ht="14.25" customHeight="1" x14ac:dyDescent="0.35">
      <c r="A42" s="53" t="s">
        <v>419</v>
      </c>
      <c r="B42" s="56" t="s">
        <v>10</v>
      </c>
      <c r="C42" s="58" t="s">
        <v>7</v>
      </c>
      <c r="D42" s="58" t="s">
        <v>7</v>
      </c>
      <c r="E42" s="58" t="s">
        <v>7</v>
      </c>
    </row>
    <row r="43" spans="1:5" ht="14.25" customHeight="1" x14ac:dyDescent="0.35">
      <c r="A43" s="54" t="s">
        <v>420</v>
      </c>
      <c r="B43" s="63" t="s">
        <v>13</v>
      </c>
      <c r="C43" s="60" t="s">
        <v>7</v>
      </c>
      <c r="D43" s="60" t="s">
        <v>7</v>
      </c>
      <c r="E43" s="60" t="s">
        <v>7</v>
      </c>
    </row>
    <row r="44" spans="1:5" ht="14.25" customHeight="1" x14ac:dyDescent="0.35">
      <c r="A44" s="53" t="s">
        <v>421</v>
      </c>
      <c r="B44" s="62" t="s">
        <v>13</v>
      </c>
      <c r="C44" s="57" t="s">
        <v>11</v>
      </c>
      <c r="D44" s="58" t="s">
        <v>7</v>
      </c>
      <c r="E44" s="57" t="s">
        <v>11</v>
      </c>
    </row>
    <row r="45" spans="1:5" ht="14.25" customHeight="1" x14ac:dyDescent="0.35">
      <c r="A45" s="54" t="s">
        <v>422</v>
      </c>
      <c r="B45" s="63" t="s">
        <v>13</v>
      </c>
      <c r="C45" s="60" t="s">
        <v>7</v>
      </c>
      <c r="D45" s="60" t="s">
        <v>7</v>
      </c>
      <c r="E45" s="60" t="s">
        <v>7</v>
      </c>
    </row>
    <row r="46" spans="1:5" ht="14.25" customHeight="1" x14ac:dyDescent="0.35">
      <c r="A46" s="53" t="s">
        <v>423</v>
      </c>
      <c r="B46" s="62" t="s">
        <v>13</v>
      </c>
      <c r="C46" s="58" t="s">
        <v>7</v>
      </c>
      <c r="D46" s="58" t="s">
        <v>7</v>
      </c>
      <c r="E46" s="58" t="s">
        <v>7</v>
      </c>
    </row>
    <row r="47" spans="1:5" ht="14.25" customHeight="1" x14ac:dyDescent="0.35">
      <c r="A47" s="54" t="s">
        <v>424</v>
      </c>
      <c r="B47" s="59" t="s">
        <v>10</v>
      </c>
      <c r="C47" s="60" t="s">
        <v>7</v>
      </c>
      <c r="D47" s="60" t="s">
        <v>7</v>
      </c>
      <c r="E47" s="60" t="s">
        <v>7</v>
      </c>
    </row>
    <row r="48" spans="1:5" ht="14.25" customHeight="1" x14ac:dyDescent="0.35">
      <c r="A48" s="53" t="s">
        <v>425</v>
      </c>
      <c r="B48" s="56" t="s">
        <v>10</v>
      </c>
      <c r="C48" s="58" t="s">
        <v>7</v>
      </c>
      <c r="D48" s="58" t="s">
        <v>7</v>
      </c>
      <c r="E48" s="58" t="s">
        <v>7</v>
      </c>
    </row>
    <row r="49" spans="1:5" ht="14.25" customHeight="1" x14ac:dyDescent="0.35">
      <c r="A49" s="54" t="s">
        <v>426</v>
      </c>
      <c r="B49" s="59" t="s">
        <v>10</v>
      </c>
      <c r="C49" s="60" t="s">
        <v>7</v>
      </c>
      <c r="D49" s="60" t="s">
        <v>7</v>
      </c>
      <c r="E49" s="60" t="s">
        <v>7</v>
      </c>
    </row>
    <row r="50" spans="1:5" ht="14.25" customHeight="1" x14ac:dyDescent="0.35">
      <c r="A50" s="53" t="s">
        <v>427</v>
      </c>
      <c r="B50" s="62" t="s">
        <v>13</v>
      </c>
      <c r="C50" s="58" t="s">
        <v>7</v>
      </c>
      <c r="D50" s="58" t="s">
        <v>7</v>
      </c>
      <c r="E50" s="58" t="s">
        <v>7</v>
      </c>
    </row>
    <row r="51" spans="1:5" ht="14.25" customHeight="1" x14ac:dyDescent="0.35">
      <c r="A51" s="55" t="s">
        <v>428</v>
      </c>
      <c r="B51" s="59" t="s">
        <v>10</v>
      </c>
      <c r="C51" s="60" t="s">
        <v>7</v>
      </c>
      <c r="D51" s="61" t="s">
        <v>11</v>
      </c>
      <c r="E51" s="60" t="s">
        <v>7</v>
      </c>
    </row>
    <row r="52" spans="1:5" ht="14.25" customHeight="1" x14ac:dyDescent="0.35">
      <c r="A52" s="15"/>
      <c r="B52" s="16"/>
      <c r="C52" s="16"/>
      <c r="D52" s="16"/>
      <c r="E52" s="16"/>
    </row>
    <row r="53" spans="1:5" ht="14.25" customHeight="1" x14ac:dyDescent="0.35">
      <c r="A53" s="13"/>
      <c r="B53" s="14"/>
      <c r="C53" s="14"/>
      <c r="D53" s="14"/>
      <c r="E53" s="14"/>
    </row>
    <row r="54" spans="1:5" ht="14.25" customHeight="1" x14ac:dyDescent="0.35">
      <c r="A54" s="15"/>
      <c r="B54" s="16"/>
      <c r="C54" s="16"/>
      <c r="D54" s="16"/>
      <c r="E54" s="16"/>
    </row>
    <row r="55" spans="1:5" ht="14.25" customHeight="1" x14ac:dyDescent="0.35">
      <c r="A55" s="13"/>
      <c r="B55" s="14"/>
      <c r="C55" s="14"/>
      <c r="D55" s="14"/>
      <c r="E55" s="14"/>
    </row>
    <row r="56" spans="1:5" ht="14.25" customHeight="1" x14ac:dyDescent="0.35">
      <c r="A56" s="15"/>
      <c r="B56" s="16"/>
      <c r="C56" s="16"/>
      <c r="D56" s="16"/>
      <c r="E56" s="16"/>
    </row>
    <row r="57" spans="1:5" ht="14.25" customHeight="1" x14ac:dyDescent="0.35">
      <c r="A57" s="13"/>
      <c r="B57" s="14"/>
      <c r="C57" s="14"/>
      <c r="D57" s="14"/>
      <c r="E57" s="14"/>
    </row>
    <row r="58" spans="1:5" ht="14.25" customHeight="1" x14ac:dyDescent="0.35">
      <c r="A58" s="15"/>
      <c r="B58" s="16"/>
      <c r="C58" s="16"/>
      <c r="D58" s="16"/>
      <c r="E58" s="16"/>
    </row>
    <row r="59" spans="1:5" ht="14.25" customHeight="1" x14ac:dyDescent="0.35">
      <c r="A59" s="13"/>
      <c r="B59" s="14"/>
      <c r="C59" s="14"/>
      <c r="D59" s="14"/>
      <c r="E59" s="14"/>
    </row>
    <row r="60" spans="1:5" ht="14.25" customHeight="1" x14ac:dyDescent="0.35">
      <c r="A60" s="15"/>
      <c r="B60" s="16"/>
      <c r="C60" s="16"/>
      <c r="D60" s="16"/>
      <c r="E60" s="16"/>
    </row>
    <row r="61" spans="1:5" ht="14.25" customHeight="1" x14ac:dyDescent="0.35">
      <c r="A61" s="13"/>
      <c r="B61" s="14"/>
      <c r="C61" s="14"/>
      <c r="D61" s="14"/>
      <c r="E61" s="14"/>
    </row>
    <row r="62" spans="1:5" ht="14.25" customHeight="1" x14ac:dyDescent="0.35">
      <c r="A62" s="15"/>
      <c r="B62" s="16"/>
      <c r="C62" s="16"/>
      <c r="D62" s="16"/>
      <c r="E62" s="16"/>
    </row>
    <row r="63" spans="1:5" ht="14.25" customHeight="1" x14ac:dyDescent="0.35">
      <c r="A63" s="13"/>
      <c r="B63" s="14"/>
      <c r="C63" s="14"/>
      <c r="D63" s="14"/>
      <c r="E63" s="14"/>
    </row>
    <row r="64" spans="1:5" ht="14.25" customHeight="1" x14ac:dyDescent="0.35">
      <c r="A64" s="15"/>
      <c r="B64" s="16"/>
      <c r="C64" s="16"/>
      <c r="D64" s="16"/>
      <c r="E64" s="16"/>
    </row>
    <row r="65" spans="1:5" ht="14.25" customHeight="1" x14ac:dyDescent="0.35">
      <c r="A65" s="13"/>
      <c r="B65" s="14"/>
      <c r="C65" s="14"/>
      <c r="D65" s="14"/>
      <c r="E65" s="14"/>
    </row>
    <row r="66" spans="1:5" ht="14.25" customHeight="1" x14ac:dyDescent="0.35">
      <c r="A66" s="15"/>
      <c r="B66" s="16"/>
      <c r="C66" s="16"/>
      <c r="D66" s="16"/>
      <c r="E66" s="16"/>
    </row>
    <row r="67" spans="1:5" ht="14.25" customHeight="1" x14ac:dyDescent="0.35">
      <c r="A67" s="13"/>
      <c r="B67" s="14"/>
      <c r="C67" s="14"/>
      <c r="D67" s="14"/>
      <c r="E67" s="14"/>
    </row>
    <row r="68" spans="1:5" ht="14.25" customHeight="1" x14ac:dyDescent="0.35">
      <c r="A68" s="15"/>
      <c r="B68" s="16"/>
      <c r="C68" s="16"/>
      <c r="D68" s="16"/>
      <c r="E68" s="16"/>
    </row>
    <row r="69" spans="1:5" ht="14.25" customHeight="1" x14ac:dyDescent="0.35">
      <c r="A69" s="13"/>
      <c r="B69" s="14"/>
      <c r="C69" s="14"/>
      <c r="D69" s="14"/>
      <c r="E69" s="14"/>
    </row>
    <row r="70" spans="1:5" ht="14.25" customHeight="1" x14ac:dyDescent="0.35">
      <c r="A70" s="15"/>
      <c r="B70" s="16"/>
      <c r="C70" s="16"/>
      <c r="D70" s="16"/>
      <c r="E70" s="16"/>
    </row>
    <row r="71" spans="1:5" ht="14.25" customHeight="1" x14ac:dyDescent="0.35">
      <c r="A71" s="13"/>
      <c r="B71" s="14"/>
      <c r="C71" s="14"/>
      <c r="D71" s="14"/>
      <c r="E71" s="14"/>
    </row>
    <row r="72" spans="1:5" ht="14.25" customHeight="1" x14ac:dyDescent="0.35">
      <c r="A72" s="15"/>
      <c r="B72" s="16"/>
      <c r="C72" s="16"/>
      <c r="D72" s="16"/>
      <c r="E72" s="16"/>
    </row>
    <row r="73" spans="1:5" ht="14.25" customHeight="1" x14ac:dyDescent="0.35">
      <c r="A73" s="13"/>
      <c r="B73" s="14"/>
      <c r="C73" s="14"/>
      <c r="D73" s="14"/>
      <c r="E73" s="14"/>
    </row>
    <row r="74" spans="1:5" ht="14.25" customHeight="1" x14ac:dyDescent="0.35">
      <c r="A74" s="15"/>
      <c r="B74" s="16"/>
      <c r="C74" s="16"/>
      <c r="D74" s="16"/>
      <c r="E74" s="16"/>
    </row>
    <row r="75" spans="1:5" ht="14.25" customHeight="1" x14ac:dyDescent="0.35">
      <c r="A75" s="13"/>
      <c r="B75" s="14"/>
      <c r="C75" s="14"/>
      <c r="D75" s="14"/>
      <c r="E75" s="14"/>
    </row>
    <row r="76" spans="1:5" ht="14.25" customHeight="1" x14ac:dyDescent="0.35">
      <c r="A76" s="15"/>
      <c r="B76" s="16"/>
      <c r="C76" s="16"/>
      <c r="D76" s="16"/>
      <c r="E76" s="16"/>
    </row>
    <row r="77" spans="1:5" ht="14.25" customHeight="1" x14ac:dyDescent="0.35">
      <c r="A77" s="13"/>
      <c r="B77" s="14"/>
      <c r="C77" s="14"/>
      <c r="D77" s="14"/>
      <c r="E77" s="14"/>
    </row>
    <row r="78" spans="1:5" ht="14.25" customHeight="1" x14ac:dyDescent="0.35">
      <c r="A78" s="15"/>
      <c r="B78" s="16"/>
      <c r="C78" s="16"/>
      <c r="D78" s="16"/>
      <c r="E78" s="16"/>
    </row>
    <row r="79" spans="1:5" ht="14.25" customHeight="1" x14ac:dyDescent="0.35">
      <c r="A79" s="13"/>
      <c r="B79" s="14"/>
      <c r="C79" s="14"/>
      <c r="D79" s="14"/>
      <c r="E79" s="14"/>
    </row>
    <row r="80" spans="1:5" ht="14.25" customHeight="1" x14ac:dyDescent="0.35">
      <c r="A80" s="15"/>
      <c r="B80" s="16"/>
      <c r="C80" s="16"/>
      <c r="D80" s="16"/>
      <c r="E80" s="16"/>
    </row>
    <row r="81" spans="1:5" ht="14.25" customHeight="1" x14ac:dyDescent="0.35">
      <c r="A81" s="13"/>
      <c r="B81" s="14"/>
      <c r="C81" s="14"/>
      <c r="D81" s="14"/>
      <c r="E81" s="14"/>
    </row>
    <row r="82" spans="1:5" ht="14.25" customHeight="1" x14ac:dyDescent="0.35">
      <c r="A82" s="15"/>
      <c r="B82" s="16"/>
      <c r="C82" s="16"/>
      <c r="D82" s="16"/>
      <c r="E82" s="16"/>
    </row>
    <row r="83" spans="1:5" ht="14.25" customHeight="1" x14ac:dyDescent="0.35">
      <c r="A83" s="13"/>
      <c r="B83" s="14"/>
      <c r="C83" s="14"/>
      <c r="D83" s="14"/>
      <c r="E83" s="14"/>
    </row>
    <row r="84" spans="1:5" ht="14.25" customHeight="1" x14ac:dyDescent="0.35">
      <c r="A84" s="15"/>
      <c r="B84" s="16"/>
      <c r="C84" s="16"/>
      <c r="D84" s="16"/>
      <c r="E84" s="16"/>
    </row>
    <row r="85" spans="1:5" ht="14.25" customHeight="1" x14ac:dyDescent="0.35">
      <c r="A85" s="13"/>
      <c r="B85" s="14"/>
      <c r="C85" s="14"/>
      <c r="D85" s="14"/>
      <c r="E85" s="14"/>
    </row>
    <row r="86" spans="1:5" ht="14.25" customHeight="1" x14ac:dyDescent="0.35">
      <c r="A86" s="15"/>
      <c r="B86" s="16"/>
      <c r="C86" s="16"/>
      <c r="D86" s="16"/>
      <c r="E86" s="16"/>
    </row>
    <row r="87" spans="1:5" ht="14.25" customHeight="1" x14ac:dyDescent="0.35">
      <c r="A87" s="13"/>
      <c r="B87" s="14"/>
      <c r="C87" s="14"/>
      <c r="D87" s="14"/>
      <c r="E87" s="14"/>
    </row>
    <row r="88" spans="1:5" ht="14.25" customHeight="1" x14ac:dyDescent="0.35">
      <c r="A88" s="15"/>
      <c r="B88" s="16"/>
      <c r="C88" s="16"/>
      <c r="D88" s="16"/>
      <c r="E88" s="16"/>
    </row>
    <row r="89" spans="1:5" ht="14.25" customHeight="1" x14ac:dyDescent="0.35">
      <c r="A89" s="13"/>
      <c r="B89" s="14"/>
      <c r="C89" s="14"/>
      <c r="D89" s="14"/>
      <c r="E89" s="14"/>
    </row>
    <row r="90" spans="1:5" ht="14.25" customHeight="1" x14ac:dyDescent="0.35">
      <c r="A90" s="15"/>
      <c r="B90" s="16"/>
      <c r="C90" s="16"/>
      <c r="D90" s="16"/>
      <c r="E90" s="16"/>
    </row>
    <row r="91" spans="1:5" ht="14.25" customHeight="1" x14ac:dyDescent="0.35">
      <c r="A91" s="13"/>
      <c r="B91" s="14"/>
      <c r="C91" s="14"/>
      <c r="D91" s="14"/>
      <c r="E91" s="14"/>
    </row>
    <row r="92" spans="1:5" ht="14.25" customHeight="1" x14ac:dyDescent="0.35">
      <c r="A92" s="15"/>
      <c r="B92" s="16"/>
      <c r="C92" s="16"/>
      <c r="D92" s="16"/>
      <c r="E92" s="16"/>
    </row>
    <row r="93" spans="1:5" ht="14.25" customHeight="1" x14ac:dyDescent="0.35">
      <c r="A93" s="13"/>
      <c r="B93" s="14"/>
      <c r="C93" s="14"/>
      <c r="D93" s="14"/>
      <c r="E93" s="14"/>
    </row>
    <row r="94" spans="1:5" ht="14.25" customHeight="1" x14ac:dyDescent="0.35">
      <c r="A94" s="15"/>
      <c r="B94" s="16"/>
      <c r="C94" s="16"/>
      <c r="D94" s="16"/>
      <c r="E94" s="16"/>
    </row>
    <row r="95" spans="1:5" ht="14.25" customHeight="1" x14ac:dyDescent="0.35">
      <c r="A95" s="13"/>
      <c r="B95" s="14"/>
      <c r="C95" s="14"/>
      <c r="D95" s="14"/>
      <c r="E95" s="14"/>
    </row>
    <row r="96" spans="1:5" ht="14.25" customHeight="1" x14ac:dyDescent="0.35">
      <c r="A96" s="15"/>
      <c r="B96" s="16"/>
      <c r="C96" s="16"/>
      <c r="D96" s="16"/>
      <c r="E96" s="16"/>
    </row>
    <row r="97" spans="1:5" ht="14.25" customHeight="1" x14ac:dyDescent="0.35">
      <c r="A97" s="13"/>
      <c r="B97" s="14"/>
      <c r="C97" s="14"/>
      <c r="D97" s="14"/>
      <c r="E97" s="14"/>
    </row>
    <row r="98" spans="1:5" ht="14.25" customHeight="1" x14ac:dyDescent="0.35">
      <c r="A98" s="15"/>
      <c r="B98" s="16"/>
      <c r="C98" s="16"/>
      <c r="D98" s="16"/>
      <c r="E98" s="16"/>
    </row>
    <row r="99" spans="1:5" ht="14.25" customHeight="1" x14ac:dyDescent="0.35">
      <c r="A99" s="13"/>
      <c r="B99" s="14"/>
      <c r="C99" s="14"/>
      <c r="D99" s="14"/>
      <c r="E99" s="14"/>
    </row>
    <row r="100" spans="1:5" ht="14.25" customHeight="1" x14ac:dyDescent="0.35">
      <c r="A100" s="15"/>
      <c r="B100" s="16"/>
      <c r="C100" s="16"/>
      <c r="D100" s="16"/>
      <c r="E100" s="16"/>
    </row>
    <row r="101" spans="1:5" ht="14.25" customHeight="1" x14ac:dyDescent="0.35">
      <c r="A101" s="13"/>
      <c r="B101" s="14"/>
      <c r="C101" s="14"/>
      <c r="D101" s="14"/>
      <c r="E101" s="14"/>
    </row>
    <row r="102" spans="1:5" ht="14.25" customHeight="1" x14ac:dyDescent="0.35">
      <c r="A102" s="15"/>
      <c r="B102" s="16"/>
      <c r="C102" s="16"/>
      <c r="D102" s="16"/>
      <c r="E102" s="16"/>
    </row>
    <row r="103" spans="1:5" ht="14.25" customHeight="1" x14ac:dyDescent="0.35">
      <c r="A103" s="13"/>
      <c r="B103" s="14"/>
      <c r="C103" s="14"/>
      <c r="D103" s="14"/>
      <c r="E103" s="14"/>
    </row>
    <row r="104" spans="1:5" ht="14.25" customHeight="1" x14ac:dyDescent="0.35">
      <c r="A104" s="15"/>
      <c r="B104" s="16"/>
      <c r="C104" s="16"/>
      <c r="D104" s="16"/>
      <c r="E104" s="16"/>
    </row>
    <row r="105" spans="1:5" ht="14.25" customHeight="1" x14ac:dyDescent="0.35">
      <c r="A105" s="13"/>
      <c r="B105" s="14"/>
      <c r="C105" s="14"/>
      <c r="D105" s="14"/>
      <c r="E105" s="14"/>
    </row>
    <row r="106" spans="1:5" ht="14.25" customHeight="1" x14ac:dyDescent="0.35">
      <c r="A106" s="15"/>
      <c r="B106" s="16"/>
      <c r="C106" s="16"/>
      <c r="D106" s="16"/>
      <c r="E106" s="16"/>
    </row>
    <row r="107" spans="1:5" ht="14.25" customHeight="1" x14ac:dyDescent="0.35">
      <c r="A107" s="13"/>
      <c r="B107" s="14"/>
      <c r="C107" s="14"/>
      <c r="D107" s="14"/>
      <c r="E107" s="14"/>
    </row>
    <row r="108" spans="1:5" ht="14.25" customHeight="1" x14ac:dyDescent="0.35">
      <c r="A108" s="15"/>
      <c r="B108" s="16"/>
      <c r="C108" s="16"/>
      <c r="D108" s="16"/>
      <c r="E108" s="16"/>
    </row>
    <row r="109" spans="1:5" ht="14.25" customHeight="1" x14ac:dyDescent="0.35">
      <c r="A109" s="13"/>
      <c r="B109" s="14"/>
      <c r="C109" s="14"/>
      <c r="D109" s="14"/>
      <c r="E109" s="14"/>
    </row>
    <row r="110" spans="1:5" ht="14.25" customHeight="1" x14ac:dyDescent="0.35">
      <c r="A110" s="15"/>
      <c r="B110" s="16"/>
      <c r="C110" s="16"/>
      <c r="D110" s="16"/>
      <c r="E110" s="16"/>
    </row>
    <row r="111" spans="1:5" ht="14.25" customHeight="1" x14ac:dyDescent="0.35">
      <c r="A111" s="13"/>
      <c r="B111" s="14"/>
      <c r="C111" s="14"/>
      <c r="D111" s="14"/>
      <c r="E111" s="14"/>
    </row>
    <row r="112" spans="1:5" ht="14.25" customHeight="1" x14ac:dyDescent="0.35">
      <c r="A112" s="15"/>
      <c r="B112" s="16"/>
      <c r="C112" s="16"/>
      <c r="D112" s="16"/>
      <c r="E112" s="16"/>
    </row>
    <row r="113" spans="1:5" ht="14.25" customHeight="1" x14ac:dyDescent="0.35">
      <c r="A113" s="13"/>
      <c r="B113" s="14"/>
      <c r="C113" s="14"/>
      <c r="D113" s="14"/>
      <c r="E113" s="14"/>
    </row>
    <row r="114" spans="1:5" ht="14.25" customHeight="1" x14ac:dyDescent="0.35">
      <c r="A114" s="15"/>
      <c r="B114" s="16"/>
      <c r="C114" s="16"/>
      <c r="D114" s="16"/>
      <c r="E114" s="16"/>
    </row>
    <row r="115" spans="1:5" ht="14.25" customHeight="1" x14ac:dyDescent="0.35">
      <c r="A115" s="13"/>
      <c r="B115" s="14"/>
      <c r="C115" s="14"/>
      <c r="D115" s="14"/>
      <c r="E115" s="14"/>
    </row>
    <row r="116" spans="1:5" ht="14.25" customHeight="1" x14ac:dyDescent="0.35">
      <c r="A116" s="15"/>
      <c r="B116" s="16"/>
      <c r="C116" s="16"/>
      <c r="D116" s="16"/>
      <c r="E116" s="16"/>
    </row>
    <row r="117" spans="1:5" ht="14.25" customHeight="1" x14ac:dyDescent="0.35">
      <c r="A117" s="13"/>
      <c r="B117" s="14"/>
      <c r="C117" s="14"/>
      <c r="D117" s="14"/>
      <c r="E117" s="14"/>
    </row>
    <row r="118" spans="1:5" ht="14.25" customHeight="1" x14ac:dyDescent="0.35">
      <c r="A118" s="15"/>
      <c r="B118" s="16"/>
      <c r="C118" s="16"/>
      <c r="D118" s="16"/>
      <c r="E118" s="16"/>
    </row>
    <row r="119" spans="1:5" ht="14.25" customHeight="1" x14ac:dyDescent="0.35">
      <c r="A119" s="13"/>
      <c r="B119" s="14"/>
      <c r="C119" s="14"/>
      <c r="D119" s="14"/>
      <c r="E119" s="14"/>
    </row>
    <row r="120" spans="1:5" ht="14.25" customHeight="1" x14ac:dyDescent="0.35">
      <c r="A120" s="15"/>
      <c r="B120" s="16"/>
      <c r="C120" s="16"/>
      <c r="D120" s="16"/>
      <c r="E120" s="16"/>
    </row>
    <row r="121" spans="1:5" ht="14.25" customHeight="1" x14ac:dyDescent="0.35">
      <c r="A121" s="13"/>
      <c r="B121" s="14"/>
      <c r="C121" s="14"/>
      <c r="D121" s="14"/>
      <c r="E121" s="14"/>
    </row>
    <row r="122" spans="1:5" ht="14.25" customHeight="1" x14ac:dyDescent="0.35">
      <c r="A122" s="15"/>
      <c r="B122" s="16"/>
      <c r="C122" s="16"/>
      <c r="D122" s="16"/>
      <c r="E122" s="16"/>
    </row>
    <row r="123" spans="1:5" ht="14.25" customHeight="1" x14ac:dyDescent="0.35">
      <c r="A123" s="13"/>
      <c r="B123" s="14"/>
      <c r="C123" s="14"/>
      <c r="D123" s="14"/>
      <c r="E123" s="14"/>
    </row>
    <row r="124" spans="1:5" ht="14.25" customHeight="1" x14ac:dyDescent="0.35">
      <c r="A124" s="15"/>
      <c r="B124" s="16"/>
      <c r="C124" s="16"/>
      <c r="D124" s="16"/>
      <c r="E124" s="16"/>
    </row>
    <row r="125" spans="1:5" ht="14.25" customHeight="1" x14ac:dyDescent="0.35">
      <c r="A125" s="13"/>
      <c r="B125" s="14"/>
      <c r="C125" s="14"/>
      <c r="D125" s="14"/>
      <c r="E125" s="14"/>
    </row>
    <row r="126" spans="1:5" ht="14.25" customHeight="1" x14ac:dyDescent="0.35">
      <c r="A126" s="15"/>
      <c r="B126" s="16"/>
      <c r="C126" s="16"/>
      <c r="D126" s="16"/>
      <c r="E126" s="16"/>
    </row>
    <row r="127" spans="1:5" ht="14.25" customHeight="1" x14ac:dyDescent="0.35">
      <c r="A127" s="13"/>
      <c r="B127" s="14"/>
      <c r="C127" s="14"/>
      <c r="D127" s="14"/>
      <c r="E127" s="14"/>
    </row>
    <row r="128" spans="1:5" ht="14.25" customHeight="1" x14ac:dyDescent="0.35">
      <c r="A128" s="15"/>
      <c r="B128" s="16"/>
      <c r="C128" s="16"/>
      <c r="D128" s="16"/>
      <c r="E128" s="16"/>
    </row>
    <row r="129" spans="1:5" ht="14.25" customHeight="1" x14ac:dyDescent="0.35">
      <c r="A129" s="13"/>
      <c r="B129" s="14"/>
      <c r="C129" s="14"/>
      <c r="D129" s="14"/>
      <c r="E129" s="14"/>
    </row>
    <row r="130" spans="1:5" ht="14.25" customHeight="1" x14ac:dyDescent="0.35">
      <c r="A130" s="15"/>
      <c r="B130" s="16"/>
      <c r="C130" s="16"/>
      <c r="D130" s="16"/>
      <c r="E130" s="16"/>
    </row>
    <row r="131" spans="1:5" ht="14.25" customHeight="1" x14ac:dyDescent="0.35">
      <c r="A131" s="13"/>
      <c r="B131" s="14"/>
      <c r="C131" s="14"/>
      <c r="D131" s="14"/>
      <c r="E131" s="14"/>
    </row>
    <row r="132" spans="1:5" ht="14.25" customHeight="1" x14ac:dyDescent="0.35">
      <c r="A132" s="15"/>
      <c r="B132" s="16"/>
      <c r="C132" s="16"/>
      <c r="D132" s="16"/>
      <c r="E132" s="16"/>
    </row>
    <row r="133" spans="1:5" ht="14.25" customHeight="1" x14ac:dyDescent="0.35">
      <c r="A133" s="13"/>
      <c r="B133" s="14"/>
      <c r="C133" s="14"/>
      <c r="D133" s="14"/>
      <c r="E133" s="14"/>
    </row>
    <row r="134" spans="1:5" ht="14.25" customHeight="1" x14ac:dyDescent="0.35">
      <c r="A134" s="15"/>
      <c r="B134" s="16"/>
      <c r="C134" s="16"/>
      <c r="D134" s="16"/>
      <c r="E134" s="16"/>
    </row>
    <row r="135" spans="1:5" ht="14.25" customHeight="1" x14ac:dyDescent="0.35">
      <c r="A135" s="13"/>
      <c r="B135" s="14"/>
      <c r="C135" s="14"/>
      <c r="D135" s="14"/>
      <c r="E135" s="14"/>
    </row>
    <row r="136" spans="1:5" ht="14.25" customHeight="1" x14ac:dyDescent="0.35">
      <c r="A136" s="15"/>
      <c r="B136" s="16"/>
      <c r="C136" s="16"/>
      <c r="D136" s="16"/>
      <c r="E136" s="16"/>
    </row>
    <row r="137" spans="1:5" ht="14.25" customHeight="1" x14ac:dyDescent="0.35">
      <c r="A137" s="13"/>
      <c r="B137" s="14"/>
      <c r="C137" s="14"/>
      <c r="D137" s="14"/>
      <c r="E137" s="14"/>
    </row>
    <row r="138" spans="1:5" ht="14.25" customHeight="1" x14ac:dyDescent="0.35">
      <c r="A138" s="15"/>
      <c r="B138" s="16"/>
      <c r="C138" s="16"/>
      <c r="D138" s="16"/>
      <c r="E138" s="16"/>
    </row>
    <row r="139" spans="1:5" ht="14.25" customHeight="1" x14ac:dyDescent="0.35">
      <c r="A139" s="13"/>
      <c r="B139" s="14"/>
      <c r="C139" s="14"/>
      <c r="D139" s="14"/>
      <c r="E139" s="14"/>
    </row>
    <row r="140" spans="1:5" ht="14.25" customHeight="1" x14ac:dyDescent="0.35">
      <c r="A140" s="15"/>
      <c r="B140" s="16"/>
      <c r="C140" s="16"/>
      <c r="D140" s="16"/>
      <c r="E140" s="16"/>
    </row>
    <row r="141" spans="1:5" ht="14.25" customHeight="1" x14ac:dyDescent="0.35">
      <c r="A141" s="13"/>
      <c r="B141" s="14"/>
      <c r="C141" s="14"/>
      <c r="D141" s="14"/>
      <c r="E141" s="14"/>
    </row>
    <row r="142" spans="1:5" ht="14.25" customHeight="1" x14ac:dyDescent="0.35">
      <c r="A142" s="15"/>
      <c r="B142" s="16"/>
      <c r="C142" s="16"/>
      <c r="D142" s="16"/>
      <c r="E142" s="16"/>
    </row>
    <row r="143" spans="1:5" ht="14.25" customHeight="1" x14ac:dyDescent="0.35">
      <c r="A143" s="13"/>
      <c r="B143" s="14"/>
      <c r="C143" s="14"/>
      <c r="D143" s="14"/>
      <c r="E143" s="14"/>
    </row>
    <row r="144" spans="1:5" ht="14.25" customHeight="1" x14ac:dyDescent="0.35">
      <c r="A144" s="15"/>
      <c r="B144" s="16"/>
      <c r="C144" s="16"/>
      <c r="D144" s="16"/>
      <c r="E144" s="16"/>
    </row>
    <row r="145" spans="1:5" ht="14.25" customHeight="1" x14ac:dyDescent="0.35">
      <c r="A145" s="13"/>
      <c r="B145" s="14"/>
      <c r="C145" s="14"/>
      <c r="D145" s="14"/>
      <c r="E145" s="14"/>
    </row>
    <row r="146" spans="1:5" ht="14.25" customHeight="1" x14ac:dyDescent="0.35">
      <c r="A146" s="15"/>
      <c r="B146" s="16"/>
      <c r="C146" s="16"/>
      <c r="D146" s="16"/>
      <c r="E146" s="16"/>
    </row>
    <row r="147" spans="1:5" ht="14.25" customHeight="1" x14ac:dyDescent="0.35">
      <c r="A147" s="13"/>
      <c r="B147" s="14"/>
      <c r="C147" s="14"/>
      <c r="D147" s="14"/>
      <c r="E147" s="14"/>
    </row>
    <row r="148" spans="1:5" ht="14.25" customHeight="1" x14ac:dyDescent="0.35">
      <c r="A148" s="15"/>
      <c r="B148" s="16"/>
      <c r="C148" s="16"/>
      <c r="D148" s="16"/>
      <c r="E148" s="16"/>
    </row>
    <row r="149" spans="1:5" ht="14.25" customHeight="1" x14ac:dyDescent="0.35">
      <c r="A149" s="13"/>
      <c r="B149" s="14"/>
      <c r="C149" s="14"/>
      <c r="D149" s="14"/>
      <c r="E149" s="14"/>
    </row>
    <row r="150" spans="1:5" ht="14.25" customHeight="1" x14ac:dyDescent="0.35">
      <c r="A150" s="15"/>
      <c r="B150" s="16"/>
      <c r="C150" s="16"/>
      <c r="D150" s="16"/>
      <c r="E150" s="16"/>
    </row>
    <row r="151" spans="1:5" ht="14.25" customHeight="1" x14ac:dyDescent="0.35">
      <c r="A151" s="13"/>
      <c r="B151" s="14"/>
      <c r="C151" s="14"/>
      <c r="D151" s="14"/>
      <c r="E151" s="14"/>
    </row>
    <row r="152" spans="1:5" ht="14.25" customHeight="1" x14ac:dyDescent="0.35">
      <c r="A152" s="15"/>
      <c r="B152" s="16"/>
      <c r="C152" s="16"/>
      <c r="D152" s="16"/>
      <c r="E152" s="16"/>
    </row>
    <row r="153" spans="1:5" ht="14.25" customHeight="1" x14ac:dyDescent="0.35">
      <c r="A153" s="13"/>
      <c r="B153" s="14"/>
      <c r="C153" s="14"/>
      <c r="D153" s="14"/>
      <c r="E153" s="14"/>
    </row>
    <row r="154" spans="1:5" ht="14.25" customHeight="1" x14ac:dyDescent="0.35">
      <c r="A154" s="15"/>
      <c r="B154" s="16"/>
      <c r="C154" s="16"/>
      <c r="D154" s="16"/>
      <c r="E154" s="16"/>
    </row>
    <row r="155" spans="1:5" ht="14.25" customHeight="1" x14ac:dyDescent="0.35">
      <c r="A155" s="13"/>
      <c r="B155" s="14"/>
      <c r="C155" s="14"/>
      <c r="D155" s="14"/>
      <c r="E155" s="14"/>
    </row>
    <row r="156" spans="1:5" ht="14.25" customHeight="1" x14ac:dyDescent="0.35">
      <c r="A156" s="15"/>
      <c r="B156" s="16"/>
      <c r="C156" s="16"/>
      <c r="D156" s="16"/>
      <c r="E156" s="16"/>
    </row>
    <row r="157" spans="1:5" ht="14.25" customHeight="1" x14ac:dyDescent="0.35">
      <c r="A157" s="13"/>
      <c r="B157" s="14"/>
      <c r="C157" s="14"/>
      <c r="D157" s="14"/>
      <c r="E157" s="14"/>
    </row>
    <row r="158" spans="1:5" ht="14.25" customHeight="1" x14ac:dyDescent="0.35">
      <c r="A158" s="15"/>
      <c r="B158" s="16"/>
      <c r="C158" s="16"/>
      <c r="D158" s="16"/>
      <c r="E158" s="16"/>
    </row>
    <row r="159" spans="1:5" ht="14.25" customHeight="1" x14ac:dyDescent="0.35">
      <c r="A159" s="13"/>
      <c r="B159" s="14"/>
      <c r="C159" s="14"/>
      <c r="D159" s="14"/>
      <c r="E159" s="14"/>
    </row>
    <row r="160" spans="1:5" ht="14.25" customHeight="1" x14ac:dyDescent="0.35">
      <c r="A160" s="15"/>
      <c r="B160" s="16"/>
      <c r="C160" s="16"/>
      <c r="D160" s="16"/>
      <c r="E160" s="16"/>
    </row>
    <row r="161" spans="1:5" ht="14.25" customHeight="1" x14ac:dyDescent="0.35">
      <c r="A161" s="13"/>
      <c r="B161" s="14"/>
      <c r="C161" s="14"/>
      <c r="D161" s="14"/>
      <c r="E161" s="14"/>
    </row>
    <row r="162" spans="1:5" ht="14.25" customHeight="1" x14ac:dyDescent="0.35">
      <c r="A162" s="15"/>
      <c r="B162" s="16"/>
      <c r="C162" s="16"/>
      <c r="D162" s="16"/>
      <c r="E162" s="16"/>
    </row>
    <row r="163" spans="1:5" ht="14.25" customHeight="1" x14ac:dyDescent="0.35">
      <c r="A163" s="13"/>
      <c r="B163" s="14"/>
      <c r="C163" s="14"/>
      <c r="D163" s="14"/>
      <c r="E163" s="14"/>
    </row>
    <row r="164" spans="1:5" ht="14.25" customHeight="1" x14ac:dyDescent="0.35">
      <c r="A164" s="15"/>
      <c r="B164" s="16"/>
      <c r="C164" s="16"/>
      <c r="D164" s="16"/>
      <c r="E164" s="16"/>
    </row>
    <row r="165" spans="1:5" ht="14.25" customHeight="1" x14ac:dyDescent="0.35">
      <c r="A165" s="13"/>
      <c r="B165" s="14"/>
      <c r="C165" s="14"/>
      <c r="D165" s="14"/>
      <c r="E165" s="14"/>
    </row>
    <row r="166" spans="1:5" ht="14.25" customHeight="1" x14ac:dyDescent="0.35">
      <c r="A166" s="15"/>
      <c r="B166" s="16"/>
      <c r="C166" s="16"/>
      <c r="D166" s="16"/>
      <c r="E166" s="16"/>
    </row>
    <row r="167" spans="1:5" ht="14.25" customHeight="1" x14ac:dyDescent="0.35">
      <c r="A167" s="13"/>
      <c r="B167" s="14"/>
      <c r="C167" s="14"/>
      <c r="D167" s="14"/>
      <c r="E167" s="14"/>
    </row>
    <row r="168" spans="1:5" ht="14.25" customHeight="1" x14ac:dyDescent="0.35">
      <c r="A168" s="15"/>
      <c r="B168" s="16"/>
      <c r="C168" s="16"/>
      <c r="D168" s="16"/>
      <c r="E168" s="16"/>
    </row>
    <row r="169" spans="1:5" ht="14.25" customHeight="1" x14ac:dyDescent="0.35">
      <c r="A169" s="13"/>
      <c r="B169" s="14"/>
      <c r="C169" s="14"/>
      <c r="D169" s="14"/>
      <c r="E169" s="14"/>
    </row>
    <row r="170" spans="1:5" ht="14.25" customHeight="1" x14ac:dyDescent="0.35">
      <c r="A170" s="15"/>
      <c r="B170" s="16"/>
      <c r="C170" s="16"/>
      <c r="D170" s="16"/>
      <c r="E170" s="16"/>
    </row>
    <row r="171" spans="1:5" ht="14.25" customHeight="1" x14ac:dyDescent="0.35">
      <c r="A171" s="13"/>
      <c r="B171" s="14"/>
      <c r="C171" s="14"/>
      <c r="D171" s="14"/>
      <c r="E171" s="14"/>
    </row>
    <row r="172" spans="1:5" ht="14.25" customHeight="1" x14ac:dyDescent="0.35">
      <c r="A172" s="15"/>
      <c r="B172" s="16"/>
      <c r="C172" s="16"/>
      <c r="D172" s="16"/>
      <c r="E172" s="16"/>
    </row>
    <row r="173" spans="1:5" ht="14.25" customHeight="1" x14ac:dyDescent="0.35">
      <c r="A173" s="13"/>
      <c r="B173" s="14"/>
      <c r="C173" s="14"/>
      <c r="D173" s="14"/>
      <c r="E173" s="14"/>
    </row>
    <row r="174" spans="1:5" ht="14.25" customHeight="1" x14ac:dyDescent="0.35">
      <c r="A174" s="15"/>
      <c r="B174" s="16"/>
      <c r="C174" s="16"/>
      <c r="D174" s="16"/>
      <c r="E174" s="16"/>
    </row>
    <row r="175" spans="1:5" ht="14.25" customHeight="1" x14ac:dyDescent="0.35">
      <c r="A175" s="13"/>
      <c r="B175" s="14"/>
      <c r="C175" s="14"/>
      <c r="D175" s="14"/>
      <c r="E175" s="14"/>
    </row>
    <row r="176" spans="1:5" ht="14.25" customHeight="1" x14ac:dyDescent="0.35">
      <c r="A176" s="15"/>
      <c r="B176" s="16"/>
      <c r="C176" s="16"/>
      <c r="D176" s="16"/>
      <c r="E176" s="16"/>
    </row>
    <row r="177" spans="1:5" ht="14.25" customHeight="1" x14ac:dyDescent="0.35">
      <c r="A177" s="13"/>
      <c r="B177" s="14"/>
      <c r="C177" s="14"/>
      <c r="D177" s="14"/>
      <c r="E177" s="14"/>
    </row>
    <row r="178" spans="1:5" ht="14.25" customHeight="1" x14ac:dyDescent="0.35">
      <c r="A178" s="15"/>
      <c r="B178" s="16"/>
      <c r="C178" s="16"/>
      <c r="D178" s="16"/>
      <c r="E178" s="16"/>
    </row>
    <row r="179" spans="1:5" ht="14.25" customHeight="1" x14ac:dyDescent="0.35">
      <c r="A179" s="13"/>
      <c r="B179" s="14"/>
      <c r="C179" s="14"/>
      <c r="D179" s="14"/>
      <c r="E179" s="14"/>
    </row>
    <row r="180" spans="1:5" ht="14.25" customHeight="1" x14ac:dyDescent="0.35">
      <c r="A180" s="15"/>
      <c r="B180" s="16"/>
      <c r="C180" s="16"/>
      <c r="D180" s="16"/>
      <c r="E180" s="16"/>
    </row>
    <row r="181" spans="1:5" ht="14.25" customHeight="1" x14ac:dyDescent="0.35">
      <c r="A181" s="13"/>
      <c r="B181" s="14"/>
      <c r="C181" s="14"/>
      <c r="D181" s="14"/>
      <c r="E181" s="14"/>
    </row>
    <row r="182" spans="1:5" ht="14.25" customHeight="1" x14ac:dyDescent="0.35">
      <c r="A182" s="15"/>
      <c r="B182" s="16"/>
      <c r="C182" s="16"/>
      <c r="D182" s="16"/>
      <c r="E182" s="16"/>
    </row>
    <row r="183" spans="1:5" ht="14.25" customHeight="1" x14ac:dyDescent="0.35">
      <c r="A183" s="13"/>
      <c r="B183" s="14"/>
      <c r="C183" s="14"/>
      <c r="D183" s="14"/>
      <c r="E183" s="14"/>
    </row>
    <row r="184" spans="1:5" ht="14.25" customHeight="1" x14ac:dyDescent="0.35">
      <c r="A184" s="15"/>
      <c r="B184" s="16"/>
      <c r="C184" s="16"/>
      <c r="D184" s="16"/>
      <c r="E184" s="16"/>
    </row>
    <row r="185" spans="1:5" ht="14.25" customHeight="1" x14ac:dyDescent="0.35">
      <c r="A185" s="13"/>
      <c r="B185" s="14"/>
      <c r="C185" s="14"/>
      <c r="D185" s="14"/>
      <c r="E185" s="14"/>
    </row>
    <row r="186" spans="1:5" ht="14.25" customHeight="1" x14ac:dyDescent="0.35">
      <c r="A186" s="15"/>
      <c r="B186" s="16"/>
      <c r="C186" s="16"/>
      <c r="D186" s="16"/>
      <c r="E186" s="16"/>
    </row>
    <row r="187" spans="1:5" ht="14.25" customHeight="1" x14ac:dyDescent="0.35">
      <c r="A187" s="13"/>
      <c r="B187" s="14"/>
      <c r="C187" s="14"/>
      <c r="D187" s="14"/>
      <c r="E187" s="14"/>
    </row>
    <row r="188" spans="1:5" ht="14.25" customHeight="1" x14ac:dyDescent="0.35">
      <c r="A188" s="15"/>
      <c r="B188" s="16"/>
      <c r="C188" s="16"/>
      <c r="D188" s="16"/>
      <c r="E188" s="16"/>
    </row>
    <row r="189" spans="1:5" ht="14.25" customHeight="1" x14ac:dyDescent="0.35">
      <c r="A189" s="13"/>
      <c r="B189" s="14"/>
      <c r="C189" s="14"/>
      <c r="D189" s="14"/>
      <c r="E189" s="14"/>
    </row>
    <row r="190" spans="1:5" ht="14.25" customHeight="1" x14ac:dyDescent="0.35">
      <c r="A190" s="15"/>
      <c r="B190" s="16"/>
      <c r="C190" s="16"/>
      <c r="D190" s="16"/>
      <c r="E190" s="16"/>
    </row>
    <row r="191" spans="1:5" ht="14.25" customHeight="1" x14ac:dyDescent="0.35">
      <c r="A191" s="13"/>
      <c r="B191" s="14"/>
      <c r="C191" s="14"/>
      <c r="D191" s="14"/>
      <c r="E191" s="14"/>
    </row>
    <row r="192" spans="1:5" ht="14.25" customHeight="1" x14ac:dyDescent="0.35">
      <c r="A192" s="15"/>
      <c r="B192" s="16"/>
      <c r="C192" s="16"/>
      <c r="D192" s="16"/>
      <c r="E192" s="16"/>
    </row>
    <row r="193" spans="1:5" ht="14.25" customHeight="1" x14ac:dyDescent="0.35">
      <c r="A193" s="13"/>
      <c r="B193" s="14"/>
      <c r="C193" s="14"/>
      <c r="D193" s="14"/>
      <c r="E193" s="14"/>
    </row>
    <row r="194" spans="1:5" ht="14.25" customHeight="1" x14ac:dyDescent="0.35">
      <c r="A194" s="15"/>
      <c r="B194" s="16"/>
      <c r="C194" s="16"/>
      <c r="D194" s="16"/>
      <c r="E194" s="16"/>
    </row>
    <row r="195" spans="1:5" ht="14.25" customHeight="1" x14ac:dyDescent="0.35">
      <c r="A195" s="13"/>
      <c r="B195" s="14"/>
      <c r="C195" s="14"/>
      <c r="D195" s="14"/>
      <c r="E195" s="14"/>
    </row>
    <row r="196" spans="1:5" ht="14.25" customHeight="1" x14ac:dyDescent="0.35">
      <c r="A196" s="15"/>
      <c r="B196" s="16"/>
      <c r="C196" s="16"/>
      <c r="D196" s="16"/>
      <c r="E196" s="16"/>
    </row>
    <row r="197" spans="1:5" ht="14.25" customHeight="1" x14ac:dyDescent="0.35">
      <c r="A197" s="13"/>
      <c r="B197" s="14"/>
      <c r="C197" s="14"/>
      <c r="D197" s="14"/>
      <c r="E197" s="14"/>
    </row>
    <row r="198" spans="1:5" ht="14.25" customHeight="1" x14ac:dyDescent="0.35">
      <c r="A198" s="15"/>
      <c r="B198" s="16"/>
      <c r="C198" s="16"/>
      <c r="D198" s="16"/>
      <c r="E198" s="16"/>
    </row>
    <row r="199" spans="1:5" ht="14.25" customHeight="1" x14ac:dyDescent="0.35">
      <c r="A199" s="13"/>
      <c r="B199" s="14"/>
      <c r="C199" s="14"/>
      <c r="D199" s="14"/>
      <c r="E199" s="14"/>
    </row>
    <row r="200" spans="1:5" ht="14.25" customHeight="1" x14ac:dyDescent="0.35">
      <c r="A200" s="15"/>
      <c r="B200" s="16"/>
      <c r="C200" s="16"/>
      <c r="D200" s="16"/>
      <c r="E200" s="16"/>
    </row>
    <row r="201" spans="1:5" ht="14.25" customHeight="1" x14ac:dyDescent="0.35">
      <c r="A201" s="13"/>
      <c r="B201" s="14"/>
      <c r="C201" s="14"/>
      <c r="D201" s="14"/>
      <c r="E201" s="14"/>
    </row>
    <row r="202" spans="1:5" ht="14.25" customHeight="1" x14ac:dyDescent="0.35">
      <c r="A202" s="15"/>
      <c r="B202" s="16"/>
      <c r="C202" s="16"/>
      <c r="D202" s="16"/>
      <c r="E202" s="16"/>
    </row>
    <row r="203" spans="1:5" ht="14.25" customHeight="1" x14ac:dyDescent="0.35">
      <c r="A203" s="13"/>
      <c r="B203" s="14"/>
      <c r="C203" s="14"/>
      <c r="D203" s="14"/>
      <c r="E203" s="14"/>
    </row>
    <row r="204" spans="1:5" ht="14.25" customHeight="1" x14ac:dyDescent="0.35">
      <c r="A204" s="15"/>
      <c r="B204" s="16"/>
      <c r="C204" s="16"/>
      <c r="D204" s="16"/>
      <c r="E204" s="16"/>
    </row>
    <row r="205" spans="1:5" ht="14.25" customHeight="1" x14ac:dyDescent="0.35">
      <c r="A205" s="13"/>
      <c r="B205" s="14"/>
      <c r="C205" s="14"/>
      <c r="D205" s="14"/>
      <c r="E205" s="14"/>
    </row>
    <row r="206" spans="1:5" ht="14.25" customHeight="1" x14ac:dyDescent="0.35">
      <c r="A206" s="15"/>
      <c r="B206" s="16"/>
      <c r="C206" s="16"/>
      <c r="D206" s="16"/>
      <c r="E206" s="16"/>
    </row>
    <row r="207" spans="1:5" ht="14.25" customHeight="1" x14ac:dyDescent="0.35">
      <c r="A207" s="13"/>
      <c r="B207" s="14"/>
      <c r="C207" s="14"/>
      <c r="D207" s="14"/>
      <c r="E207" s="14"/>
    </row>
    <row r="208" spans="1:5" ht="14.25" customHeight="1" x14ac:dyDescent="0.35">
      <c r="A208" s="15"/>
      <c r="B208" s="16"/>
      <c r="C208" s="16"/>
      <c r="D208" s="16"/>
      <c r="E208" s="16"/>
    </row>
    <row r="209" spans="1:5" ht="14.25" customHeight="1" x14ac:dyDescent="0.35">
      <c r="A209" s="13"/>
      <c r="B209" s="14"/>
      <c r="C209" s="14"/>
      <c r="D209" s="14"/>
      <c r="E209" s="14"/>
    </row>
    <row r="210" spans="1:5" ht="14.25" customHeight="1" x14ac:dyDescent="0.35">
      <c r="A210" s="15"/>
      <c r="B210" s="16"/>
      <c r="C210" s="16"/>
      <c r="D210" s="16"/>
      <c r="E210" s="16"/>
    </row>
    <row r="211" spans="1:5" ht="14.25" customHeight="1" x14ac:dyDescent="0.35">
      <c r="A211" s="13"/>
      <c r="B211" s="14"/>
      <c r="C211" s="14"/>
      <c r="D211" s="14"/>
      <c r="E211" s="14"/>
    </row>
    <row r="212" spans="1:5" ht="14.25" customHeight="1" x14ac:dyDescent="0.35">
      <c r="A212" s="15"/>
      <c r="B212" s="16"/>
      <c r="C212" s="16"/>
      <c r="D212" s="16"/>
      <c r="E212" s="16"/>
    </row>
    <row r="213" spans="1:5" ht="14.25" customHeight="1" x14ac:dyDescent="0.35">
      <c r="A213" s="13"/>
      <c r="B213" s="14"/>
      <c r="C213" s="14"/>
      <c r="D213" s="14"/>
      <c r="E213" s="14"/>
    </row>
    <row r="214" spans="1:5" ht="14.25" customHeight="1" x14ac:dyDescent="0.35">
      <c r="A214" s="15"/>
      <c r="B214" s="16"/>
      <c r="C214" s="16"/>
      <c r="D214" s="16"/>
      <c r="E214" s="16"/>
    </row>
    <row r="215" spans="1:5" ht="14.25" customHeight="1" x14ac:dyDescent="0.35">
      <c r="A215" s="13"/>
      <c r="B215" s="14"/>
      <c r="C215" s="14"/>
      <c r="D215" s="14"/>
      <c r="E215" s="14"/>
    </row>
    <row r="216" spans="1:5" ht="14.25" customHeight="1" x14ac:dyDescent="0.35">
      <c r="A216" s="15"/>
      <c r="B216" s="16"/>
      <c r="C216" s="16"/>
      <c r="D216" s="16"/>
      <c r="E216" s="16"/>
    </row>
    <row r="217" spans="1:5" ht="14.25" customHeight="1" x14ac:dyDescent="0.35">
      <c r="A217" s="13"/>
      <c r="B217" s="14"/>
      <c r="C217" s="14"/>
      <c r="D217" s="14"/>
      <c r="E217" s="14"/>
    </row>
    <row r="218" spans="1:5" ht="14.25" customHeight="1" x14ac:dyDescent="0.35">
      <c r="A218" s="15"/>
      <c r="B218" s="16"/>
      <c r="C218" s="16"/>
      <c r="D218" s="16"/>
      <c r="E218" s="16"/>
    </row>
    <row r="219" spans="1:5" ht="14.25" customHeight="1" x14ac:dyDescent="0.35">
      <c r="A219" s="13"/>
      <c r="B219" s="14"/>
      <c r="C219" s="14"/>
      <c r="D219" s="14"/>
      <c r="E219" s="14"/>
    </row>
    <row r="220" spans="1:5" ht="14.25" customHeight="1" x14ac:dyDescent="0.35">
      <c r="A220" s="15"/>
      <c r="B220" s="16"/>
      <c r="C220" s="16"/>
      <c r="D220" s="16"/>
      <c r="E220" s="16"/>
    </row>
    <row r="221" spans="1:5" ht="14.25" customHeight="1" x14ac:dyDescent="0.35">
      <c r="A221" s="13"/>
      <c r="B221" s="14"/>
      <c r="C221" s="14"/>
      <c r="D221" s="14"/>
      <c r="E221" s="14"/>
    </row>
    <row r="222" spans="1:5" ht="14.25" customHeight="1" x14ac:dyDescent="0.35">
      <c r="A222" s="15"/>
      <c r="B222" s="16"/>
      <c r="C222" s="16"/>
      <c r="D222" s="16"/>
      <c r="E222" s="16"/>
    </row>
    <row r="223" spans="1:5" ht="14.25" customHeight="1" x14ac:dyDescent="0.35">
      <c r="A223" s="13"/>
      <c r="B223" s="14"/>
      <c r="C223" s="14"/>
      <c r="D223" s="14"/>
      <c r="E223" s="14"/>
    </row>
    <row r="224" spans="1:5" ht="14.25" customHeight="1" x14ac:dyDescent="0.35">
      <c r="A224" s="15"/>
      <c r="B224" s="16"/>
      <c r="C224" s="16"/>
      <c r="D224" s="16"/>
      <c r="E224" s="16"/>
    </row>
    <row r="225" spans="1:5" ht="14.25" customHeight="1" x14ac:dyDescent="0.35">
      <c r="A225" s="13"/>
      <c r="B225" s="14"/>
      <c r="C225" s="14"/>
      <c r="D225" s="14"/>
      <c r="E225" s="14"/>
    </row>
    <row r="226" spans="1:5" ht="14.25" customHeight="1" x14ac:dyDescent="0.35">
      <c r="A226" s="15"/>
      <c r="B226" s="16"/>
      <c r="C226" s="16"/>
      <c r="D226" s="16"/>
      <c r="E226" s="16"/>
    </row>
    <row r="227" spans="1:5" ht="14.25" customHeight="1" x14ac:dyDescent="0.35">
      <c r="A227" s="13"/>
      <c r="B227" s="14"/>
      <c r="C227" s="14"/>
      <c r="D227" s="14"/>
      <c r="E227" s="14"/>
    </row>
    <row r="228" spans="1:5" ht="14.25" customHeight="1" x14ac:dyDescent="0.35">
      <c r="A228" s="15"/>
      <c r="B228" s="16"/>
      <c r="C228" s="16"/>
      <c r="D228" s="16"/>
      <c r="E228" s="16"/>
    </row>
    <row r="229" spans="1:5" ht="14.25" customHeight="1" x14ac:dyDescent="0.35">
      <c r="A229" s="13"/>
      <c r="B229" s="14"/>
      <c r="C229" s="14"/>
      <c r="D229" s="14"/>
      <c r="E229" s="14"/>
    </row>
    <row r="230" spans="1:5" ht="14.25" customHeight="1" x14ac:dyDescent="0.35">
      <c r="A230" s="15"/>
      <c r="B230" s="16"/>
      <c r="C230" s="16"/>
      <c r="D230" s="16"/>
      <c r="E230" s="16"/>
    </row>
    <row r="231" spans="1:5" ht="14.25" customHeight="1" x14ac:dyDescent="0.35">
      <c r="A231" s="13"/>
      <c r="B231" s="14"/>
      <c r="C231" s="14"/>
      <c r="D231" s="14"/>
      <c r="E231" s="14"/>
    </row>
    <row r="232" spans="1:5" ht="14.25" customHeight="1" x14ac:dyDescent="0.35">
      <c r="A232" s="15"/>
      <c r="B232" s="16"/>
      <c r="C232" s="16"/>
      <c r="D232" s="16"/>
      <c r="E232" s="16"/>
    </row>
    <row r="233" spans="1:5" ht="14.25" customHeight="1" x14ac:dyDescent="0.35">
      <c r="A233" s="13"/>
      <c r="B233" s="14"/>
      <c r="C233" s="14"/>
      <c r="D233" s="14"/>
      <c r="E233" s="14"/>
    </row>
    <row r="234" spans="1:5" ht="14.25" customHeight="1" x14ac:dyDescent="0.35">
      <c r="A234" s="15"/>
      <c r="B234" s="16"/>
      <c r="C234" s="16"/>
      <c r="D234" s="16"/>
      <c r="E234" s="16"/>
    </row>
    <row r="235" spans="1:5" ht="14.25" customHeight="1" x14ac:dyDescent="0.35">
      <c r="A235" s="13"/>
      <c r="B235" s="14"/>
      <c r="C235" s="14"/>
      <c r="D235" s="14"/>
      <c r="E235" s="14"/>
    </row>
    <row r="236" spans="1:5" ht="14.25" customHeight="1" x14ac:dyDescent="0.35">
      <c r="A236" s="15"/>
      <c r="B236" s="16"/>
      <c r="C236" s="16"/>
      <c r="D236" s="16"/>
      <c r="E236" s="16"/>
    </row>
    <row r="237" spans="1:5" ht="14.25" customHeight="1" x14ac:dyDescent="0.35">
      <c r="A237" s="13"/>
      <c r="B237" s="14"/>
      <c r="C237" s="14"/>
      <c r="D237" s="14"/>
      <c r="E237" s="14"/>
    </row>
    <row r="238" spans="1:5" ht="14.25" customHeight="1" x14ac:dyDescent="0.35">
      <c r="A238" s="15"/>
      <c r="B238" s="16"/>
      <c r="C238" s="16"/>
      <c r="D238" s="16"/>
      <c r="E238" s="16"/>
    </row>
    <row r="239" spans="1:5" ht="14.25" customHeight="1" x14ac:dyDescent="0.35">
      <c r="A239" s="13"/>
      <c r="B239" s="14"/>
      <c r="C239" s="14"/>
      <c r="D239" s="14"/>
      <c r="E239" s="14"/>
    </row>
    <row r="240" spans="1:5" ht="14.25" customHeight="1" x14ac:dyDescent="0.35">
      <c r="A240" s="15"/>
      <c r="B240" s="16"/>
      <c r="C240" s="16"/>
      <c r="D240" s="16"/>
      <c r="E240" s="16"/>
    </row>
    <row r="241" spans="1:5" ht="14.25" customHeight="1" x14ac:dyDescent="0.35">
      <c r="A241" s="13"/>
      <c r="B241" s="14"/>
      <c r="C241" s="14"/>
      <c r="D241" s="14"/>
      <c r="E241" s="14"/>
    </row>
    <row r="242" spans="1:5" ht="14.25" customHeight="1" x14ac:dyDescent="0.35">
      <c r="A242" s="15"/>
      <c r="B242" s="16"/>
      <c r="C242" s="16"/>
      <c r="D242" s="16"/>
      <c r="E242" s="16"/>
    </row>
    <row r="243" spans="1:5" ht="14.25" customHeight="1" x14ac:dyDescent="0.35">
      <c r="A243" s="13"/>
      <c r="B243" s="14"/>
      <c r="C243" s="14"/>
      <c r="D243" s="14"/>
      <c r="E243" s="14"/>
    </row>
    <row r="244" spans="1:5" ht="14.25" customHeight="1" x14ac:dyDescent="0.35">
      <c r="A244" s="15"/>
      <c r="B244" s="16"/>
      <c r="C244" s="16"/>
      <c r="D244" s="16"/>
      <c r="E244" s="16"/>
    </row>
    <row r="245" spans="1:5" ht="14.25" customHeight="1" x14ac:dyDescent="0.35">
      <c r="A245" s="13"/>
      <c r="B245" s="14"/>
      <c r="C245" s="14"/>
      <c r="D245" s="14"/>
      <c r="E245" s="14"/>
    </row>
    <row r="246" spans="1:5" ht="14.25" customHeight="1" x14ac:dyDescent="0.35">
      <c r="A246" s="15"/>
      <c r="B246" s="16"/>
      <c r="C246" s="16"/>
      <c r="D246" s="16"/>
      <c r="E246" s="16"/>
    </row>
    <row r="247" spans="1:5" ht="14.25" customHeight="1" x14ac:dyDescent="0.35">
      <c r="A247" s="13"/>
      <c r="B247" s="14"/>
      <c r="C247" s="14"/>
      <c r="D247" s="14"/>
      <c r="E247" s="14"/>
    </row>
    <row r="248" spans="1:5" ht="14.25" customHeight="1" x14ac:dyDescent="0.35">
      <c r="A248" s="15"/>
      <c r="B248" s="16"/>
      <c r="C248" s="16"/>
      <c r="D248" s="16"/>
      <c r="E248" s="16"/>
    </row>
    <row r="249" spans="1:5" ht="14.25" customHeight="1" x14ac:dyDescent="0.35">
      <c r="A249" s="13"/>
      <c r="B249" s="14"/>
      <c r="C249" s="14"/>
      <c r="D249" s="14"/>
      <c r="E249" s="14"/>
    </row>
    <row r="250" spans="1:5" ht="14.25" customHeight="1" x14ac:dyDescent="0.35">
      <c r="A250" s="15"/>
      <c r="B250" s="16"/>
      <c r="C250" s="16"/>
      <c r="D250" s="16"/>
      <c r="E250" s="16"/>
    </row>
    <row r="251" spans="1:5" ht="14.25" customHeight="1" x14ac:dyDescent="0.35">
      <c r="A251" s="13"/>
      <c r="B251" s="14"/>
      <c r="C251" s="14"/>
      <c r="D251" s="14"/>
      <c r="E251" s="14"/>
    </row>
    <row r="252" spans="1:5" ht="14.25" customHeight="1" x14ac:dyDescent="0.35">
      <c r="A252" s="15"/>
      <c r="B252" s="16"/>
      <c r="C252" s="16"/>
      <c r="D252" s="16"/>
      <c r="E252" s="16"/>
    </row>
    <row r="253" spans="1:5" ht="14.25" customHeight="1" x14ac:dyDescent="0.35">
      <c r="A253" s="13"/>
      <c r="B253" s="14"/>
      <c r="C253" s="14"/>
      <c r="D253" s="14"/>
      <c r="E253" s="14"/>
    </row>
    <row r="254" spans="1:5" ht="14.25" customHeight="1" x14ac:dyDescent="0.35">
      <c r="A254" s="15"/>
      <c r="B254" s="16"/>
      <c r="C254" s="16"/>
      <c r="D254" s="16"/>
      <c r="E254" s="16"/>
    </row>
    <row r="255" spans="1:5" ht="14.25" customHeight="1" x14ac:dyDescent="0.35">
      <c r="A255" s="13"/>
      <c r="B255" s="14"/>
      <c r="C255" s="14"/>
      <c r="D255" s="14"/>
      <c r="E255" s="14"/>
    </row>
    <row r="256" spans="1:5" ht="14.25" customHeight="1" x14ac:dyDescent="0.35">
      <c r="A256" s="15"/>
      <c r="B256" s="16"/>
      <c r="C256" s="16"/>
      <c r="D256" s="16"/>
      <c r="E256" s="16"/>
    </row>
    <row r="257" spans="1:5" ht="14.25" customHeight="1" x14ac:dyDescent="0.35">
      <c r="A257" s="13"/>
      <c r="B257" s="14"/>
      <c r="C257" s="14"/>
      <c r="D257" s="14"/>
      <c r="E257" s="14"/>
    </row>
    <row r="258" spans="1:5" ht="14.25" customHeight="1" x14ac:dyDescent="0.35">
      <c r="A258" s="15"/>
      <c r="B258" s="16"/>
      <c r="C258" s="16"/>
      <c r="D258" s="16"/>
      <c r="E258" s="16"/>
    </row>
    <row r="259" spans="1:5" ht="14.25" customHeight="1" x14ac:dyDescent="0.35">
      <c r="A259" s="13"/>
      <c r="B259" s="14"/>
      <c r="C259" s="14"/>
      <c r="D259" s="14"/>
      <c r="E259" s="14"/>
    </row>
    <row r="260" spans="1:5" ht="14.25" customHeight="1" x14ac:dyDescent="0.35">
      <c r="A260" s="15"/>
      <c r="B260" s="16"/>
      <c r="C260" s="16"/>
      <c r="D260" s="16"/>
      <c r="E260" s="16"/>
    </row>
    <row r="261" spans="1:5" ht="14.25" customHeight="1" x14ac:dyDescent="0.35">
      <c r="A261" s="13"/>
      <c r="B261" s="14"/>
      <c r="C261" s="14"/>
      <c r="D261" s="14"/>
      <c r="E261" s="14"/>
    </row>
    <row r="262" spans="1:5" ht="14.25" customHeight="1" x14ac:dyDescent="0.35">
      <c r="A262" s="15"/>
      <c r="B262" s="16"/>
      <c r="C262" s="16"/>
      <c r="D262" s="16"/>
      <c r="E262" s="16"/>
    </row>
    <row r="263" spans="1:5" ht="14.25" customHeight="1" x14ac:dyDescent="0.35">
      <c r="A263" s="13"/>
      <c r="B263" s="14"/>
      <c r="C263" s="14"/>
      <c r="D263" s="14"/>
      <c r="E263" s="14"/>
    </row>
    <row r="264" spans="1:5" ht="14.25" customHeight="1" x14ac:dyDescent="0.35">
      <c r="A264" s="15"/>
      <c r="B264" s="16"/>
      <c r="C264" s="16"/>
      <c r="D264" s="16"/>
      <c r="E264" s="16"/>
    </row>
    <row r="265" spans="1:5" ht="14.25" customHeight="1" x14ac:dyDescent="0.35">
      <c r="A265" s="13"/>
      <c r="B265" s="14"/>
      <c r="C265" s="14"/>
      <c r="D265" s="14"/>
      <c r="E265" s="14"/>
    </row>
    <row r="266" spans="1:5" ht="14.25" customHeight="1" x14ac:dyDescent="0.35">
      <c r="A266" s="15"/>
      <c r="B266" s="16"/>
      <c r="C266" s="16"/>
      <c r="D266" s="16"/>
      <c r="E266" s="16"/>
    </row>
    <row r="267" spans="1:5" ht="14.25" customHeight="1" x14ac:dyDescent="0.35">
      <c r="A267" s="13"/>
      <c r="B267" s="14"/>
      <c r="C267" s="14"/>
      <c r="D267" s="14"/>
      <c r="E267" s="14"/>
    </row>
    <row r="268" spans="1:5" ht="14.25" customHeight="1" x14ac:dyDescent="0.35">
      <c r="A268" s="15"/>
      <c r="B268" s="16"/>
      <c r="C268" s="16"/>
      <c r="D268" s="16"/>
      <c r="E268" s="16"/>
    </row>
    <row r="269" spans="1:5" ht="14.25" customHeight="1" x14ac:dyDescent="0.35">
      <c r="A269" s="13"/>
      <c r="B269" s="14"/>
      <c r="C269" s="14"/>
      <c r="D269" s="14"/>
      <c r="E269" s="14"/>
    </row>
    <row r="270" spans="1:5" ht="14.25" customHeight="1" x14ac:dyDescent="0.35">
      <c r="A270" s="15"/>
      <c r="B270" s="16"/>
      <c r="C270" s="16"/>
      <c r="D270" s="16"/>
      <c r="E270" s="16"/>
    </row>
    <row r="271" spans="1:5" ht="14.25" customHeight="1" x14ac:dyDescent="0.35">
      <c r="A271" s="13"/>
      <c r="B271" s="14"/>
      <c r="C271" s="14"/>
      <c r="D271" s="14"/>
      <c r="E271" s="14"/>
    </row>
    <row r="272" spans="1:5" ht="14.25" customHeight="1" x14ac:dyDescent="0.35">
      <c r="A272" s="15"/>
      <c r="B272" s="16"/>
      <c r="C272" s="16"/>
      <c r="D272" s="16"/>
      <c r="E272" s="16"/>
    </row>
    <row r="273" spans="1:5" ht="14.25" customHeight="1" x14ac:dyDescent="0.35">
      <c r="A273" s="13"/>
      <c r="B273" s="14"/>
      <c r="C273" s="14"/>
      <c r="D273" s="14"/>
      <c r="E273" s="14"/>
    </row>
    <row r="274" spans="1:5" ht="14.25" customHeight="1" x14ac:dyDescent="0.35">
      <c r="A274" s="15"/>
      <c r="B274" s="16"/>
      <c r="C274" s="16"/>
      <c r="D274" s="16"/>
      <c r="E274" s="16"/>
    </row>
    <row r="275" spans="1:5" ht="14.25" customHeight="1" x14ac:dyDescent="0.35">
      <c r="A275" s="13"/>
      <c r="B275" s="14"/>
      <c r="C275" s="14"/>
      <c r="D275" s="14"/>
      <c r="E275" s="14"/>
    </row>
    <row r="276" spans="1:5" ht="14.25" customHeight="1" x14ac:dyDescent="0.35">
      <c r="A276" s="15"/>
      <c r="B276" s="16"/>
      <c r="C276" s="16"/>
      <c r="D276" s="16"/>
      <c r="E276" s="16"/>
    </row>
    <row r="277" spans="1:5" ht="14.25" customHeight="1" x14ac:dyDescent="0.35">
      <c r="A277" s="13"/>
      <c r="B277" s="14"/>
      <c r="C277" s="14"/>
      <c r="D277" s="14"/>
      <c r="E277" s="14"/>
    </row>
    <row r="278" spans="1:5" ht="14.25" customHeight="1" x14ac:dyDescent="0.35">
      <c r="A278" s="15"/>
      <c r="B278" s="16"/>
      <c r="C278" s="16"/>
      <c r="D278" s="16"/>
      <c r="E278" s="16"/>
    </row>
    <row r="279" spans="1:5" ht="14.25" customHeight="1" x14ac:dyDescent="0.35">
      <c r="A279" s="13"/>
      <c r="B279" s="14"/>
      <c r="C279" s="14"/>
      <c r="D279" s="14"/>
      <c r="E279" s="14"/>
    </row>
    <row r="280" spans="1:5" ht="14.25" customHeight="1" x14ac:dyDescent="0.35">
      <c r="A280" s="15"/>
      <c r="B280" s="16"/>
      <c r="C280" s="16"/>
      <c r="D280" s="16"/>
      <c r="E280" s="16"/>
    </row>
    <row r="281" spans="1:5" ht="14.25" customHeight="1" x14ac:dyDescent="0.35">
      <c r="A281" s="13"/>
      <c r="B281" s="14"/>
      <c r="C281" s="14"/>
      <c r="D281" s="14"/>
      <c r="E281" s="14"/>
    </row>
    <row r="282" spans="1:5" ht="14.25" customHeight="1" x14ac:dyDescent="0.35">
      <c r="A282" s="15"/>
      <c r="B282" s="16"/>
      <c r="C282" s="16"/>
      <c r="D282" s="16"/>
      <c r="E282" s="16"/>
    </row>
    <row r="283" spans="1:5" ht="14.25" customHeight="1" x14ac:dyDescent="0.35">
      <c r="A283" s="13"/>
      <c r="B283" s="14"/>
      <c r="C283" s="14"/>
      <c r="D283" s="14"/>
      <c r="E283" s="14"/>
    </row>
    <row r="284" spans="1:5" ht="14.25" customHeight="1" x14ac:dyDescent="0.35">
      <c r="A284" s="15"/>
      <c r="B284" s="16"/>
      <c r="C284" s="16"/>
      <c r="D284" s="16"/>
      <c r="E284" s="16"/>
    </row>
    <row r="285" spans="1:5" ht="14.25" customHeight="1" x14ac:dyDescent="0.35">
      <c r="A285" s="13"/>
      <c r="B285" s="14"/>
      <c r="C285" s="14"/>
      <c r="D285" s="14"/>
      <c r="E285" s="14"/>
    </row>
    <row r="286" spans="1:5" ht="14.25" customHeight="1" x14ac:dyDescent="0.35">
      <c r="A286" s="15"/>
      <c r="B286" s="16"/>
      <c r="C286" s="16"/>
      <c r="D286" s="16"/>
      <c r="E286" s="16"/>
    </row>
    <row r="287" spans="1:5" ht="14.25" customHeight="1" x14ac:dyDescent="0.35">
      <c r="A287" s="13"/>
      <c r="B287" s="14"/>
      <c r="C287" s="14"/>
      <c r="D287" s="14"/>
      <c r="E287" s="14"/>
    </row>
    <row r="288" spans="1:5" ht="14.25" customHeight="1" x14ac:dyDescent="0.35">
      <c r="A288" s="15"/>
      <c r="B288" s="16"/>
      <c r="C288" s="16"/>
      <c r="D288" s="16"/>
      <c r="E288" s="16"/>
    </row>
    <row r="289" spans="1:5" ht="14.25" customHeight="1" x14ac:dyDescent="0.35">
      <c r="A289" s="13"/>
      <c r="B289" s="14"/>
      <c r="C289" s="14"/>
      <c r="D289" s="14"/>
      <c r="E289" s="14"/>
    </row>
    <row r="290" spans="1:5" ht="14.25" customHeight="1" x14ac:dyDescent="0.35">
      <c r="A290" s="15"/>
      <c r="B290" s="16"/>
      <c r="C290" s="16"/>
      <c r="D290" s="16"/>
      <c r="E290" s="16"/>
    </row>
    <row r="291" spans="1:5" ht="14.25" customHeight="1" x14ac:dyDescent="0.35">
      <c r="A291" s="13"/>
      <c r="B291" s="14"/>
      <c r="C291" s="14"/>
      <c r="D291" s="14"/>
      <c r="E291" s="14"/>
    </row>
    <row r="292" spans="1:5" ht="14.25" customHeight="1" x14ac:dyDescent="0.35">
      <c r="A292" s="15"/>
      <c r="B292" s="16"/>
      <c r="C292" s="16"/>
      <c r="D292" s="16"/>
      <c r="E292" s="16"/>
    </row>
    <row r="293" spans="1:5" ht="14.25" customHeight="1" x14ac:dyDescent="0.35">
      <c r="A293" s="13"/>
      <c r="B293" s="14"/>
      <c r="C293" s="14"/>
      <c r="D293" s="14"/>
      <c r="E293" s="14"/>
    </row>
    <row r="294" spans="1:5" ht="14.25" customHeight="1" x14ac:dyDescent="0.35">
      <c r="A294" s="15"/>
      <c r="B294" s="16"/>
      <c r="C294" s="16"/>
      <c r="D294" s="16"/>
      <c r="E294" s="16"/>
    </row>
    <row r="295" spans="1:5" ht="14.25" customHeight="1" x14ac:dyDescent="0.35">
      <c r="A295" s="13"/>
      <c r="B295" s="14"/>
      <c r="C295" s="14"/>
      <c r="D295" s="14"/>
      <c r="E295" s="14"/>
    </row>
    <row r="296" spans="1:5" ht="14.25" customHeight="1" x14ac:dyDescent="0.35">
      <c r="A296" s="15"/>
      <c r="B296" s="16"/>
      <c r="C296" s="16"/>
      <c r="D296" s="16"/>
      <c r="E296" s="16"/>
    </row>
    <row r="297" spans="1:5" ht="14.25" customHeight="1" x14ac:dyDescent="0.35">
      <c r="A297" s="13"/>
      <c r="B297" s="14"/>
      <c r="C297" s="14"/>
      <c r="D297" s="14"/>
      <c r="E297" s="14"/>
    </row>
    <row r="298" spans="1:5" ht="14.25" customHeight="1" x14ac:dyDescent="0.35">
      <c r="A298" s="15"/>
      <c r="B298" s="16"/>
      <c r="C298" s="16"/>
      <c r="D298" s="16"/>
      <c r="E298" s="16"/>
    </row>
    <row r="299" spans="1:5" ht="14.25" customHeight="1" x14ac:dyDescent="0.35">
      <c r="A299" s="13"/>
      <c r="B299" s="14"/>
      <c r="C299" s="14"/>
      <c r="D299" s="14"/>
      <c r="E299" s="14"/>
    </row>
    <row r="300" spans="1:5" ht="14.25" customHeight="1" x14ac:dyDescent="0.35">
      <c r="A300" s="15"/>
      <c r="B300" s="16"/>
      <c r="C300" s="16"/>
      <c r="D300" s="16"/>
      <c r="E300" s="16"/>
    </row>
    <row r="301" spans="1:5" ht="14.25" customHeight="1" x14ac:dyDescent="0.35">
      <c r="A301" s="13"/>
      <c r="B301" s="14"/>
      <c r="C301" s="14"/>
      <c r="D301" s="14"/>
      <c r="E301" s="14"/>
    </row>
    <row r="302" spans="1:5" ht="14.25" customHeight="1" x14ac:dyDescent="0.35">
      <c r="A302" s="15"/>
      <c r="B302" s="16"/>
      <c r="C302" s="16"/>
      <c r="D302" s="16"/>
      <c r="E302" s="16"/>
    </row>
    <row r="303" spans="1:5" ht="14.25" customHeight="1" x14ac:dyDescent="0.35">
      <c r="A303" s="13"/>
      <c r="B303" s="14"/>
      <c r="C303" s="14"/>
      <c r="D303" s="14"/>
      <c r="E303" s="14"/>
    </row>
    <row r="304" spans="1:5" ht="14.25" customHeight="1" x14ac:dyDescent="0.35">
      <c r="A304" s="15"/>
      <c r="B304" s="16"/>
      <c r="C304" s="16"/>
      <c r="D304" s="16"/>
      <c r="E304" s="16"/>
    </row>
    <row r="305" spans="1:5" ht="14.25" customHeight="1" x14ac:dyDescent="0.35">
      <c r="A305" s="13"/>
      <c r="B305" s="14"/>
      <c r="C305" s="14"/>
      <c r="D305" s="14"/>
      <c r="E305" s="14"/>
    </row>
    <row r="306" spans="1:5" ht="14.25" customHeight="1" x14ac:dyDescent="0.35">
      <c r="A306" s="15"/>
      <c r="B306" s="16"/>
      <c r="C306" s="16"/>
      <c r="D306" s="16"/>
      <c r="E306" s="16"/>
    </row>
    <row r="307" spans="1:5" ht="14.25" customHeight="1" x14ac:dyDescent="0.35">
      <c r="A307" s="13"/>
      <c r="B307" s="14"/>
      <c r="C307" s="14"/>
      <c r="D307" s="14"/>
      <c r="E307" s="14"/>
    </row>
    <row r="308" spans="1:5" ht="14.25" customHeight="1" x14ac:dyDescent="0.35">
      <c r="A308" s="15"/>
      <c r="B308" s="16"/>
      <c r="C308" s="16"/>
      <c r="D308" s="16"/>
      <c r="E308" s="16"/>
    </row>
    <row r="309" spans="1:5" ht="14.25" customHeight="1" x14ac:dyDescent="0.35">
      <c r="A309" s="13"/>
      <c r="B309" s="14"/>
      <c r="C309" s="14"/>
      <c r="D309" s="14"/>
      <c r="E309" s="14"/>
    </row>
    <row r="310" spans="1:5" ht="14.25" customHeight="1" x14ac:dyDescent="0.35">
      <c r="A310" s="15"/>
      <c r="B310" s="16"/>
      <c r="C310" s="16"/>
      <c r="D310" s="16"/>
      <c r="E310" s="16"/>
    </row>
    <row r="311" spans="1:5" ht="14.25" customHeight="1" x14ac:dyDescent="0.35">
      <c r="A311" s="13"/>
      <c r="B311" s="14"/>
      <c r="C311" s="14"/>
      <c r="D311" s="14"/>
      <c r="E311" s="14"/>
    </row>
    <row r="312" spans="1:5" ht="14.25" customHeight="1" x14ac:dyDescent="0.35">
      <c r="A312" s="15"/>
      <c r="B312" s="16"/>
      <c r="C312" s="16"/>
      <c r="D312" s="16"/>
      <c r="E312" s="16"/>
    </row>
    <row r="313" spans="1:5" ht="14.25" customHeight="1" x14ac:dyDescent="0.35">
      <c r="A313" s="13"/>
      <c r="B313" s="14"/>
      <c r="C313" s="14"/>
      <c r="D313" s="14"/>
      <c r="E313" s="14"/>
    </row>
    <row r="314" spans="1:5" ht="14.25" customHeight="1" x14ac:dyDescent="0.35">
      <c r="A314" s="15"/>
      <c r="B314" s="16"/>
      <c r="C314" s="16"/>
      <c r="D314" s="16"/>
      <c r="E314" s="16"/>
    </row>
    <row r="315" spans="1:5" ht="14.25" customHeight="1" x14ac:dyDescent="0.35">
      <c r="A315" s="13"/>
      <c r="B315" s="14"/>
      <c r="C315" s="14"/>
      <c r="D315" s="14"/>
      <c r="E315" s="14"/>
    </row>
    <row r="316" spans="1:5" ht="14.25" customHeight="1" x14ac:dyDescent="0.35">
      <c r="A316" s="15"/>
      <c r="B316" s="16"/>
      <c r="C316" s="16"/>
      <c r="D316" s="16"/>
      <c r="E316" s="16"/>
    </row>
    <row r="317" spans="1:5" ht="14.25" customHeight="1" x14ac:dyDescent="0.35">
      <c r="A317" s="13"/>
      <c r="B317" s="14"/>
      <c r="C317" s="14"/>
      <c r="D317" s="14"/>
      <c r="E317" s="14"/>
    </row>
    <row r="318" spans="1:5" ht="14.25" customHeight="1" x14ac:dyDescent="0.35">
      <c r="A318" s="15"/>
      <c r="B318" s="16"/>
      <c r="C318" s="16"/>
      <c r="D318" s="16"/>
      <c r="E318" s="16"/>
    </row>
    <row r="319" spans="1:5" ht="14.25" customHeight="1" x14ac:dyDescent="0.35">
      <c r="A319" s="13"/>
      <c r="B319" s="14"/>
      <c r="C319" s="14"/>
      <c r="D319" s="14"/>
      <c r="E319" s="14"/>
    </row>
    <row r="320" spans="1:5" ht="14.25" customHeight="1" x14ac:dyDescent="0.35">
      <c r="A320" s="15"/>
      <c r="B320" s="16"/>
      <c r="C320" s="16"/>
      <c r="D320" s="16"/>
      <c r="E320" s="16"/>
    </row>
    <row r="321" spans="1:5" ht="14.25" customHeight="1" x14ac:dyDescent="0.35">
      <c r="A321" s="13"/>
      <c r="B321" s="14"/>
      <c r="C321" s="14"/>
      <c r="D321" s="14"/>
      <c r="E321" s="14"/>
    </row>
    <row r="322" spans="1:5" ht="14.25" customHeight="1" x14ac:dyDescent="0.35">
      <c r="A322" s="15"/>
      <c r="B322" s="16"/>
      <c r="C322" s="16"/>
      <c r="D322" s="16"/>
      <c r="E322" s="16"/>
    </row>
    <row r="323" spans="1:5" ht="14.25" customHeight="1" x14ac:dyDescent="0.35">
      <c r="A323" s="13"/>
      <c r="B323" s="14"/>
      <c r="C323" s="14"/>
      <c r="D323" s="14"/>
      <c r="E323" s="14"/>
    </row>
    <row r="324" spans="1:5" ht="14.25" customHeight="1" x14ac:dyDescent="0.35">
      <c r="A324" s="15"/>
      <c r="B324" s="16"/>
      <c r="C324" s="16"/>
      <c r="D324" s="16"/>
      <c r="E324" s="16"/>
    </row>
    <row r="325" spans="1:5" ht="14.25" customHeight="1" x14ac:dyDescent="0.35">
      <c r="A325" s="13"/>
      <c r="B325" s="14"/>
      <c r="C325" s="14"/>
      <c r="D325" s="14"/>
      <c r="E325" s="14"/>
    </row>
    <row r="326" spans="1:5" ht="14.25" customHeight="1" x14ac:dyDescent="0.35">
      <c r="A326" s="15"/>
      <c r="B326" s="16"/>
      <c r="C326" s="16"/>
      <c r="D326" s="16"/>
      <c r="E326" s="16"/>
    </row>
    <row r="327" spans="1:5" ht="14.25" customHeight="1" x14ac:dyDescent="0.35">
      <c r="A327" s="13"/>
      <c r="B327" s="14"/>
      <c r="C327" s="14"/>
      <c r="D327" s="14"/>
      <c r="E327" s="14"/>
    </row>
    <row r="328" spans="1:5" ht="14.25" customHeight="1" x14ac:dyDescent="0.35">
      <c r="A328" s="15"/>
      <c r="B328" s="16"/>
      <c r="C328" s="16"/>
      <c r="D328" s="16"/>
      <c r="E328" s="16"/>
    </row>
    <row r="329" spans="1:5" ht="14.25" customHeight="1" x14ac:dyDescent="0.35">
      <c r="A329" s="13"/>
      <c r="B329" s="14"/>
      <c r="C329" s="14"/>
      <c r="D329" s="14"/>
      <c r="E329" s="14"/>
    </row>
    <row r="330" spans="1:5" ht="14.25" customHeight="1" x14ac:dyDescent="0.35">
      <c r="A330" s="15"/>
      <c r="B330" s="16"/>
      <c r="C330" s="16"/>
      <c r="D330" s="16"/>
      <c r="E330" s="16"/>
    </row>
    <row r="331" spans="1:5" ht="14.25" customHeight="1" x14ac:dyDescent="0.35">
      <c r="A331" s="13"/>
      <c r="B331" s="14"/>
      <c r="C331" s="14"/>
      <c r="D331" s="14"/>
      <c r="E331" s="14"/>
    </row>
    <row r="332" spans="1:5" ht="14.25" customHeight="1" x14ac:dyDescent="0.35">
      <c r="A332" s="15"/>
      <c r="B332" s="16"/>
      <c r="C332" s="16"/>
      <c r="D332" s="16"/>
      <c r="E332" s="16"/>
    </row>
    <row r="333" spans="1:5" ht="14.25" customHeight="1" x14ac:dyDescent="0.35">
      <c r="A333" s="13"/>
      <c r="B333" s="14"/>
      <c r="C333" s="14"/>
      <c r="D333" s="14"/>
      <c r="E333" s="14"/>
    </row>
    <row r="334" spans="1:5" ht="14.25" customHeight="1" x14ac:dyDescent="0.35">
      <c r="A334" s="15"/>
      <c r="B334" s="16"/>
      <c r="C334" s="16"/>
      <c r="D334" s="16"/>
      <c r="E334" s="16"/>
    </row>
    <row r="335" spans="1:5" ht="14.25" customHeight="1" x14ac:dyDescent="0.35">
      <c r="A335" s="13"/>
      <c r="B335" s="14"/>
      <c r="C335" s="14"/>
      <c r="D335" s="14"/>
      <c r="E335" s="14"/>
    </row>
    <row r="336" spans="1:5" ht="14.25" customHeight="1" x14ac:dyDescent="0.35">
      <c r="A336" s="15"/>
      <c r="B336" s="16"/>
      <c r="C336" s="16"/>
      <c r="D336" s="16"/>
      <c r="E336" s="16"/>
    </row>
    <row r="337" spans="1:5" ht="14.25" customHeight="1" x14ac:dyDescent="0.35">
      <c r="A337" s="13"/>
      <c r="B337" s="14"/>
      <c r="C337" s="14"/>
      <c r="D337" s="14"/>
      <c r="E337" s="14"/>
    </row>
    <row r="338" spans="1:5" ht="14.25" customHeight="1" x14ac:dyDescent="0.35">
      <c r="A338" s="15"/>
      <c r="B338" s="16"/>
      <c r="C338" s="16"/>
      <c r="D338" s="16"/>
      <c r="E338" s="16"/>
    </row>
    <row r="339" spans="1:5" ht="14.25" customHeight="1" x14ac:dyDescent="0.35">
      <c r="A339" s="13"/>
      <c r="B339" s="14"/>
      <c r="C339" s="14"/>
      <c r="D339" s="14"/>
      <c r="E339" s="14"/>
    </row>
    <row r="340" spans="1:5" ht="14.25" customHeight="1" x14ac:dyDescent="0.35">
      <c r="A340" s="15"/>
      <c r="B340" s="16"/>
      <c r="C340" s="16"/>
      <c r="D340" s="16"/>
      <c r="E340" s="16"/>
    </row>
    <row r="341" spans="1:5" ht="14.25" customHeight="1" x14ac:dyDescent="0.35">
      <c r="A341" s="13"/>
      <c r="B341" s="14"/>
      <c r="C341" s="14"/>
      <c r="D341" s="14"/>
      <c r="E341" s="14"/>
    </row>
    <row r="342" spans="1:5" ht="14.25" customHeight="1" x14ac:dyDescent="0.35">
      <c r="A342" s="15"/>
      <c r="B342" s="16"/>
      <c r="C342" s="16"/>
      <c r="D342" s="16"/>
      <c r="E342" s="16"/>
    </row>
    <row r="343" spans="1:5" ht="14.25" customHeight="1" x14ac:dyDescent="0.35">
      <c r="A343" s="13"/>
      <c r="B343" s="14"/>
      <c r="C343" s="14"/>
      <c r="D343" s="14"/>
      <c r="E343" s="14"/>
    </row>
    <row r="344" spans="1:5" ht="14.25" customHeight="1" x14ac:dyDescent="0.35">
      <c r="A344" s="15"/>
      <c r="B344" s="16"/>
      <c r="C344" s="16"/>
      <c r="D344" s="16"/>
      <c r="E344" s="16"/>
    </row>
    <row r="345" spans="1:5" ht="14.25" customHeight="1" x14ac:dyDescent="0.35">
      <c r="A345" s="13"/>
      <c r="B345" s="14"/>
      <c r="C345" s="14"/>
      <c r="D345" s="14"/>
      <c r="E345" s="14"/>
    </row>
    <row r="346" spans="1:5" ht="14.25" customHeight="1" x14ac:dyDescent="0.35">
      <c r="A346" s="15"/>
      <c r="B346" s="16"/>
      <c r="C346" s="16"/>
      <c r="D346" s="16"/>
      <c r="E346" s="16"/>
    </row>
    <row r="347" spans="1:5" ht="14.25" customHeight="1" x14ac:dyDescent="0.35">
      <c r="A347" s="13"/>
      <c r="B347" s="14"/>
      <c r="C347" s="14"/>
      <c r="D347" s="14"/>
      <c r="E347" s="14"/>
    </row>
    <row r="348" spans="1:5" ht="14.25" customHeight="1" x14ac:dyDescent="0.35">
      <c r="A348" s="15"/>
      <c r="B348" s="16"/>
      <c r="C348" s="16"/>
      <c r="D348" s="16"/>
      <c r="E348" s="16"/>
    </row>
    <row r="349" spans="1:5" ht="14.25" customHeight="1" x14ac:dyDescent="0.35">
      <c r="A349" s="13"/>
      <c r="B349" s="14"/>
      <c r="C349" s="14"/>
      <c r="D349" s="14"/>
      <c r="E349" s="14"/>
    </row>
    <row r="350" spans="1:5" ht="14.25" customHeight="1" x14ac:dyDescent="0.35">
      <c r="A350" s="15"/>
      <c r="B350" s="16"/>
      <c r="C350" s="16"/>
      <c r="D350" s="16"/>
      <c r="E350" s="16"/>
    </row>
    <row r="351" spans="1:5" ht="14.25" customHeight="1" x14ac:dyDescent="0.35">
      <c r="A351" s="13"/>
      <c r="B351" s="14"/>
      <c r="C351" s="14"/>
      <c r="D351" s="14"/>
      <c r="E351" s="14"/>
    </row>
    <row r="352" spans="1:5" ht="14.25" customHeight="1" x14ac:dyDescent="0.35">
      <c r="A352" s="15"/>
      <c r="B352" s="16"/>
      <c r="C352" s="16"/>
      <c r="D352" s="16"/>
      <c r="E352" s="16"/>
    </row>
    <row r="353" spans="1:5" ht="14.25" customHeight="1" x14ac:dyDescent="0.35">
      <c r="A353" s="13"/>
      <c r="B353" s="14"/>
      <c r="C353" s="14"/>
      <c r="D353" s="14"/>
      <c r="E353" s="14"/>
    </row>
    <row r="354" spans="1:5" ht="14.25" customHeight="1" x14ac:dyDescent="0.35">
      <c r="A354" s="15"/>
      <c r="B354" s="16"/>
      <c r="C354" s="16"/>
      <c r="D354" s="16"/>
      <c r="E354" s="16"/>
    </row>
    <row r="355" spans="1:5" ht="14.25" customHeight="1" x14ac:dyDescent="0.35">
      <c r="A355" s="13"/>
      <c r="B355" s="14"/>
      <c r="C355" s="14"/>
      <c r="D355" s="14"/>
      <c r="E355" s="14"/>
    </row>
    <row r="356" spans="1:5" ht="14.25" customHeight="1" x14ac:dyDescent="0.35">
      <c r="A356" s="15"/>
      <c r="B356" s="16"/>
      <c r="C356" s="16"/>
      <c r="D356" s="16"/>
      <c r="E356" s="16"/>
    </row>
    <row r="357" spans="1:5" ht="14.25" customHeight="1" x14ac:dyDescent="0.35">
      <c r="A357" s="13"/>
      <c r="B357" s="14"/>
      <c r="C357" s="14"/>
      <c r="D357" s="14"/>
      <c r="E357" s="14"/>
    </row>
    <row r="358" spans="1:5" ht="14.25" customHeight="1" x14ac:dyDescent="0.35">
      <c r="A358" s="15"/>
      <c r="B358" s="16"/>
      <c r="C358" s="16"/>
      <c r="D358" s="16"/>
      <c r="E358" s="16"/>
    </row>
    <row r="359" spans="1:5" ht="14.25" customHeight="1" x14ac:dyDescent="0.35">
      <c r="A359" s="13"/>
      <c r="B359" s="14"/>
      <c r="C359" s="14"/>
      <c r="D359" s="14"/>
      <c r="E359" s="14"/>
    </row>
    <row r="360" spans="1:5" ht="14.25" customHeight="1" x14ac:dyDescent="0.35">
      <c r="A360" s="15"/>
      <c r="B360" s="16"/>
      <c r="C360" s="16"/>
      <c r="D360" s="16"/>
      <c r="E360" s="16"/>
    </row>
    <row r="361" spans="1:5" ht="14.25" customHeight="1" x14ac:dyDescent="0.35">
      <c r="A361" s="13"/>
      <c r="B361" s="14"/>
      <c r="C361" s="14"/>
      <c r="D361" s="14"/>
      <c r="E361" s="14"/>
    </row>
    <row r="362" spans="1:5" ht="14.25" customHeight="1" x14ac:dyDescent="0.35">
      <c r="A362" s="15"/>
      <c r="B362" s="16"/>
      <c r="C362" s="16"/>
      <c r="D362" s="16"/>
      <c r="E362" s="16"/>
    </row>
    <row r="363" spans="1:5" ht="14.25" customHeight="1" x14ac:dyDescent="0.35">
      <c r="A363" s="13"/>
      <c r="B363" s="14"/>
      <c r="C363" s="14"/>
      <c r="D363" s="14"/>
      <c r="E363" s="14"/>
    </row>
    <row r="364" spans="1:5" ht="14.25" customHeight="1" x14ac:dyDescent="0.35">
      <c r="A364" s="15"/>
      <c r="B364" s="16"/>
      <c r="C364" s="16"/>
      <c r="D364" s="16"/>
      <c r="E364" s="16"/>
    </row>
    <row r="365" spans="1:5" ht="14.25" customHeight="1" x14ac:dyDescent="0.35">
      <c r="A365" s="13"/>
      <c r="B365" s="14"/>
      <c r="C365" s="14"/>
      <c r="D365" s="14"/>
      <c r="E365" s="14"/>
    </row>
    <row r="366" spans="1:5" ht="14.25" customHeight="1" x14ac:dyDescent="0.35">
      <c r="A366" s="15"/>
      <c r="B366" s="16"/>
      <c r="C366" s="16"/>
      <c r="D366" s="16"/>
      <c r="E366" s="16"/>
    </row>
    <row r="367" spans="1:5" ht="14.25" customHeight="1" x14ac:dyDescent="0.35">
      <c r="A367" s="13"/>
      <c r="B367" s="14"/>
      <c r="C367" s="14"/>
      <c r="D367" s="14"/>
      <c r="E367" s="14"/>
    </row>
    <row r="368" spans="1:5" ht="14.25" customHeight="1" x14ac:dyDescent="0.35">
      <c r="A368" s="15"/>
      <c r="B368" s="16"/>
      <c r="C368" s="16"/>
      <c r="D368" s="16"/>
      <c r="E368" s="16"/>
    </row>
    <row r="369" spans="1:5" ht="14.25" customHeight="1" x14ac:dyDescent="0.35">
      <c r="A369" s="13"/>
      <c r="B369" s="14"/>
      <c r="C369" s="14"/>
      <c r="D369" s="14"/>
      <c r="E369" s="14"/>
    </row>
    <row r="370" spans="1:5" ht="14.25" customHeight="1" x14ac:dyDescent="0.35">
      <c r="A370" s="15"/>
      <c r="B370" s="16"/>
      <c r="C370" s="16"/>
      <c r="D370" s="16"/>
      <c r="E370" s="16"/>
    </row>
    <row r="371" spans="1:5" ht="14.25" customHeight="1" x14ac:dyDescent="0.35">
      <c r="A371" s="13"/>
      <c r="B371" s="14"/>
      <c r="C371" s="14"/>
      <c r="D371" s="14"/>
      <c r="E371" s="14"/>
    </row>
    <row r="372" spans="1:5" ht="14.25" customHeight="1" x14ac:dyDescent="0.35">
      <c r="A372" s="15"/>
      <c r="B372" s="16"/>
      <c r="C372" s="16"/>
      <c r="D372" s="16"/>
      <c r="E372" s="16"/>
    </row>
    <row r="373" spans="1:5" ht="14.25" customHeight="1" x14ac:dyDescent="0.35">
      <c r="A373" s="13"/>
      <c r="B373" s="14"/>
      <c r="C373" s="14"/>
      <c r="D373" s="14"/>
      <c r="E373" s="14"/>
    </row>
    <row r="374" spans="1:5" ht="14.25" customHeight="1" x14ac:dyDescent="0.35">
      <c r="A374" s="15"/>
      <c r="B374" s="16"/>
      <c r="C374" s="16"/>
      <c r="D374" s="16"/>
      <c r="E374" s="16"/>
    </row>
    <row r="375" spans="1:5" ht="14.25" customHeight="1" x14ac:dyDescent="0.35">
      <c r="A375" s="13"/>
      <c r="B375" s="14"/>
      <c r="C375" s="14"/>
      <c r="D375" s="14"/>
      <c r="E375" s="14"/>
    </row>
    <row r="376" spans="1:5" ht="14.25" customHeight="1" x14ac:dyDescent="0.35">
      <c r="A376" s="15"/>
      <c r="B376" s="16"/>
      <c r="C376" s="16"/>
      <c r="D376" s="16"/>
      <c r="E376" s="16"/>
    </row>
    <row r="377" spans="1:5" ht="14.25" customHeight="1" x14ac:dyDescent="0.35">
      <c r="A377" s="13"/>
      <c r="B377" s="14"/>
      <c r="C377" s="14"/>
      <c r="D377" s="14"/>
      <c r="E377" s="14"/>
    </row>
    <row r="378" spans="1:5" ht="14.25" customHeight="1" x14ac:dyDescent="0.35">
      <c r="A378" s="15"/>
      <c r="B378" s="16"/>
      <c r="C378" s="16"/>
      <c r="D378" s="16"/>
      <c r="E378" s="16"/>
    </row>
    <row r="379" spans="1:5" ht="14.25" customHeight="1" x14ac:dyDescent="0.35">
      <c r="A379" s="13"/>
      <c r="B379" s="14"/>
      <c r="C379" s="14"/>
      <c r="D379" s="14"/>
      <c r="E379" s="14"/>
    </row>
    <row r="380" spans="1:5" ht="14.25" customHeight="1" x14ac:dyDescent="0.35">
      <c r="A380" s="15"/>
      <c r="B380" s="16"/>
      <c r="C380" s="16"/>
      <c r="D380" s="16"/>
      <c r="E380" s="16"/>
    </row>
    <row r="381" spans="1:5" ht="14.25" customHeight="1" x14ac:dyDescent="0.35">
      <c r="A381" s="13"/>
      <c r="B381" s="14"/>
      <c r="C381" s="14"/>
      <c r="D381" s="14"/>
      <c r="E381" s="14"/>
    </row>
    <row r="382" spans="1:5" ht="14.25" customHeight="1" x14ac:dyDescent="0.35">
      <c r="A382" s="15"/>
      <c r="B382" s="16"/>
      <c r="C382" s="16"/>
      <c r="D382" s="16"/>
      <c r="E382" s="16"/>
    </row>
    <row r="383" spans="1:5" ht="14.25" customHeight="1" x14ac:dyDescent="0.35">
      <c r="A383" s="13"/>
      <c r="B383" s="14"/>
      <c r="C383" s="14"/>
      <c r="D383" s="14"/>
      <c r="E383" s="14"/>
    </row>
    <row r="384" spans="1:5" ht="14.25" customHeight="1" x14ac:dyDescent="0.35">
      <c r="A384" s="15"/>
      <c r="B384" s="16"/>
      <c r="C384" s="16"/>
      <c r="D384" s="16"/>
      <c r="E384" s="16"/>
    </row>
    <row r="385" spans="1:5" ht="14.25" customHeight="1" x14ac:dyDescent="0.35">
      <c r="A385" s="13"/>
      <c r="B385" s="14"/>
      <c r="C385" s="14"/>
      <c r="D385" s="14"/>
      <c r="E385" s="14"/>
    </row>
    <row r="386" spans="1:5" ht="14.25" customHeight="1" x14ac:dyDescent="0.35">
      <c r="A386" s="15"/>
      <c r="B386" s="16"/>
      <c r="C386" s="16"/>
      <c r="D386" s="16"/>
      <c r="E386" s="16"/>
    </row>
    <row r="387" spans="1:5" ht="14.25" customHeight="1" x14ac:dyDescent="0.35">
      <c r="A387" s="13"/>
      <c r="B387" s="14"/>
      <c r="C387" s="14"/>
      <c r="D387" s="14"/>
      <c r="E387" s="14"/>
    </row>
    <row r="388" spans="1:5" ht="14.25" customHeight="1" x14ac:dyDescent="0.35">
      <c r="A388" s="15"/>
      <c r="B388" s="16"/>
      <c r="C388" s="16"/>
      <c r="D388" s="16"/>
      <c r="E388" s="16"/>
    </row>
    <row r="389" spans="1:5" ht="14.25" customHeight="1" x14ac:dyDescent="0.35">
      <c r="A389" s="13"/>
      <c r="B389" s="14"/>
      <c r="C389" s="14"/>
      <c r="D389" s="14"/>
      <c r="E389" s="14"/>
    </row>
    <row r="390" spans="1:5" ht="14.25" customHeight="1" x14ac:dyDescent="0.35">
      <c r="A390" s="15"/>
      <c r="B390" s="16"/>
      <c r="C390" s="16"/>
      <c r="D390" s="16"/>
      <c r="E390" s="16"/>
    </row>
    <row r="391" spans="1:5" ht="14.25" customHeight="1" x14ac:dyDescent="0.35">
      <c r="A391" s="13"/>
      <c r="B391" s="14"/>
      <c r="C391" s="14"/>
      <c r="D391" s="14"/>
      <c r="E391" s="14"/>
    </row>
    <row r="392" spans="1:5" ht="14.25" customHeight="1" x14ac:dyDescent="0.35">
      <c r="A392" s="15"/>
      <c r="B392" s="16"/>
      <c r="C392" s="16"/>
      <c r="D392" s="16"/>
      <c r="E392" s="16"/>
    </row>
    <row r="393" spans="1:5" ht="14.25" customHeight="1" x14ac:dyDescent="0.35">
      <c r="A393" s="13"/>
      <c r="B393" s="14"/>
      <c r="C393" s="14"/>
      <c r="D393" s="14"/>
      <c r="E393" s="14"/>
    </row>
    <row r="394" spans="1:5" ht="14.25" customHeight="1" x14ac:dyDescent="0.35">
      <c r="A394" s="15"/>
      <c r="B394" s="16"/>
      <c r="C394" s="16"/>
      <c r="D394" s="16"/>
      <c r="E394" s="16"/>
    </row>
    <row r="395" spans="1:5" ht="14.25" customHeight="1" x14ac:dyDescent="0.35">
      <c r="A395" s="13"/>
      <c r="B395" s="14"/>
      <c r="C395" s="14"/>
      <c r="D395" s="14"/>
      <c r="E395" s="14"/>
    </row>
    <row r="396" spans="1:5" ht="14.25" customHeight="1" x14ac:dyDescent="0.35">
      <c r="A396" s="15"/>
      <c r="B396" s="16"/>
      <c r="C396" s="16"/>
      <c r="D396" s="16"/>
      <c r="E396" s="16"/>
    </row>
    <row r="397" spans="1:5" ht="14.25" customHeight="1" x14ac:dyDescent="0.35">
      <c r="A397" s="13"/>
      <c r="B397" s="14"/>
      <c r="C397" s="14"/>
      <c r="D397" s="14"/>
      <c r="E397" s="14"/>
    </row>
    <row r="398" spans="1:5" ht="14.25" customHeight="1" x14ac:dyDescent="0.35">
      <c r="A398" s="15"/>
      <c r="B398" s="16"/>
      <c r="C398" s="16"/>
      <c r="D398" s="16"/>
      <c r="E398" s="16"/>
    </row>
    <row r="399" spans="1:5" ht="14.25" customHeight="1" x14ac:dyDescent="0.35">
      <c r="A399" s="13"/>
      <c r="B399" s="14"/>
      <c r="C399" s="14"/>
      <c r="D399" s="14"/>
      <c r="E399" s="14"/>
    </row>
    <row r="400" spans="1:5" ht="14.25" customHeight="1" x14ac:dyDescent="0.35">
      <c r="A400" s="15"/>
      <c r="B400" s="16"/>
      <c r="C400" s="16"/>
      <c r="D400" s="16"/>
      <c r="E400" s="16"/>
    </row>
    <row r="401" spans="1:5" ht="14.25" customHeight="1" x14ac:dyDescent="0.35">
      <c r="A401" s="13"/>
      <c r="B401" s="14"/>
      <c r="C401" s="14"/>
      <c r="D401" s="14"/>
      <c r="E401" s="14"/>
    </row>
    <row r="402" spans="1:5" ht="14.25" customHeight="1" x14ac:dyDescent="0.35">
      <c r="A402" s="15"/>
      <c r="B402" s="16"/>
      <c r="C402" s="16"/>
      <c r="D402" s="16"/>
      <c r="E402" s="16"/>
    </row>
    <row r="403" spans="1:5" ht="14.25" customHeight="1" x14ac:dyDescent="0.35">
      <c r="A403" s="13"/>
      <c r="B403" s="14"/>
      <c r="C403" s="14"/>
      <c r="D403" s="14"/>
      <c r="E403" s="14"/>
    </row>
    <row r="404" spans="1:5" ht="14.25" customHeight="1" x14ac:dyDescent="0.35">
      <c r="A404" s="15"/>
      <c r="B404" s="16"/>
      <c r="C404" s="16"/>
      <c r="D404" s="16"/>
      <c r="E404" s="16"/>
    </row>
    <row r="405" spans="1:5" ht="14.25" customHeight="1" x14ac:dyDescent="0.35">
      <c r="A405" s="13"/>
      <c r="B405" s="14"/>
      <c r="C405" s="14"/>
      <c r="D405" s="14"/>
      <c r="E405" s="14"/>
    </row>
    <row r="406" spans="1:5" ht="14.25" customHeight="1" x14ac:dyDescent="0.35">
      <c r="A406" s="15"/>
      <c r="B406" s="16"/>
      <c r="C406" s="16"/>
      <c r="D406" s="16"/>
      <c r="E406" s="16"/>
    </row>
    <row r="407" spans="1:5" ht="14.25" customHeight="1" x14ac:dyDescent="0.35">
      <c r="A407" s="13"/>
      <c r="B407" s="14"/>
      <c r="C407" s="14"/>
      <c r="D407" s="14"/>
      <c r="E407" s="14"/>
    </row>
    <row r="408" spans="1:5" ht="14.25" customHeight="1" x14ac:dyDescent="0.35">
      <c r="A408" s="15"/>
      <c r="B408" s="16"/>
      <c r="C408" s="16"/>
      <c r="D408" s="16"/>
      <c r="E408" s="16"/>
    </row>
    <row r="409" spans="1:5" ht="14.25" customHeight="1" x14ac:dyDescent="0.35">
      <c r="A409" s="13"/>
      <c r="B409" s="14"/>
      <c r="C409" s="14"/>
      <c r="D409" s="14"/>
      <c r="E409" s="14"/>
    </row>
    <row r="410" spans="1:5" ht="14.25" customHeight="1" x14ac:dyDescent="0.35">
      <c r="A410" s="15"/>
      <c r="B410" s="16"/>
      <c r="C410" s="16"/>
      <c r="D410" s="16"/>
      <c r="E410" s="16"/>
    </row>
    <row r="411" spans="1:5" ht="14.25" customHeight="1" x14ac:dyDescent="0.35">
      <c r="A411" s="13"/>
      <c r="B411" s="14"/>
      <c r="C411" s="14"/>
      <c r="D411" s="14"/>
      <c r="E411" s="14"/>
    </row>
    <row r="412" spans="1:5" ht="14.25" customHeight="1" x14ac:dyDescent="0.35">
      <c r="A412" s="15"/>
      <c r="B412" s="16"/>
      <c r="C412" s="16"/>
      <c r="D412" s="16"/>
      <c r="E412" s="16"/>
    </row>
    <row r="413" spans="1:5" ht="14.25" customHeight="1" x14ac:dyDescent="0.35">
      <c r="A413" s="13"/>
      <c r="B413" s="14"/>
      <c r="C413" s="14"/>
      <c r="D413" s="14"/>
      <c r="E413" s="14"/>
    </row>
    <row r="414" spans="1:5" ht="14.25" customHeight="1" x14ac:dyDescent="0.35">
      <c r="A414" s="15"/>
      <c r="B414" s="16"/>
      <c r="C414" s="16"/>
      <c r="D414" s="16"/>
      <c r="E414" s="16"/>
    </row>
    <row r="415" spans="1:5" ht="14.25" customHeight="1" x14ac:dyDescent="0.35">
      <c r="A415" s="13"/>
      <c r="B415" s="14"/>
      <c r="C415" s="14"/>
      <c r="D415" s="14"/>
      <c r="E415" s="14"/>
    </row>
    <row r="416" spans="1:5" ht="14.25" customHeight="1" x14ac:dyDescent="0.35">
      <c r="A416" s="15"/>
      <c r="B416" s="16"/>
      <c r="C416" s="16"/>
      <c r="D416" s="16"/>
      <c r="E416" s="16"/>
    </row>
    <row r="417" spans="1:5" ht="14.25" customHeight="1" x14ac:dyDescent="0.35">
      <c r="A417" s="13"/>
      <c r="B417" s="14"/>
      <c r="C417" s="14"/>
      <c r="D417" s="14"/>
      <c r="E417" s="14"/>
    </row>
    <row r="418" spans="1:5" ht="14.25" customHeight="1" x14ac:dyDescent="0.35">
      <c r="A418" s="15"/>
      <c r="B418" s="16"/>
      <c r="C418" s="16"/>
      <c r="D418" s="16"/>
      <c r="E418" s="16"/>
    </row>
    <row r="419" spans="1:5" ht="14.25" customHeight="1" x14ac:dyDescent="0.35">
      <c r="A419" s="13"/>
      <c r="B419" s="14"/>
      <c r="C419" s="14"/>
      <c r="D419" s="14"/>
      <c r="E419" s="14"/>
    </row>
    <row r="420" spans="1:5" ht="14.25" customHeight="1" x14ac:dyDescent="0.35">
      <c r="A420" s="15"/>
      <c r="B420" s="16"/>
      <c r="C420" s="16"/>
      <c r="D420" s="16"/>
      <c r="E420" s="16"/>
    </row>
    <row r="421" spans="1:5" ht="14.25" customHeight="1" x14ac:dyDescent="0.35">
      <c r="A421" s="13"/>
      <c r="B421" s="14"/>
      <c r="C421" s="14"/>
      <c r="D421" s="14"/>
      <c r="E421" s="14"/>
    </row>
    <row r="422" spans="1:5" ht="14.25" customHeight="1" x14ac:dyDescent="0.35">
      <c r="A422" s="15"/>
      <c r="B422" s="16"/>
      <c r="C422" s="16"/>
      <c r="D422" s="16"/>
      <c r="E422" s="16"/>
    </row>
    <row r="423" spans="1:5" ht="14.25" customHeight="1" x14ac:dyDescent="0.35">
      <c r="A423" s="13"/>
      <c r="B423" s="14"/>
      <c r="C423" s="14"/>
      <c r="D423" s="14"/>
      <c r="E423" s="14"/>
    </row>
    <row r="424" spans="1:5" ht="14.25" customHeight="1" x14ac:dyDescent="0.35">
      <c r="A424" s="15"/>
      <c r="B424" s="16"/>
      <c r="C424" s="16"/>
      <c r="D424" s="16"/>
      <c r="E424" s="16"/>
    </row>
    <row r="425" spans="1:5" ht="14.25" customHeight="1" x14ac:dyDescent="0.35">
      <c r="A425" s="13"/>
      <c r="B425" s="14"/>
      <c r="C425" s="14"/>
      <c r="D425" s="14"/>
      <c r="E425" s="14"/>
    </row>
    <row r="426" spans="1:5" ht="14.25" customHeight="1" x14ac:dyDescent="0.35">
      <c r="A426" s="15"/>
      <c r="B426" s="16"/>
      <c r="C426" s="16"/>
      <c r="D426" s="16"/>
      <c r="E426" s="16"/>
    </row>
    <row r="427" spans="1:5" ht="14.25" customHeight="1" x14ac:dyDescent="0.35">
      <c r="A427" s="13"/>
      <c r="B427" s="14"/>
      <c r="C427" s="14"/>
      <c r="D427" s="14"/>
      <c r="E427" s="14"/>
    </row>
    <row r="428" spans="1:5" ht="14.25" customHeight="1" x14ac:dyDescent="0.35">
      <c r="A428" s="15"/>
      <c r="B428" s="16"/>
      <c r="C428" s="16"/>
      <c r="D428" s="16"/>
      <c r="E428" s="16"/>
    </row>
    <row r="429" spans="1:5" ht="14.25" customHeight="1" x14ac:dyDescent="0.35">
      <c r="A429" s="13"/>
      <c r="B429" s="14"/>
      <c r="C429" s="14"/>
      <c r="D429" s="14"/>
      <c r="E429" s="14"/>
    </row>
    <row r="430" spans="1:5" ht="14.25" customHeight="1" x14ac:dyDescent="0.35">
      <c r="A430" s="15"/>
      <c r="B430" s="16"/>
      <c r="C430" s="16"/>
      <c r="D430" s="16"/>
      <c r="E430" s="16"/>
    </row>
    <row r="431" spans="1:5" ht="14.25" customHeight="1" x14ac:dyDescent="0.35">
      <c r="A431" s="13"/>
      <c r="B431" s="14"/>
      <c r="C431" s="14"/>
      <c r="D431" s="14"/>
      <c r="E431" s="14"/>
    </row>
    <row r="432" spans="1:5" ht="14.25" customHeight="1" x14ac:dyDescent="0.35">
      <c r="A432" s="15"/>
      <c r="B432" s="16"/>
      <c r="C432" s="16"/>
      <c r="D432" s="16"/>
      <c r="E432" s="16"/>
    </row>
    <row r="433" spans="1:5" ht="14.25" customHeight="1" x14ac:dyDescent="0.35">
      <c r="A433" s="13"/>
      <c r="B433" s="14"/>
      <c r="C433" s="14"/>
      <c r="D433" s="14"/>
      <c r="E433" s="14"/>
    </row>
    <row r="434" spans="1:5" ht="14.25" customHeight="1" x14ac:dyDescent="0.35">
      <c r="A434" s="15"/>
      <c r="B434" s="16"/>
      <c r="C434" s="16"/>
      <c r="D434" s="16"/>
      <c r="E434" s="16"/>
    </row>
    <row r="435" spans="1:5" ht="14.25" customHeight="1" x14ac:dyDescent="0.35">
      <c r="A435" s="13"/>
      <c r="B435" s="14"/>
      <c r="C435" s="14"/>
      <c r="D435" s="14"/>
      <c r="E435" s="14"/>
    </row>
    <row r="436" spans="1:5" ht="14.25" customHeight="1" x14ac:dyDescent="0.35">
      <c r="A436" s="15"/>
      <c r="B436" s="16"/>
      <c r="C436" s="16"/>
      <c r="D436" s="16"/>
      <c r="E436" s="16"/>
    </row>
    <row r="437" spans="1:5" ht="14.25" customHeight="1" x14ac:dyDescent="0.35">
      <c r="A437" s="13"/>
      <c r="B437" s="14"/>
      <c r="C437" s="14"/>
      <c r="D437" s="14"/>
      <c r="E437" s="14"/>
    </row>
    <row r="438" spans="1:5" ht="14.25" customHeight="1" x14ac:dyDescent="0.35">
      <c r="A438" s="15"/>
      <c r="B438" s="16"/>
      <c r="C438" s="16"/>
      <c r="D438" s="16"/>
      <c r="E438" s="16"/>
    </row>
    <row r="439" spans="1:5" ht="14.25" customHeight="1" x14ac:dyDescent="0.35">
      <c r="A439" s="13"/>
      <c r="B439" s="14"/>
      <c r="C439" s="14"/>
      <c r="D439" s="14"/>
      <c r="E439" s="14"/>
    </row>
    <row r="440" spans="1:5" ht="14.25" customHeight="1" x14ac:dyDescent="0.35">
      <c r="A440" s="15"/>
      <c r="B440" s="16"/>
      <c r="C440" s="16"/>
      <c r="D440" s="16"/>
      <c r="E440" s="16"/>
    </row>
    <row r="441" spans="1:5" ht="14.25" customHeight="1" x14ac:dyDescent="0.35">
      <c r="A441" s="13"/>
      <c r="B441" s="14"/>
      <c r="C441" s="14"/>
      <c r="D441" s="14"/>
      <c r="E441" s="14"/>
    </row>
    <row r="442" spans="1:5" ht="14.25" customHeight="1" x14ac:dyDescent="0.35">
      <c r="A442" s="15"/>
      <c r="B442" s="16"/>
      <c r="C442" s="16"/>
      <c r="D442" s="16"/>
      <c r="E442" s="16"/>
    </row>
    <row r="443" spans="1:5" ht="14.25" customHeight="1" x14ac:dyDescent="0.35">
      <c r="A443" s="13"/>
      <c r="B443" s="14"/>
      <c r="C443" s="14"/>
      <c r="D443" s="14"/>
      <c r="E443" s="14"/>
    </row>
    <row r="444" spans="1:5" ht="14.25" customHeight="1" x14ac:dyDescent="0.35">
      <c r="A444" s="15"/>
      <c r="B444" s="16"/>
      <c r="C444" s="16"/>
      <c r="D444" s="16"/>
      <c r="E444" s="16"/>
    </row>
    <row r="445" spans="1:5" ht="14.25" customHeight="1" x14ac:dyDescent="0.35">
      <c r="A445" s="13"/>
      <c r="B445" s="14"/>
      <c r="C445" s="14"/>
      <c r="D445" s="14"/>
      <c r="E445" s="14"/>
    </row>
    <row r="446" spans="1:5" ht="14.25" customHeight="1" x14ac:dyDescent="0.35">
      <c r="A446" s="15"/>
      <c r="B446" s="16"/>
      <c r="C446" s="16"/>
      <c r="D446" s="16"/>
      <c r="E446" s="16"/>
    </row>
    <row r="447" spans="1:5" ht="14.25" customHeight="1" x14ac:dyDescent="0.35">
      <c r="A447" s="13"/>
      <c r="B447" s="14"/>
      <c r="C447" s="14"/>
      <c r="D447" s="14"/>
      <c r="E447" s="14"/>
    </row>
    <row r="448" spans="1:5" ht="14.25" customHeight="1" x14ac:dyDescent="0.35">
      <c r="A448" s="15"/>
      <c r="B448" s="16"/>
      <c r="C448" s="16"/>
      <c r="D448" s="16"/>
      <c r="E448" s="16"/>
    </row>
    <row r="449" spans="1:5" ht="14.25" customHeight="1" x14ac:dyDescent="0.35">
      <c r="A449" s="13"/>
      <c r="B449" s="14"/>
      <c r="C449" s="14"/>
      <c r="D449" s="14"/>
      <c r="E449" s="14"/>
    </row>
    <row r="450" spans="1:5" ht="14.25" customHeight="1" x14ac:dyDescent="0.35">
      <c r="A450" s="15"/>
      <c r="B450" s="16"/>
      <c r="C450" s="16"/>
      <c r="D450" s="16"/>
      <c r="E450" s="16"/>
    </row>
    <row r="451" spans="1:5" ht="14.25" customHeight="1" x14ac:dyDescent="0.35">
      <c r="A451" s="13"/>
      <c r="B451" s="14"/>
      <c r="C451" s="14"/>
      <c r="D451" s="14"/>
      <c r="E451" s="14"/>
    </row>
    <row r="452" spans="1:5" ht="14.25" customHeight="1" x14ac:dyDescent="0.35">
      <c r="A452" s="15"/>
      <c r="B452" s="16"/>
      <c r="C452" s="16"/>
      <c r="D452" s="16"/>
      <c r="E452" s="16"/>
    </row>
    <row r="453" spans="1:5" ht="14.25" customHeight="1" x14ac:dyDescent="0.35">
      <c r="A453" s="13"/>
      <c r="B453" s="14"/>
      <c r="C453" s="14"/>
      <c r="D453" s="14"/>
      <c r="E453" s="14"/>
    </row>
    <row r="454" spans="1:5" ht="14.25" customHeight="1" x14ac:dyDescent="0.35">
      <c r="A454" s="15"/>
      <c r="B454" s="16"/>
      <c r="C454" s="16"/>
      <c r="D454" s="16"/>
      <c r="E454" s="16"/>
    </row>
    <row r="455" spans="1:5" ht="14.25" customHeight="1" x14ac:dyDescent="0.35">
      <c r="A455" s="13"/>
      <c r="B455" s="14"/>
      <c r="C455" s="14"/>
      <c r="D455" s="14"/>
      <c r="E455" s="14"/>
    </row>
    <row r="456" spans="1:5" ht="14.25" customHeight="1" x14ac:dyDescent="0.35">
      <c r="A456" s="15"/>
      <c r="B456" s="16"/>
      <c r="C456" s="16"/>
      <c r="D456" s="16"/>
      <c r="E456" s="16"/>
    </row>
    <row r="457" spans="1:5" ht="14.25" customHeight="1" x14ac:dyDescent="0.35">
      <c r="A457" s="13"/>
      <c r="B457" s="14"/>
      <c r="C457" s="14"/>
      <c r="D457" s="14"/>
      <c r="E457" s="14"/>
    </row>
    <row r="458" spans="1:5" ht="14.25" customHeight="1" x14ac:dyDescent="0.35">
      <c r="A458" s="15"/>
      <c r="B458" s="16"/>
      <c r="C458" s="16"/>
      <c r="D458" s="16"/>
      <c r="E458" s="16"/>
    </row>
    <row r="459" spans="1:5" ht="14.25" customHeight="1" x14ac:dyDescent="0.35">
      <c r="A459" s="13"/>
      <c r="B459" s="14"/>
      <c r="C459" s="14"/>
      <c r="D459" s="14"/>
      <c r="E459" s="14"/>
    </row>
    <row r="460" spans="1:5" ht="14.25" customHeight="1" x14ac:dyDescent="0.35">
      <c r="A460" s="15"/>
      <c r="B460" s="16"/>
      <c r="C460" s="16"/>
      <c r="D460" s="16"/>
      <c r="E460" s="16"/>
    </row>
    <row r="461" spans="1:5" ht="14.25" customHeight="1" x14ac:dyDescent="0.35">
      <c r="A461" s="13"/>
      <c r="B461" s="14"/>
      <c r="C461" s="14"/>
      <c r="D461" s="14"/>
      <c r="E461" s="14"/>
    </row>
    <row r="462" spans="1:5" ht="14.25" customHeight="1" x14ac:dyDescent="0.35">
      <c r="A462" s="15"/>
      <c r="B462" s="16"/>
      <c r="C462" s="16"/>
      <c r="D462" s="16"/>
      <c r="E462" s="16"/>
    </row>
    <row r="463" spans="1:5" ht="14.25" customHeight="1" x14ac:dyDescent="0.35">
      <c r="A463" s="13"/>
      <c r="B463" s="14"/>
      <c r="C463" s="14"/>
      <c r="D463" s="14"/>
      <c r="E463" s="14"/>
    </row>
    <row r="464" spans="1:5" ht="14.25" customHeight="1" x14ac:dyDescent="0.35">
      <c r="A464" s="15"/>
      <c r="B464" s="16"/>
      <c r="C464" s="16"/>
      <c r="D464" s="16"/>
      <c r="E464" s="16"/>
    </row>
    <row r="465" spans="1:5" ht="14.25" customHeight="1" x14ac:dyDescent="0.35">
      <c r="A465" s="13"/>
      <c r="B465" s="14"/>
      <c r="C465" s="14"/>
      <c r="D465" s="14"/>
      <c r="E465" s="14"/>
    </row>
    <row r="466" spans="1:5" ht="14.25" customHeight="1" x14ac:dyDescent="0.35">
      <c r="A466" s="15"/>
      <c r="B466" s="16"/>
      <c r="C466" s="16"/>
      <c r="D466" s="16"/>
      <c r="E466" s="16"/>
    </row>
    <row r="467" spans="1:5" ht="14.25" customHeight="1" x14ac:dyDescent="0.35">
      <c r="A467" s="13"/>
      <c r="B467" s="14"/>
      <c r="C467" s="14"/>
      <c r="D467" s="14"/>
      <c r="E467" s="14"/>
    </row>
    <row r="468" spans="1:5" ht="14.25" customHeight="1" x14ac:dyDescent="0.35">
      <c r="A468" s="15"/>
      <c r="B468" s="16"/>
      <c r="C468" s="16"/>
      <c r="D468" s="16"/>
      <c r="E468" s="16"/>
    </row>
    <row r="469" spans="1:5" ht="14.25" customHeight="1" x14ac:dyDescent="0.35">
      <c r="A469" s="13"/>
      <c r="B469" s="14"/>
      <c r="C469" s="14"/>
      <c r="D469" s="14"/>
      <c r="E469" s="14"/>
    </row>
    <row r="470" spans="1:5" ht="14.25" customHeight="1" x14ac:dyDescent="0.35">
      <c r="A470" s="15"/>
      <c r="B470" s="16"/>
      <c r="C470" s="16"/>
      <c r="D470" s="16"/>
      <c r="E470" s="16"/>
    </row>
    <row r="471" spans="1:5" ht="14.25" customHeight="1" x14ac:dyDescent="0.35">
      <c r="A471" s="13"/>
      <c r="B471" s="14"/>
      <c r="C471" s="14"/>
      <c r="D471" s="14"/>
      <c r="E471" s="14"/>
    </row>
    <row r="472" spans="1:5" ht="14.25" customHeight="1" x14ac:dyDescent="0.35">
      <c r="A472" s="15"/>
      <c r="B472" s="16"/>
      <c r="C472" s="16"/>
      <c r="D472" s="16"/>
      <c r="E472" s="16"/>
    </row>
    <row r="473" spans="1:5" ht="14.25" customHeight="1" x14ac:dyDescent="0.35">
      <c r="A473" s="13"/>
      <c r="B473" s="14"/>
      <c r="C473" s="14"/>
      <c r="D473" s="14"/>
      <c r="E473" s="14"/>
    </row>
    <row r="474" spans="1:5" ht="14.25" customHeight="1" x14ac:dyDescent="0.35">
      <c r="A474" s="15"/>
      <c r="B474" s="16"/>
      <c r="C474" s="16"/>
      <c r="D474" s="16"/>
      <c r="E474" s="16"/>
    </row>
    <row r="475" spans="1:5" ht="14.25" customHeight="1" x14ac:dyDescent="0.35">
      <c r="A475" s="13"/>
      <c r="B475" s="14"/>
      <c r="C475" s="14"/>
      <c r="D475" s="14"/>
      <c r="E475" s="14"/>
    </row>
    <row r="476" spans="1:5" ht="14.25" customHeight="1" x14ac:dyDescent="0.35">
      <c r="A476" s="15"/>
      <c r="B476" s="16"/>
      <c r="C476" s="16"/>
      <c r="D476" s="16"/>
      <c r="E476" s="16"/>
    </row>
    <row r="477" spans="1:5" ht="14.25" customHeight="1" x14ac:dyDescent="0.35">
      <c r="A477" s="13"/>
      <c r="B477" s="14"/>
      <c r="C477" s="14"/>
      <c r="D477" s="14"/>
      <c r="E477" s="14"/>
    </row>
    <row r="478" spans="1:5" ht="14.25" customHeight="1" x14ac:dyDescent="0.35">
      <c r="A478" s="15"/>
      <c r="B478" s="16"/>
      <c r="C478" s="16"/>
      <c r="D478" s="16"/>
      <c r="E478" s="16"/>
    </row>
    <row r="479" spans="1:5" ht="14.25" customHeight="1" x14ac:dyDescent="0.35">
      <c r="A479" s="13"/>
      <c r="B479" s="14"/>
      <c r="C479" s="14"/>
      <c r="D479" s="14"/>
      <c r="E479" s="14"/>
    </row>
    <row r="480" spans="1:5" ht="14.25" customHeight="1" x14ac:dyDescent="0.35">
      <c r="A480" s="15"/>
      <c r="B480" s="16"/>
      <c r="C480" s="16"/>
      <c r="D480" s="16"/>
      <c r="E480" s="16"/>
    </row>
    <row r="481" spans="1:5" ht="14.25" customHeight="1" x14ac:dyDescent="0.35">
      <c r="A481" s="13"/>
      <c r="B481" s="14"/>
      <c r="C481" s="14"/>
      <c r="D481" s="14"/>
      <c r="E481" s="14"/>
    </row>
    <row r="482" spans="1:5" ht="14.25" customHeight="1" x14ac:dyDescent="0.35">
      <c r="A482" s="15"/>
      <c r="B482" s="16"/>
      <c r="C482" s="16"/>
      <c r="D482" s="16"/>
      <c r="E482" s="16"/>
    </row>
    <row r="483" spans="1:5" ht="14.25" customHeight="1" x14ac:dyDescent="0.35">
      <c r="A483" s="13"/>
      <c r="B483" s="14"/>
      <c r="C483" s="14"/>
      <c r="D483" s="14"/>
      <c r="E483" s="14"/>
    </row>
    <row r="484" spans="1:5" ht="14.25" customHeight="1" x14ac:dyDescent="0.35">
      <c r="A484" s="15"/>
      <c r="B484" s="16"/>
      <c r="C484" s="16"/>
      <c r="D484" s="16"/>
      <c r="E484" s="16"/>
    </row>
    <row r="485" spans="1:5" ht="14.25" customHeight="1" x14ac:dyDescent="0.35">
      <c r="A485" s="13"/>
      <c r="B485" s="14"/>
      <c r="C485" s="14"/>
      <c r="D485" s="14"/>
      <c r="E485" s="14"/>
    </row>
    <row r="486" spans="1:5" ht="14.25" customHeight="1" x14ac:dyDescent="0.35">
      <c r="A486" s="15"/>
      <c r="B486" s="16"/>
      <c r="C486" s="16"/>
      <c r="D486" s="16"/>
      <c r="E486" s="16"/>
    </row>
    <row r="487" spans="1:5" ht="14.25" customHeight="1" x14ac:dyDescent="0.35">
      <c r="A487" s="13"/>
      <c r="B487" s="14"/>
      <c r="C487" s="14"/>
      <c r="D487" s="14"/>
      <c r="E487" s="14"/>
    </row>
    <row r="488" spans="1:5" ht="14.25" customHeight="1" x14ac:dyDescent="0.35">
      <c r="A488" s="15"/>
      <c r="B488" s="16"/>
      <c r="C488" s="16"/>
      <c r="D488" s="16"/>
      <c r="E488" s="16"/>
    </row>
    <row r="489" spans="1:5" ht="14.25" customHeight="1" x14ac:dyDescent="0.35">
      <c r="A489" s="13"/>
      <c r="B489" s="14"/>
      <c r="C489" s="14"/>
      <c r="D489" s="14"/>
      <c r="E489" s="14"/>
    </row>
    <row r="490" spans="1:5" ht="14.25" customHeight="1" x14ac:dyDescent="0.35">
      <c r="A490" s="15"/>
      <c r="B490" s="16"/>
      <c r="C490" s="16"/>
      <c r="D490" s="16"/>
      <c r="E490" s="16"/>
    </row>
  </sheetData>
  <conditionalFormatting sqref="B2:B200">
    <cfRule type="cellIs" dxfId="2" priority="1" operator="equal">
      <formula>"Male"</formula>
    </cfRule>
  </conditionalFormatting>
  <conditionalFormatting sqref="B2:B200">
    <cfRule type="cellIs" dxfId="1" priority="2" operator="equal">
      <formula>"Female"</formula>
    </cfRule>
  </conditionalFormatting>
  <conditionalFormatting sqref="B2:B200">
    <cfRule type="cellIs" dxfId="0" priority="3" operator="equal">
      <formula>"Nonbinary"</formula>
    </cfRule>
  </conditionalFormatting>
  <dataValidations count="2">
    <dataValidation type="list" allowBlank="1" showErrorMessage="1" errorTitle="Invalid entry" error="Please enter only ✗ or ✓" promptTitle="Input Required" prompt="Select ✗ or ✓ from the dropdown" sqref="C2:E200" xr:uid="{AEF1802F-0A93-46BF-B429-58403F8AC1D8}">
      <formula1>"✗,✓"</formula1>
    </dataValidation>
    <dataValidation type="list" allowBlank="1" showErrorMessage="1" errorTitle="Invalid entry" error="Please enter a valid gender" promptTitle="Input Required" prompt="Select Male, Female, or Nonbinary from the dropdown" sqref="B2:B200" xr:uid="{EC06DB7A-81CC-48F4-BAF6-5F2E83418525}">
      <formula1>"Male,Female,Nonbinary"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3"/>
  <sheetViews>
    <sheetView topLeftCell="A75" zoomScaleNormal="100" workbookViewId="0">
      <selection activeCell="B51" sqref="B51"/>
    </sheetView>
  </sheetViews>
  <sheetFormatPr defaultColWidth="8.54296875" defaultRowHeight="14.5" x14ac:dyDescent="0.35"/>
  <cols>
    <col min="1" max="1" width="50.7265625" customWidth="1"/>
    <col min="2" max="2" width="25.453125" customWidth="1"/>
    <col min="3" max="3" width="15.453125" customWidth="1"/>
    <col min="4" max="4" width="35.453125" customWidth="1"/>
    <col min="5" max="5" width="45.453125" customWidth="1"/>
  </cols>
  <sheetData>
    <row r="1" spans="1:3" ht="21" customHeight="1" x14ac:dyDescent="0.5">
      <c r="A1" s="17" t="s">
        <v>15</v>
      </c>
    </row>
    <row r="2" spans="1:3" ht="14.25" customHeight="1" x14ac:dyDescent="0.35">
      <c r="A2" s="18" t="s">
        <v>16</v>
      </c>
    </row>
    <row r="4" spans="1:3" ht="16.5" customHeight="1" x14ac:dyDescent="0.4">
      <c r="A4" s="19" t="s">
        <v>17</v>
      </c>
      <c r="B4" s="4"/>
      <c r="C4" s="4"/>
    </row>
    <row r="5" spans="1:3" ht="14.25" customHeight="1" x14ac:dyDescent="0.35">
      <c r="A5" s="20" t="s">
        <v>18</v>
      </c>
      <c r="B5" s="21" t="s">
        <v>19</v>
      </c>
      <c r="C5" s="21" t="s">
        <v>20</v>
      </c>
    </row>
    <row r="6" spans="1:3" ht="14.25" customHeight="1" x14ac:dyDescent="0.35">
      <c r="A6" t="s">
        <v>8</v>
      </c>
      <c r="B6" s="22">
        <f>COUNTA('Mii List'!A2:A200)</f>
        <v>50</v>
      </c>
      <c r="C6" s="22" t="s">
        <v>21</v>
      </c>
    </row>
    <row r="7" spans="1:3" ht="14.25" customHeight="1" x14ac:dyDescent="0.35">
      <c r="A7" t="s">
        <v>22</v>
      </c>
      <c r="B7" s="22">
        <f>COUNTIF('Mii List'!B2:B200,"Male")</f>
        <v>32</v>
      </c>
      <c r="C7" s="23">
        <f>B7/B6</f>
        <v>0.64</v>
      </c>
    </row>
    <row r="8" spans="1:3" ht="14.25" customHeight="1" x14ac:dyDescent="0.35">
      <c r="A8" t="s">
        <v>23</v>
      </c>
      <c r="B8" s="22">
        <f>COUNTIF('Mii List'!B2:B200,"Female")</f>
        <v>16</v>
      </c>
      <c r="C8" s="23">
        <f>B8/B6</f>
        <v>0.32</v>
      </c>
    </row>
    <row r="9" spans="1:3" ht="14.25" customHeight="1" x14ac:dyDescent="0.35">
      <c r="A9" t="s">
        <v>24</v>
      </c>
      <c r="B9" s="22">
        <f>COUNTIF('Mii List'!B2:B200,"Nonbinary")</f>
        <v>2</v>
      </c>
      <c r="C9" s="23">
        <f>B9/B6</f>
        <v>0.04</v>
      </c>
    </row>
    <row r="11" spans="1:3" ht="16.5" customHeight="1" x14ac:dyDescent="0.4">
      <c r="A11" s="19" t="s">
        <v>25</v>
      </c>
      <c r="B11" s="4"/>
      <c r="C11" s="4"/>
    </row>
    <row r="12" spans="1:3" ht="14.25" customHeight="1" x14ac:dyDescent="0.35">
      <c r="A12" s="20" t="s">
        <v>26</v>
      </c>
      <c r="B12" s="21" t="s">
        <v>19</v>
      </c>
      <c r="C12" s="21" t="s">
        <v>20</v>
      </c>
    </row>
    <row r="13" spans="1:3" ht="14.25" customHeight="1" x14ac:dyDescent="0.35">
      <c r="A13" t="s">
        <v>27</v>
      </c>
      <c r="B13" s="22">
        <f>SUM('Matching Engine'!F2:F201)</f>
        <v>33</v>
      </c>
      <c r="C13" s="23">
        <f>B13/B6</f>
        <v>0.66</v>
      </c>
    </row>
    <row r="14" spans="1:3" ht="14.25" customHeight="1" x14ac:dyDescent="0.35">
      <c r="A14" t="s">
        <v>28</v>
      </c>
      <c r="B14" s="22">
        <f>SUM('Matching Engine'!G2:G201)</f>
        <v>39</v>
      </c>
      <c r="C14" s="23">
        <f>B14/B6</f>
        <v>0.78</v>
      </c>
    </row>
    <row r="15" spans="1:3" ht="14.25" customHeight="1" x14ac:dyDescent="0.35">
      <c r="A15" t="s">
        <v>29</v>
      </c>
      <c r="B15" s="22">
        <f>SUM('Matching Engine'!H2:H201)</f>
        <v>24</v>
      </c>
      <c r="C15" s="23">
        <f>B15/B6</f>
        <v>0.48</v>
      </c>
    </row>
    <row r="16" spans="1:3" ht="14.25" customHeight="1" x14ac:dyDescent="0.35">
      <c r="A16" s="24" t="s">
        <v>30</v>
      </c>
      <c r="B16" s="25">
        <f t="array" ref="B16">SUMPRODUCT(('Matching Engine'!A2:A201&lt;&gt;"")*('Matching Engine'!F2:F201=0)*('Matching Engine'!G2:G201=0)*('Matching Engine'!H2:H201=0))</f>
        <v>1</v>
      </c>
      <c r="C16" s="26">
        <f>B16/B6</f>
        <v>0.02</v>
      </c>
    </row>
    <row r="18" spans="1:5" ht="16.5" customHeight="1" x14ac:dyDescent="0.4">
      <c r="A18" s="19" t="s">
        <v>31</v>
      </c>
      <c r="B18" s="4"/>
      <c r="C18" s="4"/>
      <c r="D18" s="4"/>
    </row>
    <row r="19" spans="1:5" ht="14.25" customHeight="1" x14ac:dyDescent="0.35">
      <c r="A19" s="20" t="s">
        <v>32</v>
      </c>
      <c r="B19" s="21" t="s">
        <v>33</v>
      </c>
      <c r="C19" s="21" t="s">
        <v>34</v>
      </c>
      <c r="D19" s="21" t="s">
        <v>89</v>
      </c>
    </row>
    <row r="20" spans="1:5" ht="14.25" customHeight="1" x14ac:dyDescent="0.35">
      <c r="A20" s="27" t="s">
        <v>35</v>
      </c>
      <c r="B20" s="28">
        <f>SUMPRODUCT(('Matching Engine'!I2:I201=1)*('Matching Engine'!F2:F201=0)*('Matching Engine'!G2:G201=0)*('Matching Engine'!H2:H201=0))</f>
        <v>0</v>
      </c>
      <c r="C20" s="28">
        <v>0</v>
      </c>
      <c r="D20" s="28">
        <f t="shared" ref="D20:D43" si="0">MAX(0,B20-C20)</f>
        <v>0</v>
      </c>
      <c r="E20" s="27"/>
    </row>
    <row r="21" spans="1:5" ht="14.25" customHeight="1" x14ac:dyDescent="0.35">
      <c r="A21" s="27" t="s">
        <v>36</v>
      </c>
      <c r="B21" s="28">
        <f>SUMPRODUCT(('Matching Engine'!I2:I201=1)*('Matching Engine'!F2:F201=0)*('Matching Engine'!G2:G201=0)*('Matching Engine'!H2:H201=1))</f>
        <v>0</v>
      </c>
      <c r="C21" s="28">
        <f>SUMPRODUCT(('Matching Engine'!K2:K201=1)*('Matching Engine'!F2:F201=1))</f>
        <v>1</v>
      </c>
      <c r="D21" s="28">
        <f t="shared" si="0"/>
        <v>0</v>
      </c>
      <c r="E21" s="27"/>
    </row>
    <row r="22" spans="1:5" ht="14.25" customHeight="1" x14ac:dyDescent="0.35">
      <c r="A22" s="27" t="s">
        <v>37</v>
      </c>
      <c r="B22" s="28">
        <f>SUMPRODUCT(('Matching Engine'!I2:I201=1)*('Matching Engine'!F2:F201=0)*('Matching Engine'!G2:G201=1)*('Matching Engine'!H2:H201=0))</f>
        <v>13</v>
      </c>
      <c r="C22" s="28">
        <f>SUMPRODUCT(('Matching Engine'!J2:J201=1)*('Matching Engine'!F2:F201=1))</f>
        <v>14</v>
      </c>
      <c r="D22" s="28">
        <f t="shared" si="0"/>
        <v>0</v>
      </c>
      <c r="E22" s="27"/>
    </row>
    <row r="23" spans="1:5" ht="14.25" customHeight="1" x14ac:dyDescent="0.35">
      <c r="A23" s="27" t="s">
        <v>38</v>
      </c>
      <c r="B23" s="28">
        <f>SUMPRODUCT(('Matching Engine'!I2:I201=1)*('Matching Engine'!F2:F201=0)*('Matching Engine'!G2:G201=1)*('Matching Engine'!H2:H201=1))</f>
        <v>1</v>
      </c>
      <c r="C23" s="28">
        <f>SUMPRODUCT(('Matching Engine'!J2:J201=1)*('Matching Engine'!F2:F201=1))+SUMPRODUCT(('Matching Engine'!K2:K201=1)*('Matching Engine'!F2:F201=1))</f>
        <v>15</v>
      </c>
      <c r="D23" s="28">
        <f t="shared" si="0"/>
        <v>0</v>
      </c>
      <c r="E23" s="27"/>
    </row>
    <row r="24" spans="1:5" ht="14.25" customHeight="1" x14ac:dyDescent="0.35">
      <c r="A24" s="27" t="s">
        <v>39</v>
      </c>
      <c r="B24" s="28">
        <f>SUMPRODUCT(('Matching Engine'!I2:I201=1)*('Matching Engine'!F2:F201=1)*('Matching Engine'!G2:G201=0)*('Matching Engine'!H2:H201=0))</f>
        <v>5</v>
      </c>
      <c r="C24" s="28">
        <f>SUMPRODUCT(('Matching Engine'!I2:I201=1)*('Matching Engine'!F2:F201=1))</f>
        <v>18</v>
      </c>
      <c r="D24" s="28">
        <f t="shared" si="0"/>
        <v>0</v>
      </c>
      <c r="E24" s="27"/>
    </row>
    <row r="25" spans="1:5" ht="14.25" customHeight="1" x14ac:dyDescent="0.35">
      <c r="A25" s="27" t="s">
        <v>40</v>
      </c>
      <c r="B25" s="28">
        <f>SUMPRODUCT(('Matching Engine'!I2:I201=1)*('Matching Engine'!F2:F201=1)*('Matching Engine'!G2:G201=0)*('Matching Engine'!H2:H201=1))</f>
        <v>1</v>
      </c>
      <c r="C25" s="28">
        <f>SUMPRODUCT(('Matching Engine'!I2:I201=1)*('Matching Engine'!F2:F201=1))+SUMPRODUCT(('Matching Engine'!K2:K201=1)*('Matching Engine'!F2:F201=1))</f>
        <v>19</v>
      </c>
      <c r="D25" s="28">
        <f t="shared" si="0"/>
        <v>0</v>
      </c>
      <c r="E25" s="27"/>
    </row>
    <row r="26" spans="1:5" ht="14.25" customHeight="1" x14ac:dyDescent="0.35">
      <c r="A26" s="27" t="s">
        <v>41</v>
      </c>
      <c r="B26" s="28">
        <f>SUMPRODUCT(('Matching Engine'!I2:I201=1)*('Matching Engine'!F2:F201=1)*('Matching Engine'!G2:G201=1)*('Matching Engine'!H2:H201=0))</f>
        <v>0</v>
      </c>
      <c r="C26" s="28">
        <f>SUMPRODUCT(('Matching Engine'!I2:I201=1)*('Matching Engine'!F2:F201=1))+SUMPRODUCT(('Matching Engine'!J2:J201=1)*('Matching Engine'!F2:F201=1))</f>
        <v>32</v>
      </c>
      <c r="D26" s="28">
        <f t="shared" si="0"/>
        <v>0</v>
      </c>
      <c r="E26" s="27"/>
    </row>
    <row r="27" spans="1:5" ht="14.25" customHeight="1" x14ac:dyDescent="0.35">
      <c r="A27" s="27" t="s">
        <v>42</v>
      </c>
      <c r="B27" s="28">
        <f>SUMPRODUCT(('Matching Engine'!I2:I201=1)*('Matching Engine'!F2:F201=1)*('Matching Engine'!G2:G201=1)*('Matching Engine'!H2:H201=1))</f>
        <v>12</v>
      </c>
      <c r="C27" s="28">
        <f>SUMPRODUCT(('Matching Engine'!I2:I201=1)*('Matching Engine'!F2:F201=1))+SUMPRODUCT(('Matching Engine'!J2:J201=1)*('Matching Engine'!F2:F201=1))+SUMPRODUCT(('Matching Engine'!K2:K201=1)*('Matching Engine'!F2:F201=1))</f>
        <v>33</v>
      </c>
      <c r="D27" s="28">
        <f t="shared" si="0"/>
        <v>0</v>
      </c>
      <c r="E27" s="27"/>
    </row>
    <row r="28" spans="1:5" ht="14.25" customHeight="1" x14ac:dyDescent="0.35">
      <c r="A28" s="27" t="s">
        <v>43</v>
      </c>
      <c r="B28" s="28">
        <f>SUMPRODUCT(('Matching Engine'!J2:J201=1)*('Matching Engine'!F2:F201=0)*('Matching Engine'!G2:G201=0)*('Matching Engine'!H2:H201=0))</f>
        <v>0</v>
      </c>
      <c r="C28" s="28">
        <v>0</v>
      </c>
      <c r="D28" s="28">
        <f t="shared" si="0"/>
        <v>0</v>
      </c>
      <c r="E28" s="27"/>
    </row>
    <row r="29" spans="1:5" ht="16.5" customHeight="1" x14ac:dyDescent="0.35">
      <c r="A29" s="27" t="s">
        <v>44</v>
      </c>
      <c r="B29" s="28">
        <f>SUMPRODUCT(('Matching Engine'!J2:J201=1)*('Matching Engine'!F2:F201=0)*('Matching Engine'!G2:G201=0)*('Matching Engine'!H2:H201=1))</f>
        <v>0</v>
      </c>
      <c r="C29" s="28">
        <f>SUMPRODUCT(('Matching Engine'!K2:K201=1)*('Matching Engine'!G2:G201=1))</f>
        <v>1</v>
      </c>
      <c r="D29" s="28">
        <f t="shared" si="0"/>
        <v>0</v>
      </c>
      <c r="E29" s="27"/>
    </row>
    <row r="30" spans="1:5" ht="14.25" customHeight="1" x14ac:dyDescent="0.35">
      <c r="A30" s="27" t="s">
        <v>45</v>
      </c>
      <c r="B30" s="28">
        <f>SUMPRODUCT(('Matching Engine'!J2:J201=1)*('Matching Engine'!F2:F201=0)*('Matching Engine'!G2:G201=1)*('Matching Engine'!H2:H201=0))</f>
        <v>2</v>
      </c>
      <c r="C30" s="28">
        <f>SUMPRODUCT(('Matching Engine'!J2:J201=1)*('Matching Engine'!G2:G201=1))</f>
        <v>12</v>
      </c>
      <c r="D30" s="28">
        <f t="shared" si="0"/>
        <v>0</v>
      </c>
      <c r="E30" s="27"/>
    </row>
    <row r="31" spans="1:5" ht="14.25" customHeight="1" x14ac:dyDescent="0.35">
      <c r="A31" s="27" t="s">
        <v>46</v>
      </c>
      <c r="B31" s="28">
        <f>SUMPRODUCT(('Matching Engine'!J2:J201=1)*('Matching Engine'!F2:F201=0)*('Matching Engine'!G2:G201=1)*('Matching Engine'!H2:H201=1))</f>
        <v>0</v>
      </c>
      <c r="C31" s="28">
        <f>SUMPRODUCT(('Matching Engine'!J2:J201=1)*('Matching Engine'!G2:G201=1))+SUMPRODUCT(('Matching Engine'!K2:K201=1)*('Matching Engine'!G2:G201=1))</f>
        <v>13</v>
      </c>
      <c r="D31" s="28">
        <f t="shared" si="0"/>
        <v>0</v>
      </c>
      <c r="E31" s="27"/>
    </row>
    <row r="32" spans="1:5" ht="14.25" customHeight="1" x14ac:dyDescent="0.35">
      <c r="A32" s="27" t="s">
        <v>47</v>
      </c>
      <c r="B32" s="28">
        <f>SUMPRODUCT(('Matching Engine'!J2:J201=1)*('Matching Engine'!F2:F201=1)*('Matching Engine'!G2:G201=0)*('Matching Engine'!H2:H201=0))</f>
        <v>4</v>
      </c>
      <c r="C32" s="28">
        <f>SUMPRODUCT(('Matching Engine'!I2:I201=1)*('Matching Engine'!G2:G201=1))</f>
        <v>26</v>
      </c>
      <c r="D32" s="28">
        <f t="shared" si="0"/>
        <v>0</v>
      </c>
      <c r="E32" s="27"/>
    </row>
    <row r="33" spans="1:5" ht="14.25" customHeight="1" x14ac:dyDescent="0.35">
      <c r="A33" s="27" t="s">
        <v>48</v>
      </c>
      <c r="B33" s="28">
        <f>SUMPRODUCT(('Matching Engine'!J2:J201=1)*('Matching Engine'!F2:F201=1)*('Matching Engine'!G2:G201=0)*('Matching Engine'!H2:H201=1))</f>
        <v>0</v>
      </c>
      <c r="C33" s="28">
        <f>SUMPRODUCT(('Matching Engine'!I2:I201=1)*('Matching Engine'!G2:G201=1))+SUMPRODUCT(('Matching Engine'!K2:K201=1)*('Matching Engine'!G2:G201=1))</f>
        <v>27</v>
      </c>
      <c r="D33" s="28">
        <f t="shared" si="0"/>
        <v>0</v>
      </c>
      <c r="E33" s="27"/>
    </row>
    <row r="34" spans="1:5" ht="16.5" customHeight="1" x14ac:dyDescent="0.35">
      <c r="A34" s="27" t="s">
        <v>49</v>
      </c>
      <c r="B34" s="28">
        <f>SUMPRODUCT(('Matching Engine'!J2:J201=1)*('Matching Engine'!F2:F201=1)*('Matching Engine'!G2:G201=1)*('Matching Engine'!H2:H201=0))</f>
        <v>1</v>
      </c>
      <c r="C34" s="28">
        <f>SUMPRODUCT(('Matching Engine'!I2:I201=1)*('Matching Engine'!G2:G201=1))+SUMPRODUCT(('Matching Engine'!J2:J201=1)*('Matching Engine'!G2:G201=1))</f>
        <v>38</v>
      </c>
      <c r="D34" s="28">
        <f t="shared" si="0"/>
        <v>0</v>
      </c>
      <c r="E34" s="27"/>
    </row>
    <row r="35" spans="1:5" ht="14.25" customHeight="1" x14ac:dyDescent="0.35">
      <c r="A35" s="27" t="s">
        <v>50</v>
      </c>
      <c r="B35" s="28">
        <f>SUMPRODUCT(('Matching Engine'!J2:J201=1)*('Matching Engine'!F2:F201=1)*('Matching Engine'!G2:G201=1)*('Matching Engine'!H2:H201=1))</f>
        <v>9</v>
      </c>
      <c r="C35" s="28">
        <f>SUMPRODUCT(('Matching Engine'!I2:I201=1)*('Matching Engine'!G2:G201=1))+SUMPRODUCT(('Matching Engine'!J2:J201=1)*('Matching Engine'!G2:G201=1))+SUMPRODUCT(('Matching Engine'!K2:K201=1)*('Matching Engine'!G2:G201=1))</f>
        <v>39</v>
      </c>
      <c r="D35" s="28">
        <f t="shared" si="0"/>
        <v>0</v>
      </c>
      <c r="E35" s="27"/>
    </row>
    <row r="36" spans="1:5" ht="14.25" customHeight="1" x14ac:dyDescent="0.35">
      <c r="A36" s="27" t="s">
        <v>51</v>
      </c>
      <c r="B36" s="28">
        <f>SUMPRODUCT(('Matching Engine'!K2:K201=1)*('Matching Engine'!F2:F201=0)*('Matching Engine'!G2:G201=0)*('Matching Engine'!H2:H201=0))</f>
        <v>1</v>
      </c>
      <c r="C36" s="28">
        <v>0</v>
      </c>
      <c r="D36" s="28">
        <f t="shared" si="0"/>
        <v>1</v>
      </c>
      <c r="E36" s="27"/>
    </row>
    <row r="37" spans="1:5" ht="14.25" customHeight="1" x14ac:dyDescent="0.35">
      <c r="A37" s="27" t="s">
        <v>52</v>
      </c>
      <c r="B37" s="28">
        <f>SUMPRODUCT(('Matching Engine'!K2:K201=1)*('Matching Engine'!F2:F201=0)*('Matching Engine'!G2:G201=0)*('Matching Engine'!H2:H201=1))</f>
        <v>0</v>
      </c>
      <c r="C37" s="28">
        <f>SUMPRODUCT(('Matching Engine'!K2:K201=1)*('Matching Engine'!H2:H201=1))</f>
        <v>1</v>
      </c>
      <c r="D37" s="28">
        <f t="shared" si="0"/>
        <v>0</v>
      </c>
      <c r="E37" s="27"/>
    </row>
    <row r="38" spans="1:5" ht="16.5" customHeight="1" x14ac:dyDescent="0.35">
      <c r="A38" s="27" t="s">
        <v>53</v>
      </c>
      <c r="B38" s="28">
        <f>SUMPRODUCT(('Matching Engine'!K2:K201=1)*('Matching Engine'!F2:F201=0)*('Matching Engine'!G2:G201=1)*('Matching Engine'!H2:H201=0))</f>
        <v>0</v>
      </c>
      <c r="C38" s="28">
        <f>SUMPRODUCT(('Matching Engine'!J2:J201=1)*('Matching Engine'!H2:H201=1))</f>
        <v>9</v>
      </c>
      <c r="D38" s="28">
        <f t="shared" si="0"/>
        <v>0</v>
      </c>
      <c r="E38" s="27"/>
    </row>
    <row r="39" spans="1:5" ht="14.25" customHeight="1" x14ac:dyDescent="0.35">
      <c r="A39" s="27" t="s">
        <v>54</v>
      </c>
      <c r="B39" s="28">
        <f>SUMPRODUCT(('Matching Engine'!K2:K201=1)*('Matching Engine'!F2:F201=0)*('Matching Engine'!G2:G201=1)*('Matching Engine'!H2:H201=1))</f>
        <v>0</v>
      </c>
      <c r="C39" s="28">
        <f>SUMPRODUCT(('Matching Engine'!J2:J201=1)*('Matching Engine'!H2:H201=1))+SUMPRODUCT(('Matching Engine'!K2:K201=1)*('Matching Engine'!H2:H201=1))</f>
        <v>10</v>
      </c>
      <c r="D39" s="28">
        <f t="shared" si="0"/>
        <v>0</v>
      </c>
      <c r="E39" s="27"/>
    </row>
    <row r="40" spans="1:5" ht="14.25" customHeight="1" x14ac:dyDescent="0.35">
      <c r="A40" s="27" t="s">
        <v>55</v>
      </c>
      <c r="B40" s="28">
        <f>SUMPRODUCT(('Matching Engine'!K2:K201=1)*('Matching Engine'!F2:F201=1)*('Matching Engine'!G2:G201=0)*('Matching Engine'!H2:H201=0))</f>
        <v>0</v>
      </c>
      <c r="C40" s="28">
        <f>SUMPRODUCT(('Matching Engine'!I2:I201=1)*('Matching Engine'!H2:H201=1))</f>
        <v>14</v>
      </c>
      <c r="D40" s="28">
        <f t="shared" si="0"/>
        <v>0</v>
      </c>
      <c r="E40" s="27"/>
    </row>
    <row r="41" spans="1:5" ht="14.25" customHeight="1" x14ac:dyDescent="0.35">
      <c r="A41" s="27" t="s">
        <v>56</v>
      </c>
      <c r="B41" s="28">
        <f>SUMPRODUCT(('Matching Engine'!K2:K201=1)*('Matching Engine'!F2:F201=1)*('Matching Engine'!G2:G201=0)*('Matching Engine'!H2:H201=1))</f>
        <v>0</v>
      </c>
      <c r="C41" s="28">
        <f>SUMPRODUCT(('Matching Engine'!I2:I201=1)*('Matching Engine'!H2:H201=1))+SUMPRODUCT(('Matching Engine'!K2:K201=1)*('Matching Engine'!H2:H201=1))</f>
        <v>15</v>
      </c>
      <c r="D41" s="28">
        <f t="shared" si="0"/>
        <v>0</v>
      </c>
      <c r="E41" s="27"/>
    </row>
    <row r="42" spans="1:5" ht="14.25" customHeight="1" x14ac:dyDescent="0.35">
      <c r="A42" s="27" t="s">
        <v>57</v>
      </c>
      <c r="B42" s="28">
        <f>SUMPRODUCT(('Matching Engine'!K2:K201=1)*('Matching Engine'!F2:F201=1)*('Matching Engine'!G2:G201=1)*('Matching Engine'!H2:H201=0))</f>
        <v>0</v>
      </c>
      <c r="C42" s="28">
        <f>SUMPRODUCT(('Matching Engine'!I2:I201=1)*('Matching Engine'!H2:H201=1))+SUMPRODUCT(('Matching Engine'!J2:J201=1)*('Matching Engine'!H2:H201=1))</f>
        <v>23</v>
      </c>
      <c r="D42" s="28">
        <f t="shared" si="0"/>
        <v>0</v>
      </c>
      <c r="E42" s="27"/>
    </row>
    <row r="43" spans="1:5" ht="14.25" customHeight="1" x14ac:dyDescent="0.35">
      <c r="A43" s="27" t="s">
        <v>58</v>
      </c>
      <c r="B43" s="28">
        <f>SUMPRODUCT(('Matching Engine'!K2:K201=1)*('Matching Engine'!F2:F201=1)*('Matching Engine'!G2:G201=1)*('Matching Engine'!H2:H201=1))</f>
        <v>1</v>
      </c>
      <c r="C43" s="28">
        <f>SUMPRODUCT(('Matching Engine'!I2:I201=1)*('Matching Engine'!H2:H201=1))+SUMPRODUCT(('Matching Engine'!J2:J201=1)*('Matching Engine'!H2:H201=1))+SUMPRODUCT(('Matching Engine'!K2:K201=1)*('Matching Engine'!H2:H201=1))</f>
        <v>24</v>
      </c>
      <c r="D43" s="28">
        <f t="shared" si="0"/>
        <v>0</v>
      </c>
      <c r="E43" s="27"/>
    </row>
    <row r="44" spans="1:5" ht="14.25" customHeight="1" x14ac:dyDescent="0.35">
      <c r="B44" s="22"/>
      <c r="C44" s="22"/>
      <c r="D44" s="22"/>
    </row>
    <row r="46" spans="1:5" ht="15.75" customHeight="1" x14ac:dyDescent="0.4">
      <c r="A46" s="33" t="s">
        <v>59</v>
      </c>
      <c r="B46" s="34"/>
      <c r="C46" s="34"/>
      <c r="D46" s="29"/>
    </row>
    <row r="47" spans="1:5" ht="14.25" customHeight="1" x14ac:dyDescent="0.35">
      <c r="A47" s="35" t="s">
        <v>60</v>
      </c>
      <c r="B47" s="36" t="s">
        <v>61</v>
      </c>
      <c r="C47" s="35" t="s">
        <v>62</v>
      </c>
      <c r="D47" s="30"/>
    </row>
    <row r="48" spans="1:5" ht="14.25" customHeight="1" x14ac:dyDescent="0.35">
      <c r="A48" s="37" t="s">
        <v>63</v>
      </c>
      <c r="B48" s="38">
        <f>SUMPRODUCT(('Matching Engine'!A2:A201&lt;&gt;"")*('Matching Engine'!L2:L201=0))</f>
        <v>1</v>
      </c>
      <c r="C48" s="39" t="s">
        <v>64</v>
      </c>
    </row>
    <row r="49" spans="1:5" ht="14.25" customHeight="1" x14ac:dyDescent="0.35">
      <c r="A49" s="39" t="s">
        <v>65</v>
      </c>
      <c r="B49" s="40">
        <f>SUM(D21:D27,D29:D35,D37:D43)</f>
        <v>0</v>
      </c>
      <c r="C49" s="39" t="s">
        <v>66</v>
      </c>
    </row>
    <row r="50" spans="1:5" ht="14.25" customHeight="1" x14ac:dyDescent="0.35">
      <c r="A50" s="39" t="s">
        <v>67</v>
      </c>
      <c r="B50" s="40">
        <f>IF(MOD(B6-B48-B49,2)=1,1,0)</f>
        <v>1</v>
      </c>
      <c r="C50" s="39" t="s">
        <v>68</v>
      </c>
    </row>
    <row r="51" spans="1:5" ht="16.5" customHeight="1" x14ac:dyDescent="0.45">
      <c r="A51" s="41" t="s">
        <v>69</v>
      </c>
      <c r="B51" s="42">
        <f>B48+B49+B50</f>
        <v>2</v>
      </c>
      <c r="C51" s="39" t="s">
        <v>70</v>
      </c>
    </row>
    <row r="52" spans="1:5" ht="14.25" customHeight="1" x14ac:dyDescent="0.35">
      <c r="A52" s="39" t="s">
        <v>91</v>
      </c>
      <c r="B52" s="40">
        <f>INT((B6-B51)/2)</f>
        <v>24</v>
      </c>
      <c r="C52" s="39" t="s">
        <v>71</v>
      </c>
    </row>
    <row r="53" spans="1:5" ht="14.25" customHeight="1" x14ac:dyDescent="0.35">
      <c r="A53" s="39" t="s">
        <v>90</v>
      </c>
      <c r="B53" s="47">
        <f>(B6-B51)/B6</f>
        <v>0.96</v>
      </c>
      <c r="C53" s="39" t="s">
        <v>72</v>
      </c>
    </row>
    <row r="54" spans="1:5" ht="14.25" customHeight="1" x14ac:dyDescent="0.35">
      <c r="A54" s="39" t="s">
        <v>97</v>
      </c>
      <c r="B54" s="43" cm="1">
        <f t="array" aca="1" ref="B54" ca="1">_xlfn.LET(_xlpm.a,'Matching Engine'!N2:N51,_xlpm.b,'Matching Engine'!L2:L51,_xlpm.c,B6,_xlpm.s,'Matching Engine'!P2:P51,_xlpm.d,_xlpm.c/2,_xlpm.e,SUMPRODUCT(IF(_xlpm.b=0,1,EXP(-(_xlpm.a+_xlpm.b*_xlpm.s*_xlpm.d/_xlpm.c)))),_xlpm.f,(_xlpm.e+_xlpm.d)/2,_xlpm.g,SUMPRODUCT(IF(_xlpm.b=0,1,EXP(-(_xlpm.a+_xlpm.b*_xlpm.s*_xlpm.f/_xlpm.c)))),_xlpm.h,(_xlpm.g+_xlpm.f)/2,_xlpm.i,SUMPRODUCT(IF(_xlpm.b=0,1,EXP(-(_xlpm.a+_xlpm.b*_xlpm.s*_xlpm.h/_xlpm.c)))),_xlpm.j,(_xlpm.i+_xlpm.h)/2,_xlpm.k,SUMPRODUCT(IF(_xlpm.b=0,1,EXP(-(_xlpm.a+_xlpm.b*_xlpm.s*_xlpm.j/_xlpm.c)))),_xlpm.l,(_xlpm.k+_xlpm.j)/2,_xlpm.m,SUMPRODUCT(IF(_xlpm.b=0,1,EXP(-(_xlpm.a+_xlpm.b*_xlpm.s*_xlpm.l/_xlpm.c)))),_xlpm.n,(_xlpm.m+_xlpm.l)/2,(_xlpm.c-_xlpm.n)/2)</f>
        <v>21.555298788499762</v>
      </c>
      <c r="C54" s="39" t="s">
        <v>377</v>
      </c>
    </row>
    <row r="55" spans="1:5" ht="14.25" customHeight="1" x14ac:dyDescent="0.35">
      <c r="A55" s="39" t="s">
        <v>92</v>
      </c>
      <c r="B55" s="47">
        <f ca="1">B54*2/B6</f>
        <v>0.86221195153999053</v>
      </c>
      <c r="C55" s="39" t="s">
        <v>94</v>
      </c>
    </row>
    <row r="57" spans="1:5" ht="15.75" customHeight="1" x14ac:dyDescent="0.4">
      <c r="A57" s="19" t="s">
        <v>73</v>
      </c>
      <c r="B57" s="4"/>
      <c r="C57" s="4"/>
      <c r="D57" s="4"/>
      <c r="E57" s="4"/>
    </row>
    <row r="58" spans="1:5" ht="14.25" customHeight="1" x14ac:dyDescent="0.35">
      <c r="A58" s="20" t="s">
        <v>0</v>
      </c>
      <c r="B58" s="21" t="s">
        <v>1</v>
      </c>
      <c r="C58" s="21" t="s">
        <v>74</v>
      </c>
      <c r="D58" s="21" t="s">
        <v>88</v>
      </c>
      <c r="E58" s="21" t="s">
        <v>76</v>
      </c>
    </row>
    <row r="59" spans="1:5" ht="14.25" customHeight="1" x14ac:dyDescent="0.35">
      <c r="A59" t="str" cm="1">
        <f t="array" ref="A59">IFERROR(INDEX('Matching Engine'!A$2:A$201,SMALL(IF('Matching Engine'!L$2:L$201=0,ROW('Matching Engine'!A$2:A$201)-ROW('Matching Engine'!A$2)+1),ROW()-ROW($A$59)+1)),"")</f>
        <v>Nny</v>
      </c>
      <c r="B59" s="22" t="str">
        <f>IF(A59="","",INDEX('Matching Engine'!B$2:B$201,MATCH(A59,'Matching Engine'!A$2:A$201,0)))</f>
        <v>Nonbinary</v>
      </c>
      <c r="C59" s="22" t="str">
        <f>IF(A59="","",IF(AND(INDEX('Matching Engine'!F$2:F$201,MATCH(A59,'Matching Engine'!A$2:A$201,0))=0,INDEX('Matching Engine'!G$2:G$201,MATCH(A59,'Matching Engine'!A$2:A$201,0))=0,INDEX('Matching Engine'!H$2:H$201,MATCH(A59,'Matching Engine'!A$2:A$201,0))=0),"None",IF(INDEX('Matching Engine'!F$2:F$201,MATCH(A59,'Matching Engine'!A$2:A$201,0))=1,"♂ ","")&amp;IF(INDEX('Matching Engine'!G$2:G$201,MATCH(A59,'Matching Engine'!A$2:A$201,0))=1,"♀ ","")&amp;IF(INDEX('Matching Engine'!H$2:H$201,MATCH(A59,'Matching Engine'!A$2:A$201,0))=1,"⚧","")))</f>
        <v>None</v>
      </c>
      <c r="D59" s="22">
        <f>IF(A59="","",INDEX('Matching Engine'!L$2:L$201,MATCH(A59,'Matching Engine'!A$2:A$201,0)))</f>
        <v>0</v>
      </c>
      <c r="E59" t="str">
        <f>IF(A59="","",IF(AND(INDEX('Matching Engine'!F$2:F$201,MATCH(A59,'Matching Engine'!A$2:A$201,0))=0,INDEX('Matching Engine'!G$2:G$201,MATCH(A59,'Matching Engine'!A$2:A$201,0))=0,INDEX('Matching Engine'!H$2:H$201,MATCH(A59,'Matching Engine'!A$2:A$201,0))=0),"Attracted to nobody","No reciprocal matches"))</f>
        <v>Attracted to nobody</v>
      </c>
    </row>
    <row r="60" spans="1:5" ht="14.25" customHeight="1" x14ac:dyDescent="0.35">
      <c r="A60" t="str" cm="1">
        <f t="array" ref="A60">IFERROR(INDEX('Matching Engine'!A$2:A$201,SMALL(IF('Matching Engine'!L$2:L$201=0,ROW('Matching Engine'!A$2:A$201)-ROW('Matching Engine'!A$2)+1),ROW()-ROW($A$59)+1)),"")</f>
        <v/>
      </c>
      <c r="B60" s="22" t="str">
        <f>IF(A60="","",INDEX('Matching Engine'!B$2:B$201,MATCH(A60,'Matching Engine'!A$2:A$201,0)))</f>
        <v/>
      </c>
      <c r="C60" s="22" t="str">
        <f>IF(A60="","",IF(AND(INDEX('Matching Engine'!F$2:F$201,MATCH(A60,'Matching Engine'!A$2:A$201,0))=0,INDEX('Matching Engine'!G$2:G$201,MATCH(A60,'Matching Engine'!A$2:A$201,0))=0,INDEX('Matching Engine'!H$2:H$201,MATCH(A60,'Matching Engine'!A$2:A$201,0))=0),"None",IF(INDEX('Matching Engine'!F$2:F$201,MATCH(A60,'Matching Engine'!A$2:A$201,0))=1,"♂ ","")&amp;IF(INDEX('Matching Engine'!G$2:G$201,MATCH(A60,'Matching Engine'!A$2:A$201,0))=1,"♀ ","")&amp;IF(INDEX('Matching Engine'!H$2:H$201,MATCH(A60,'Matching Engine'!A$2:A$201,0))=1,"⚧","")))</f>
        <v/>
      </c>
      <c r="D60" s="22" t="str">
        <f>IF(A60="","",INDEX('Matching Engine'!L$2:L$201,MATCH(A60,'Matching Engine'!A$2:A$201,0)))</f>
        <v/>
      </c>
      <c r="E60" t="str">
        <f>IF(A60="","",IF(AND(INDEX('Matching Engine'!F$2:F$201,MATCH(A60,'Matching Engine'!A$2:A$201,0))=0,INDEX('Matching Engine'!G$2:G$201,MATCH(A60,'Matching Engine'!A$2:A$201,0))=0,INDEX('Matching Engine'!H$2:H$201,MATCH(A60,'Matching Engine'!A$2:A$201,0))=0),"Attracted to nobody","No reciprocal matches"))</f>
        <v/>
      </c>
    </row>
    <row r="61" spans="1:5" ht="14.25" customHeight="1" x14ac:dyDescent="0.35">
      <c r="A61" t="str" cm="1">
        <f t="array" ref="A61">IFERROR(INDEX('Matching Engine'!A$2:A$201,SMALL(IF('Matching Engine'!L$2:L$201=0,ROW('Matching Engine'!A$2:A$201)-ROW('Matching Engine'!A$2)+1),ROW()-ROW($A$59)+1)),"")</f>
        <v/>
      </c>
      <c r="B61" s="22" t="str">
        <f>IF(A61="","",INDEX('Matching Engine'!B$2:B$201,MATCH(A61,'Matching Engine'!A$2:A$201,0)))</f>
        <v/>
      </c>
      <c r="C61" s="22" t="str">
        <f>IF(A61="","",IF(AND(INDEX('Matching Engine'!F$2:F$201,MATCH(A61,'Matching Engine'!A$2:A$201,0))=0,INDEX('Matching Engine'!G$2:G$201,MATCH(A61,'Matching Engine'!A$2:A$201,0))=0,INDEX('Matching Engine'!H$2:H$201,MATCH(A61,'Matching Engine'!A$2:A$201,0))=0),"None",IF(INDEX('Matching Engine'!F$2:F$201,MATCH(A61,'Matching Engine'!A$2:A$201,0))=1,"♂ ","")&amp;IF(INDEX('Matching Engine'!G$2:G$201,MATCH(A61,'Matching Engine'!A$2:A$201,0))=1,"♀ ","")&amp;IF(INDEX('Matching Engine'!H$2:H$201,MATCH(A61,'Matching Engine'!A$2:A$201,0))=1,"⚧","")))</f>
        <v/>
      </c>
      <c r="D61" s="22" t="str">
        <f>IF(A61="","",INDEX('Matching Engine'!L$2:L$201,MATCH(A61,'Matching Engine'!A$2:A$201,0)))</f>
        <v/>
      </c>
      <c r="E61" t="str">
        <f>IF(A61="","",IF(AND(INDEX('Matching Engine'!F$2:F$201,MATCH(A61,'Matching Engine'!A$2:A$201,0))=0,INDEX('Matching Engine'!G$2:G$201,MATCH(A61,'Matching Engine'!A$2:A$201,0))=0,INDEX('Matching Engine'!H$2:H$201,MATCH(A61,'Matching Engine'!A$2:A$201,0))=0),"Attracted to nobody","No reciprocal matches"))</f>
        <v/>
      </c>
    </row>
    <row r="62" spans="1:5" ht="14.25" customHeight="1" x14ac:dyDescent="0.35">
      <c r="A62" t="str" cm="1">
        <f t="array" ref="A62">IFERROR(INDEX('Matching Engine'!A$2:A$201,SMALL(IF('Matching Engine'!L$2:L$201=0,ROW('Matching Engine'!A$2:A$201)-ROW('Matching Engine'!A$2)+1),ROW()-ROW($A$59)+1)),"")</f>
        <v/>
      </c>
      <c r="B62" s="22" t="str">
        <f>IF(A62="","",INDEX('Matching Engine'!B$2:B$201,MATCH(A62,'Matching Engine'!A$2:A$201,0)))</f>
        <v/>
      </c>
      <c r="C62" s="22" t="str">
        <f>IF(A62="","",IF(AND(INDEX('Matching Engine'!F$2:F$201,MATCH(A62,'Matching Engine'!A$2:A$201,0))=0,INDEX('Matching Engine'!G$2:G$201,MATCH(A62,'Matching Engine'!A$2:A$201,0))=0,INDEX('Matching Engine'!H$2:H$201,MATCH(A62,'Matching Engine'!A$2:A$201,0))=0),"None",IF(INDEX('Matching Engine'!F$2:F$201,MATCH(A62,'Matching Engine'!A$2:A$201,0))=1,"♂ ","")&amp;IF(INDEX('Matching Engine'!G$2:G$201,MATCH(A62,'Matching Engine'!A$2:A$201,0))=1,"♀ ","")&amp;IF(INDEX('Matching Engine'!H$2:H$201,MATCH(A62,'Matching Engine'!A$2:A$201,0))=1,"⚧","")))</f>
        <v/>
      </c>
      <c r="D62" s="22" t="str">
        <f>IF(A62="","",INDEX('Matching Engine'!L$2:L$201,MATCH(A62,'Matching Engine'!A$2:A$201,0)))</f>
        <v/>
      </c>
      <c r="E62" t="str">
        <f>IF(A62="","",IF(AND(INDEX('Matching Engine'!F$2:F$201,MATCH(A62,'Matching Engine'!A$2:A$201,0))=0,INDEX('Matching Engine'!G$2:G$201,MATCH(A62,'Matching Engine'!A$2:A$201,0))=0,INDEX('Matching Engine'!H$2:H$201,MATCH(A62,'Matching Engine'!A$2:A$201,0))=0),"Attracted to nobody","No reciprocal matches"))</f>
        <v/>
      </c>
    </row>
    <row r="63" spans="1:5" ht="14.25" customHeight="1" x14ac:dyDescent="0.35">
      <c r="A63" t="str" cm="1">
        <f t="array" ref="A63">IFERROR(INDEX('Matching Engine'!A$2:A$201,SMALL(IF('Matching Engine'!L$2:L$201=0,ROW('Matching Engine'!A$2:A$201)-ROW('Matching Engine'!A$2)+1),ROW()-ROW($A$59)+1)),"")</f>
        <v/>
      </c>
      <c r="B63" s="22" t="str">
        <f>IF(A63="","",INDEX('Matching Engine'!B$2:B$201,MATCH(A63,'Matching Engine'!A$2:A$201,0)))</f>
        <v/>
      </c>
      <c r="C63" s="22" t="str">
        <f>IF(A63="","",IF(AND(INDEX('Matching Engine'!F$2:F$201,MATCH(A63,'Matching Engine'!A$2:A$201,0))=0,INDEX('Matching Engine'!G$2:G$201,MATCH(A63,'Matching Engine'!A$2:A$201,0))=0,INDEX('Matching Engine'!H$2:H$201,MATCH(A63,'Matching Engine'!A$2:A$201,0))=0),"None",IF(INDEX('Matching Engine'!F$2:F$201,MATCH(A63,'Matching Engine'!A$2:A$201,0))=1,"♂ ","")&amp;IF(INDEX('Matching Engine'!G$2:G$201,MATCH(A63,'Matching Engine'!A$2:A$201,0))=1,"♀ ","")&amp;IF(INDEX('Matching Engine'!H$2:H$201,MATCH(A63,'Matching Engine'!A$2:A$201,0))=1,"⚧","")))</f>
        <v/>
      </c>
      <c r="D63" s="22" t="str">
        <f>IF(A63="","",INDEX('Matching Engine'!L$2:L$201,MATCH(A63,'Matching Engine'!A$2:A$201,0)))</f>
        <v/>
      </c>
      <c r="E63" t="str">
        <f>IF(A63="","",IF(AND(INDEX('Matching Engine'!F$2:F$201,MATCH(A63,'Matching Engine'!A$2:A$201,0))=0,INDEX('Matching Engine'!G$2:G$201,MATCH(A63,'Matching Engine'!A$2:A$201,0))=0,INDEX('Matching Engine'!H$2:H$201,MATCH(A63,'Matching Engine'!A$2:A$201,0))=0),"Attracted to nobody","No reciprocal matches"))</f>
        <v/>
      </c>
    </row>
    <row r="64" spans="1:5" ht="14.25" customHeight="1" x14ac:dyDescent="0.35">
      <c r="A64" t="str" cm="1">
        <f t="array" ref="A64">IFERROR(INDEX('Matching Engine'!A$2:A$201,SMALL(IF('Matching Engine'!L$2:L$201=0,ROW('Matching Engine'!A$2:A$201)-ROW('Matching Engine'!A$2)+1),ROW()-ROW($A$59)+1)),"")</f>
        <v/>
      </c>
      <c r="B64" s="22" t="str">
        <f>IF(A64="","",INDEX('Matching Engine'!B$2:B$201,MATCH(A64,'Matching Engine'!A$2:A$201,0)))</f>
        <v/>
      </c>
      <c r="C64" s="22" t="str">
        <f>IF(A64="","",IF(AND(INDEX('Matching Engine'!F$2:F$201,MATCH(A64,'Matching Engine'!A$2:A$201,0))=0,INDEX('Matching Engine'!G$2:G$201,MATCH(A64,'Matching Engine'!A$2:A$201,0))=0,INDEX('Matching Engine'!H$2:H$201,MATCH(A64,'Matching Engine'!A$2:A$201,0))=0),"None",IF(INDEX('Matching Engine'!F$2:F$201,MATCH(A64,'Matching Engine'!A$2:A$201,0))=1,"♂ ","")&amp;IF(INDEX('Matching Engine'!G$2:G$201,MATCH(A64,'Matching Engine'!A$2:A$201,0))=1,"♀ ","")&amp;IF(INDEX('Matching Engine'!H$2:H$201,MATCH(A64,'Matching Engine'!A$2:A$201,0))=1,"⚧","")))</f>
        <v/>
      </c>
      <c r="D64" s="22" t="str">
        <f>IF(A64="","",INDEX('Matching Engine'!L$2:L$201,MATCH(A64,'Matching Engine'!A$2:A$201,0)))</f>
        <v/>
      </c>
      <c r="E64" t="str">
        <f>IF(A64="","",IF(AND(INDEX('Matching Engine'!F$2:F$201,MATCH(A64,'Matching Engine'!A$2:A$201,0))=0,INDEX('Matching Engine'!G$2:G$201,MATCH(A64,'Matching Engine'!A$2:A$201,0))=0,INDEX('Matching Engine'!H$2:H$201,MATCH(A64,'Matching Engine'!A$2:A$201,0))=0),"Attracted to nobody","No reciprocal matches"))</f>
        <v/>
      </c>
    </row>
    <row r="65" spans="1:5" ht="14.25" customHeight="1" x14ac:dyDescent="0.35">
      <c r="A65" t="str" cm="1">
        <f t="array" ref="A65">IFERROR(INDEX('Matching Engine'!A$2:A$201,SMALL(IF('Matching Engine'!L$2:L$201=0,ROW('Matching Engine'!A$2:A$201)-ROW('Matching Engine'!A$2)+1),ROW()-ROW($A$59)+1)),"")</f>
        <v/>
      </c>
      <c r="B65" s="22" t="str">
        <f>IF(A65="","",INDEX('Matching Engine'!B$2:B$201,MATCH(A65,'Matching Engine'!A$2:A$201,0)))</f>
        <v/>
      </c>
      <c r="C65" s="22" t="str">
        <f>IF(A65="","",IF(AND(INDEX('Matching Engine'!F$2:F$201,MATCH(A65,'Matching Engine'!A$2:A$201,0))=0,INDEX('Matching Engine'!G$2:G$201,MATCH(A65,'Matching Engine'!A$2:A$201,0))=0,INDEX('Matching Engine'!H$2:H$201,MATCH(A65,'Matching Engine'!A$2:A$201,0))=0),"None",IF(INDEX('Matching Engine'!F$2:F$201,MATCH(A65,'Matching Engine'!A$2:A$201,0))=1,"♂ ","")&amp;IF(INDEX('Matching Engine'!G$2:G$201,MATCH(A65,'Matching Engine'!A$2:A$201,0))=1,"♀ ","")&amp;IF(INDEX('Matching Engine'!H$2:H$201,MATCH(A65,'Matching Engine'!A$2:A$201,0))=1,"⚧","")))</f>
        <v/>
      </c>
      <c r="D65" s="22" t="str">
        <f>IF(A65="","",INDEX('Matching Engine'!L$2:L$201,MATCH(A65,'Matching Engine'!A$2:A$201,0)))</f>
        <v/>
      </c>
      <c r="E65" t="str">
        <f>IF(A65="","",IF(AND(INDEX('Matching Engine'!F$2:F$201,MATCH(A65,'Matching Engine'!A$2:A$201,0))=0,INDEX('Matching Engine'!G$2:G$201,MATCH(A65,'Matching Engine'!A$2:A$201,0))=0,INDEX('Matching Engine'!H$2:H$201,MATCH(A65,'Matching Engine'!A$2:A$201,0))=0),"Attracted to nobody","No reciprocal matches"))</f>
        <v/>
      </c>
    </row>
    <row r="66" spans="1:5" ht="14.25" customHeight="1" x14ac:dyDescent="0.35">
      <c r="B66" s="22" t="str">
        <f>IF(A66="","",INDEX('Matching Engine'!B$2:B$201,MATCH(A66,'Matching Engine'!A$2:A$201,0)))</f>
        <v/>
      </c>
      <c r="C66" s="22" t="str">
        <f>IF(A66="","",IF(AND(INDEX('Matching Engine'!F$2:F$201,MATCH(A66,'Matching Engine'!A$2:A$201,0))=0,INDEX('Matching Engine'!G$2:G$201,MATCH(A66,'Matching Engine'!A$2:A$201,0))=0,INDEX('Matching Engine'!H$2:H$201,MATCH(A66,'Matching Engine'!A$2:A$201,0))=0),"None",IF(INDEX('Matching Engine'!F$2:F$201,MATCH(A66,'Matching Engine'!A$2:A$201,0))=1,"♂ ","")&amp;IF(INDEX('Matching Engine'!G$2:G$201,MATCH(A66,'Matching Engine'!A$2:A$201,0))=1,"♀ ","")&amp;IF(INDEX('Matching Engine'!H$2:H$201,MATCH(A66,'Matching Engine'!A$2:A$201,0))=1,"⚧","")))</f>
        <v/>
      </c>
      <c r="D66" s="22" t="str">
        <f t="shared" ref="D66:D68" si="1">IF(A66="","",0)</f>
        <v/>
      </c>
      <c r="E66" t="str">
        <f>IF(A66="","",IF(AND(INDEX('Matching Engine'!F$2:F$201,MATCH(A66,'Matching Engine'!A$2:A$201,0))=0,INDEX('Matching Engine'!G$2:G$201,MATCH(A66,'Matching Engine'!A$2:A$201,0))=0,INDEX('Matching Engine'!H$2:H$201,MATCH(A66,'Matching Engine'!A$2:A$201,0))=0),"Attracted to nobody","No reciprocal matches"))</f>
        <v/>
      </c>
    </row>
    <row r="67" spans="1:5" ht="14.25" customHeight="1" x14ac:dyDescent="0.35">
      <c r="B67" s="22" t="str">
        <f>IF(A67="","",INDEX('Matching Engine'!B$2:B$201,MATCH(A67,'Matching Engine'!A$2:A$201,0)))</f>
        <v/>
      </c>
      <c r="C67" s="22" t="str">
        <f>IF(A67="","",IF(AND(INDEX('Matching Engine'!F$2:F$201,MATCH(A67,'Matching Engine'!A$2:A$201,0))=0,INDEX('Matching Engine'!G$2:G$201,MATCH(A67,'Matching Engine'!A$2:A$201,0))=0,INDEX('Matching Engine'!H$2:H$201,MATCH(A67,'Matching Engine'!A$2:A$201,0))=0),"None",IF(INDEX('Matching Engine'!F$2:F$201,MATCH(A67,'Matching Engine'!A$2:A$201,0))=1,"♂ ","")&amp;IF(INDEX('Matching Engine'!G$2:G$201,MATCH(A67,'Matching Engine'!A$2:A$201,0))=1,"♀ ","")&amp;IF(INDEX('Matching Engine'!H$2:H$201,MATCH(A67,'Matching Engine'!A$2:A$201,0))=1,"⚧","")))</f>
        <v/>
      </c>
      <c r="D67" s="22" t="str">
        <f t="shared" si="1"/>
        <v/>
      </c>
      <c r="E67" t="str">
        <f>IF(A67="","",IF(AND(INDEX('Matching Engine'!F$2:F$201,MATCH(A67,'Matching Engine'!A$2:A$201,0))=0,INDEX('Matching Engine'!G$2:G$201,MATCH(A67,'Matching Engine'!A$2:A$201,0))=0,INDEX('Matching Engine'!H$2:H$201,MATCH(A67,'Matching Engine'!A$2:A$201,0))=0),"Attracted to nobody","No reciprocal matches"))</f>
        <v/>
      </c>
    </row>
    <row r="68" spans="1:5" ht="14.25" customHeight="1" x14ac:dyDescent="0.35">
      <c r="B68" s="22" t="str">
        <f>IF(A68="","",INDEX('Matching Engine'!B$2:B$201,MATCH(A68,'Matching Engine'!A$2:A$201,0)))</f>
        <v/>
      </c>
      <c r="C68" s="22" t="str">
        <f>IF(A68="","",IF(AND(INDEX('Matching Engine'!F$2:F$201,MATCH(A68,'Matching Engine'!A$2:A$201,0))=0,INDEX('Matching Engine'!G$2:G$201,MATCH(A68,'Matching Engine'!A$2:A$201,0))=0,INDEX('Matching Engine'!H$2:H$201,MATCH(A68,'Matching Engine'!A$2:A$201,0))=0),"None",IF(INDEX('Matching Engine'!F$2:F$201,MATCH(A68,'Matching Engine'!A$2:A$201,0))=1,"♂ ","")&amp;IF(INDEX('Matching Engine'!G$2:G$201,MATCH(A68,'Matching Engine'!A$2:A$201,0))=1,"♀ ","")&amp;IF(INDEX('Matching Engine'!H$2:H$201,MATCH(A68,'Matching Engine'!A$2:A$201,0))=1,"⚧","")))</f>
        <v/>
      </c>
      <c r="D68" s="22" t="str">
        <f t="shared" si="1"/>
        <v/>
      </c>
      <c r="E68" t="str">
        <f>IF(A68="","",IF(AND(INDEX('Matching Engine'!F$2:F$201,MATCH(A68,'Matching Engine'!A$2:A$201,0))=0,INDEX('Matching Engine'!G$2:G$201,MATCH(A68,'Matching Engine'!A$2:A$201,0))=0,INDEX('Matching Engine'!H$2:H$201,MATCH(A68,'Matching Engine'!A$2:A$201,0))=0),"Attracted to nobody","No reciprocal matches"))</f>
        <v/>
      </c>
    </row>
    <row r="70" spans="1:5" ht="15.75" customHeight="1" x14ac:dyDescent="0.4">
      <c r="A70" s="19" t="s">
        <v>77</v>
      </c>
      <c r="B70" s="4"/>
      <c r="C70" s="4"/>
      <c r="D70" s="4"/>
      <c r="E70" s="4"/>
    </row>
    <row r="71" spans="1:5" ht="14.25" customHeight="1" x14ac:dyDescent="0.35">
      <c r="A71" s="20" t="s">
        <v>0</v>
      </c>
      <c r="B71" s="21" t="s">
        <v>1</v>
      </c>
      <c r="C71" s="21" t="s">
        <v>74</v>
      </c>
      <c r="D71" s="21" t="s">
        <v>88</v>
      </c>
      <c r="E71" s="21" t="s">
        <v>379</v>
      </c>
    </row>
    <row r="72" spans="1:5" ht="14.25" customHeight="1" x14ac:dyDescent="0.35">
      <c r="A72" s="32" t="str">
        <f>IFERROR(INDEX('Matching Engine'!A$2:A$201,MATCH(ROW()-71,'Matching Engine'!M$2:M$201,0)),"")</f>
        <v>Nny</v>
      </c>
      <c r="B72" s="22" t="str">
        <f>IF(A72="","",INDEX('Matching Engine'!B$2:B$201,MATCH(A72,'Matching Engine'!A$2:A$201,0)))</f>
        <v>Nonbinary</v>
      </c>
      <c r="C72" s="22" t="str">
        <f>IF(A72="","",IF(AND(INDEX('Matching Engine'!F$2:F$201,MATCH(A72,'Matching Engine'!A$2:A$201,0))=0,INDEX('Matching Engine'!G$2:G$201,MATCH(A72,'Matching Engine'!A$2:A$201,0))=0,INDEX('Matching Engine'!H$2:H$201,MATCH(A72,'Matching Engine'!A$2:A$201,0))=0),"None",IF(INDEX('Matching Engine'!F$2:F$201,MATCH(A72,'Matching Engine'!A$2:A$201,0))=1,"♂ ","")&amp;IF(INDEX('Matching Engine'!G$2:G$201,MATCH(A72,'Matching Engine'!A$2:A$201,0))=1,"♀ ","")&amp;IF(INDEX('Matching Engine'!H$2:H$201,MATCH(A72,'Matching Engine'!A$2:A$201,0))=1,"⚧","")))</f>
        <v>None</v>
      </c>
      <c r="D72" s="22">
        <f>IF(A72="","",INDEX('Matching Engine'!L$2:L$201,MATCH(A72,'Matching Engine'!A$2:A$201,0)))</f>
        <v>0</v>
      </c>
      <c r="E72" s="22" t="str">
        <f t="shared" ref="E72:E106" si="2">IF(A72="","",IF(D72=0,"0% — no compatible partners",TEXT(D72/($B$6-1),"0%")&amp;" — "&amp;D72&amp;" of "&amp;($B$6-1)&amp;" compatible"))</f>
        <v>0% — no compatible partners</v>
      </c>
    </row>
    <row r="73" spans="1:5" ht="14.25" customHeight="1" x14ac:dyDescent="0.35">
      <c r="A73" s="32" t="str">
        <f>IFERROR(INDEX('Matching Engine'!A$2:A$201,MATCH(ROW()-71,'Matching Engine'!M$2:M$201,0)),"")</f>
        <v>Kanaya Maryam</v>
      </c>
      <c r="B73" s="22" t="str">
        <f>IF(A73="","",INDEX('Matching Engine'!B$2:B$201,MATCH(A73,'Matching Engine'!A$2:A$201,0)))</f>
        <v>Female</v>
      </c>
      <c r="C73" s="22" t="str">
        <f>IF(A73="","",IF(AND(INDEX('Matching Engine'!F$2:F$201,MATCH(A73,'Matching Engine'!A$2:A$201,0))=0,INDEX('Matching Engine'!G$2:G$201,MATCH(A73,'Matching Engine'!A$2:A$201,0))=0,INDEX('Matching Engine'!H$2:H$201,MATCH(A73,'Matching Engine'!A$2:A$201,0))=0),"None",IF(INDEX('Matching Engine'!F$2:F$201,MATCH(A73,'Matching Engine'!A$2:A$201,0))=1,"♂ ","")&amp;IF(INDEX('Matching Engine'!G$2:G$201,MATCH(A73,'Matching Engine'!A$2:A$201,0))=1,"♀ ","")&amp;IF(INDEX('Matching Engine'!H$2:H$201,MATCH(A73,'Matching Engine'!A$2:A$201,0))=1,"⚧","")))</f>
        <v xml:space="preserve">♀ </v>
      </c>
      <c r="D73" s="22">
        <f>IF(A73="","",INDEX('Matching Engine'!L$2:L$201,MATCH(A73,'Matching Engine'!A$2:A$201,0)))</f>
        <v>11</v>
      </c>
      <c r="E73" s="22" t="str">
        <f t="shared" si="2"/>
        <v>22% — 11 of 49 compatible</v>
      </c>
    </row>
    <row r="74" spans="1:5" ht="14.25" customHeight="1" x14ac:dyDescent="0.35">
      <c r="A74" s="32" t="str">
        <f>IFERROR(INDEX('Matching Engine'!A$2:A$201,MATCH(ROW()-71,'Matching Engine'!M$2:M$201,0)),"")</f>
        <v>Rose Lalonde</v>
      </c>
      <c r="B74" s="22" t="str">
        <f>IF(A74="","",INDEX('Matching Engine'!B$2:B$201,MATCH(A74,'Matching Engine'!A$2:A$201,0)))</f>
        <v>Female</v>
      </c>
      <c r="C74" s="22" t="str">
        <f>IF(A74="","",IF(AND(INDEX('Matching Engine'!F$2:F$201,MATCH(A74,'Matching Engine'!A$2:A$201,0))=0,INDEX('Matching Engine'!G$2:G$201,MATCH(A74,'Matching Engine'!A$2:A$201,0))=0,INDEX('Matching Engine'!H$2:H$201,MATCH(A74,'Matching Engine'!A$2:A$201,0))=0),"None",IF(INDEX('Matching Engine'!F$2:F$201,MATCH(A74,'Matching Engine'!A$2:A$201,0))=1,"♂ ","")&amp;IF(INDEX('Matching Engine'!G$2:G$201,MATCH(A74,'Matching Engine'!A$2:A$201,0))=1,"♀ ","")&amp;IF(INDEX('Matching Engine'!H$2:H$201,MATCH(A74,'Matching Engine'!A$2:A$201,0))=1,"⚧","")))</f>
        <v xml:space="preserve">♀ </v>
      </c>
      <c r="D74" s="22">
        <f>IF(A74="","",INDEX('Matching Engine'!L$2:L$201,MATCH(A74,'Matching Engine'!A$2:A$201,0)))</f>
        <v>11</v>
      </c>
      <c r="E74" s="22" t="str">
        <f t="shared" si="2"/>
        <v>22% — 11 of 49 compatible</v>
      </c>
    </row>
    <row r="75" spans="1:5" ht="14.25" customHeight="1" x14ac:dyDescent="0.35">
      <c r="A75" s="32" t="str">
        <f>IFERROR(INDEX('Matching Engine'!A$2:A$201,MATCH(ROW()-71,'Matching Engine'!M$2:M$201,0)),"")</f>
        <v>Barack Obama</v>
      </c>
      <c r="B75" s="22" t="str">
        <f>IF(A75="","",INDEX('Matching Engine'!B$2:B$201,MATCH(A75,'Matching Engine'!A$2:A$201,0)))</f>
        <v>Male</v>
      </c>
      <c r="C75" s="22" t="str">
        <f>IF(A75="","",IF(AND(INDEX('Matching Engine'!F$2:F$201,MATCH(A75,'Matching Engine'!A$2:A$201,0))=0,INDEX('Matching Engine'!G$2:G$201,MATCH(A75,'Matching Engine'!A$2:A$201,0))=0,INDEX('Matching Engine'!H$2:H$201,MATCH(A75,'Matching Engine'!A$2:A$201,0))=0),"None",IF(INDEX('Matching Engine'!F$2:F$201,MATCH(A75,'Matching Engine'!A$2:A$201,0))=1,"♂ ","")&amp;IF(INDEX('Matching Engine'!G$2:G$201,MATCH(A75,'Matching Engine'!A$2:A$201,0))=1,"♀ ","")&amp;IF(INDEX('Matching Engine'!H$2:H$201,MATCH(A75,'Matching Engine'!A$2:A$201,0))=1,"⚧","")))</f>
        <v xml:space="preserve">♀ </v>
      </c>
      <c r="D75" s="22">
        <f>IF(A75="","",INDEX('Matching Engine'!L$2:L$201,MATCH(A75,'Matching Engine'!A$2:A$201,0)))</f>
        <v>14</v>
      </c>
      <c r="E75" s="22" t="str">
        <f t="shared" si="2"/>
        <v>29% — 14 of 49 compatible</v>
      </c>
    </row>
    <row r="76" spans="1:5" ht="14.25" customHeight="1" x14ac:dyDescent="0.35">
      <c r="A76" s="32" t="str">
        <f>IFERROR(INDEX('Matching Engine'!A$2:A$201,MATCH(ROW()-71,'Matching Engine'!M$2:M$201,0)),"")</f>
        <v>Ben</v>
      </c>
      <c r="B76" s="22" t="str">
        <f>IF(A76="","",INDEX('Matching Engine'!B$2:B$201,MATCH(A76,'Matching Engine'!A$2:A$201,0)))</f>
        <v>Male</v>
      </c>
      <c r="C76" s="22" t="str">
        <f>IF(A76="","",IF(AND(INDEX('Matching Engine'!F$2:F$201,MATCH(A76,'Matching Engine'!A$2:A$201,0))=0,INDEX('Matching Engine'!G$2:G$201,MATCH(A76,'Matching Engine'!A$2:A$201,0))=0,INDEX('Matching Engine'!H$2:H$201,MATCH(A76,'Matching Engine'!A$2:A$201,0))=0),"None",IF(INDEX('Matching Engine'!F$2:F$201,MATCH(A76,'Matching Engine'!A$2:A$201,0))=1,"♂ ","")&amp;IF(INDEX('Matching Engine'!G$2:G$201,MATCH(A76,'Matching Engine'!A$2:A$201,0))=1,"♀ ","")&amp;IF(INDEX('Matching Engine'!H$2:H$201,MATCH(A76,'Matching Engine'!A$2:A$201,0))=1,"⚧","")))</f>
        <v xml:space="preserve">♀ </v>
      </c>
      <c r="D76" s="22">
        <f>IF(A76="","",INDEX('Matching Engine'!L$2:L$201,MATCH(A76,'Matching Engine'!A$2:A$201,0)))</f>
        <v>14</v>
      </c>
      <c r="E76" s="22" t="str">
        <f t="shared" si="2"/>
        <v>29% — 14 of 49 compatible</v>
      </c>
    </row>
    <row r="77" spans="1:5" ht="14.25" customHeight="1" x14ac:dyDescent="0.35">
      <c r="A77" s="32" t="str">
        <f>IFERROR(INDEX('Matching Engine'!A$2:A$201,MATCH(ROW()-71,'Matching Engine'!M$2:M$201,0)),"")</f>
        <v>Biff Williams</v>
      </c>
      <c r="B77" s="22" t="str">
        <f>IF(A77="","",INDEX('Matching Engine'!B$2:B$201,MATCH(A77,'Matching Engine'!A$2:A$201,0)))</f>
        <v>Male</v>
      </c>
      <c r="C77" s="22" t="str">
        <f>IF(A77="","",IF(AND(INDEX('Matching Engine'!F$2:F$201,MATCH(A77,'Matching Engine'!A$2:A$201,0))=0,INDEX('Matching Engine'!G$2:G$201,MATCH(A77,'Matching Engine'!A$2:A$201,0))=0,INDEX('Matching Engine'!H$2:H$201,MATCH(A77,'Matching Engine'!A$2:A$201,0))=0),"None",IF(INDEX('Matching Engine'!F$2:F$201,MATCH(A77,'Matching Engine'!A$2:A$201,0))=1,"♂ ","")&amp;IF(INDEX('Matching Engine'!G$2:G$201,MATCH(A77,'Matching Engine'!A$2:A$201,0))=1,"♀ ","")&amp;IF(INDEX('Matching Engine'!H$2:H$201,MATCH(A77,'Matching Engine'!A$2:A$201,0))=1,"⚧","")))</f>
        <v xml:space="preserve">♀ </v>
      </c>
      <c r="D77" s="22">
        <f>IF(A77="","",INDEX('Matching Engine'!L$2:L$201,MATCH(A77,'Matching Engine'!A$2:A$201,0)))</f>
        <v>14</v>
      </c>
      <c r="E77" s="22" t="str">
        <f t="shared" si="2"/>
        <v>29% — 14 of 49 compatible</v>
      </c>
    </row>
    <row r="78" spans="1:5" ht="14.25" customHeight="1" x14ac:dyDescent="0.35">
      <c r="A78" s="32" t="str">
        <f>IFERROR(INDEX('Matching Engine'!A$2:A$201,MATCH(ROW()-71,'Matching Engine'!M$2:M$201,0)),"")</f>
        <v>Bill Nye</v>
      </c>
      <c r="B78" s="22" t="str">
        <f>IF(A78="","",INDEX('Matching Engine'!B$2:B$201,MATCH(A78,'Matching Engine'!A$2:A$201,0)))</f>
        <v>Male</v>
      </c>
      <c r="C78" s="22" t="str">
        <f>IF(A78="","",IF(AND(INDEX('Matching Engine'!F$2:F$201,MATCH(A78,'Matching Engine'!A$2:A$201,0))=0,INDEX('Matching Engine'!G$2:G$201,MATCH(A78,'Matching Engine'!A$2:A$201,0))=0,INDEX('Matching Engine'!H$2:H$201,MATCH(A78,'Matching Engine'!A$2:A$201,0))=0),"None",IF(INDEX('Matching Engine'!F$2:F$201,MATCH(A78,'Matching Engine'!A$2:A$201,0))=1,"♂ ","")&amp;IF(INDEX('Matching Engine'!G$2:G$201,MATCH(A78,'Matching Engine'!A$2:A$201,0))=1,"♀ ","")&amp;IF(INDEX('Matching Engine'!H$2:H$201,MATCH(A78,'Matching Engine'!A$2:A$201,0))=1,"⚧","")))</f>
        <v xml:space="preserve">♀ </v>
      </c>
      <c r="D78" s="22">
        <f>IF(A78="","",INDEX('Matching Engine'!L$2:L$201,MATCH(A78,'Matching Engine'!A$2:A$201,0)))</f>
        <v>14</v>
      </c>
      <c r="E78" s="22" t="str">
        <f t="shared" si="2"/>
        <v>29% — 14 of 49 compatible</v>
      </c>
    </row>
    <row r="79" spans="1:5" ht="14.25" customHeight="1" x14ac:dyDescent="0.35">
      <c r="A79" s="32" t="str">
        <f>IFERROR(INDEX('Matching Engine'!A$2:A$201,MATCH(ROW()-71,'Matching Engine'!M$2:M$201,0)),"")</f>
        <v>Bill Trinnen</v>
      </c>
      <c r="B79" s="22" t="str">
        <f>IF(A79="","",INDEX('Matching Engine'!B$2:B$201,MATCH(A79,'Matching Engine'!A$2:A$201,0)))</f>
        <v>Male</v>
      </c>
      <c r="C79" s="22" t="str">
        <f>IF(A79="","",IF(AND(INDEX('Matching Engine'!F$2:F$201,MATCH(A79,'Matching Engine'!A$2:A$201,0))=0,INDEX('Matching Engine'!G$2:G$201,MATCH(A79,'Matching Engine'!A$2:A$201,0))=0,INDEX('Matching Engine'!H$2:H$201,MATCH(A79,'Matching Engine'!A$2:A$201,0))=0),"None",IF(INDEX('Matching Engine'!F$2:F$201,MATCH(A79,'Matching Engine'!A$2:A$201,0))=1,"♂ ","")&amp;IF(INDEX('Matching Engine'!G$2:G$201,MATCH(A79,'Matching Engine'!A$2:A$201,0))=1,"♀ ","")&amp;IF(INDEX('Matching Engine'!H$2:H$201,MATCH(A79,'Matching Engine'!A$2:A$201,0))=1,"⚧","")))</f>
        <v xml:space="preserve">♀ </v>
      </c>
      <c r="D79" s="22">
        <f>IF(A79="","",INDEX('Matching Engine'!L$2:L$201,MATCH(A79,'Matching Engine'!A$2:A$201,0)))</f>
        <v>14</v>
      </c>
      <c r="E79" s="22" t="str">
        <f t="shared" si="2"/>
        <v>29% — 14 of 49 compatible</v>
      </c>
    </row>
    <row r="80" spans="1:5" ht="14.25" customHeight="1" x14ac:dyDescent="0.35">
      <c r="A80" s="32" t="str">
        <f>IFERROR(INDEX('Matching Engine'!A$2:A$201,MATCH(ROW()-71,'Matching Engine'!M$2:M$201,0)),"")</f>
        <v>Foreman</v>
      </c>
      <c r="B80" s="22" t="str">
        <f>IF(A80="","",INDEX('Matching Engine'!B$2:B$201,MATCH(A80,'Matching Engine'!A$2:A$201,0)))</f>
        <v>Male</v>
      </c>
      <c r="C80" s="22" t="str">
        <f>IF(A80="","",IF(AND(INDEX('Matching Engine'!F$2:F$201,MATCH(A80,'Matching Engine'!A$2:A$201,0))=0,INDEX('Matching Engine'!G$2:G$201,MATCH(A80,'Matching Engine'!A$2:A$201,0))=0,INDEX('Matching Engine'!H$2:H$201,MATCH(A80,'Matching Engine'!A$2:A$201,0))=0),"None",IF(INDEX('Matching Engine'!F$2:F$201,MATCH(A80,'Matching Engine'!A$2:A$201,0))=1,"♂ ","")&amp;IF(INDEX('Matching Engine'!G$2:G$201,MATCH(A80,'Matching Engine'!A$2:A$201,0))=1,"♀ ","")&amp;IF(INDEX('Matching Engine'!H$2:H$201,MATCH(A80,'Matching Engine'!A$2:A$201,0))=1,"⚧","")))</f>
        <v xml:space="preserve">♀ </v>
      </c>
      <c r="D80" s="22">
        <f>IF(A80="","",INDEX('Matching Engine'!L$2:L$201,MATCH(A80,'Matching Engine'!A$2:A$201,0)))</f>
        <v>14</v>
      </c>
      <c r="E80" s="22" t="str">
        <f t="shared" si="2"/>
        <v>29% — 14 of 49 compatible</v>
      </c>
    </row>
    <row r="81" spans="1:5" ht="14.25" customHeight="1" x14ac:dyDescent="0.35">
      <c r="A81" s="32" t="str">
        <f>IFERROR(INDEX('Matching Engine'!A$2:A$201,MATCH(ROW()-71,'Matching Engine'!M$2:M$201,0)),"")</f>
        <v>Justin Trudeau</v>
      </c>
      <c r="B81" s="22" t="str">
        <f>IF(A81="","",INDEX('Matching Engine'!B$2:B$201,MATCH(A81,'Matching Engine'!A$2:A$201,0)))</f>
        <v>Male</v>
      </c>
      <c r="C81" s="22" t="str">
        <f>IF(A81="","",IF(AND(INDEX('Matching Engine'!F$2:F$201,MATCH(A81,'Matching Engine'!A$2:A$201,0))=0,INDEX('Matching Engine'!G$2:G$201,MATCH(A81,'Matching Engine'!A$2:A$201,0))=0,INDEX('Matching Engine'!H$2:H$201,MATCH(A81,'Matching Engine'!A$2:A$201,0))=0),"None",IF(INDEX('Matching Engine'!F$2:F$201,MATCH(A81,'Matching Engine'!A$2:A$201,0))=1,"♂ ","")&amp;IF(INDEX('Matching Engine'!G$2:G$201,MATCH(A81,'Matching Engine'!A$2:A$201,0))=1,"♀ ","")&amp;IF(INDEX('Matching Engine'!H$2:H$201,MATCH(A81,'Matching Engine'!A$2:A$201,0))=1,"⚧","")))</f>
        <v xml:space="preserve">♀ </v>
      </c>
      <c r="D81" s="22">
        <f>IF(A81="","",INDEX('Matching Engine'!L$2:L$201,MATCH(A81,'Matching Engine'!A$2:A$201,0)))</f>
        <v>14</v>
      </c>
      <c r="E81" s="22" t="str">
        <f t="shared" si="2"/>
        <v>29% — 14 of 49 compatible</v>
      </c>
    </row>
    <row r="82" spans="1:5" ht="14.25" customHeight="1" x14ac:dyDescent="0.35">
      <c r="A82" s="32" t="str">
        <f>IFERROR(INDEX('Matching Engine'!A$2:A$201,MATCH(ROW()-71,'Matching Engine'!M$2:M$201,0)),"")</f>
        <v>Kutner</v>
      </c>
      <c r="B82" s="22" t="str">
        <f>IF(A82="","",INDEX('Matching Engine'!B$2:B$201,MATCH(A82,'Matching Engine'!A$2:A$201,0)))</f>
        <v>Male</v>
      </c>
      <c r="C82" s="22" t="str">
        <f>IF(A82="","",IF(AND(INDEX('Matching Engine'!F$2:F$201,MATCH(A82,'Matching Engine'!A$2:A$201,0))=0,INDEX('Matching Engine'!G$2:G$201,MATCH(A82,'Matching Engine'!A$2:A$201,0))=0,INDEX('Matching Engine'!H$2:H$201,MATCH(A82,'Matching Engine'!A$2:A$201,0))=0),"None",IF(INDEX('Matching Engine'!F$2:F$201,MATCH(A82,'Matching Engine'!A$2:A$201,0))=1,"♂ ","")&amp;IF(INDEX('Matching Engine'!G$2:G$201,MATCH(A82,'Matching Engine'!A$2:A$201,0))=1,"♀ ","")&amp;IF(INDEX('Matching Engine'!H$2:H$201,MATCH(A82,'Matching Engine'!A$2:A$201,0))=1,"⚧","")))</f>
        <v xml:space="preserve">♀ </v>
      </c>
      <c r="D82" s="22">
        <f>IF(A82="","",INDEX('Matching Engine'!L$2:L$201,MATCH(A82,'Matching Engine'!A$2:A$201,0)))</f>
        <v>14</v>
      </c>
      <c r="E82" s="22" t="str">
        <f t="shared" si="2"/>
        <v>29% — 14 of 49 compatible</v>
      </c>
    </row>
    <row r="83" spans="1:5" ht="14.25" customHeight="1" x14ac:dyDescent="0.35">
      <c r="A83" s="32" t="str">
        <f>IFERROR(INDEX('Matching Engine'!A$2:A$201,MATCH(ROW()-71,'Matching Engine'!M$2:M$201,0)),"")</f>
        <v>Riley Freeman</v>
      </c>
      <c r="B83" s="22" t="str">
        <f>IF(A83="","",INDEX('Matching Engine'!B$2:B$201,MATCH(A83,'Matching Engine'!A$2:A$201,0)))</f>
        <v>Male</v>
      </c>
      <c r="C83" s="22" t="str">
        <f>IF(A83="","",IF(AND(INDEX('Matching Engine'!F$2:F$201,MATCH(A83,'Matching Engine'!A$2:A$201,0))=0,INDEX('Matching Engine'!G$2:G$201,MATCH(A83,'Matching Engine'!A$2:A$201,0))=0,INDEX('Matching Engine'!H$2:H$201,MATCH(A83,'Matching Engine'!A$2:A$201,0))=0),"None",IF(INDEX('Matching Engine'!F$2:F$201,MATCH(A83,'Matching Engine'!A$2:A$201,0))=1,"♂ ","")&amp;IF(INDEX('Matching Engine'!G$2:G$201,MATCH(A83,'Matching Engine'!A$2:A$201,0))=1,"♀ ","")&amp;IF(INDEX('Matching Engine'!H$2:H$201,MATCH(A83,'Matching Engine'!A$2:A$201,0))=1,"⚧","")))</f>
        <v xml:space="preserve">♀ </v>
      </c>
      <c r="D83" s="22">
        <f>IF(A83="","",INDEX('Matching Engine'!L$2:L$201,MATCH(A83,'Matching Engine'!A$2:A$201,0)))</f>
        <v>14</v>
      </c>
      <c r="E83" s="22" t="str">
        <f t="shared" si="2"/>
        <v>29% — 14 of 49 compatible</v>
      </c>
    </row>
    <row r="84" spans="1:5" ht="14.25" customHeight="1" x14ac:dyDescent="0.35">
      <c r="A84" s="32" t="str">
        <f>IFERROR(INDEX('Matching Engine'!A$2:A$201,MATCH(ROW()-71,'Matching Engine'!M$2:M$201,0)),"")</f>
        <v>Robert Freeman</v>
      </c>
      <c r="B84" s="22" t="str">
        <f>IF(A84="","",INDEX('Matching Engine'!B$2:B$201,MATCH(A84,'Matching Engine'!A$2:A$201,0)))</f>
        <v>Male</v>
      </c>
      <c r="C84" s="22" t="str">
        <f>IF(A84="","",IF(AND(INDEX('Matching Engine'!F$2:F$201,MATCH(A84,'Matching Engine'!A$2:A$201,0))=0,INDEX('Matching Engine'!G$2:G$201,MATCH(A84,'Matching Engine'!A$2:A$201,0))=0,INDEX('Matching Engine'!H$2:H$201,MATCH(A84,'Matching Engine'!A$2:A$201,0))=0),"None",IF(INDEX('Matching Engine'!F$2:F$201,MATCH(A84,'Matching Engine'!A$2:A$201,0))=1,"♂ ","")&amp;IF(INDEX('Matching Engine'!G$2:G$201,MATCH(A84,'Matching Engine'!A$2:A$201,0))=1,"♀ ","")&amp;IF(INDEX('Matching Engine'!H$2:H$201,MATCH(A84,'Matching Engine'!A$2:A$201,0))=1,"⚧","")))</f>
        <v xml:space="preserve">♀ </v>
      </c>
      <c r="D84" s="22">
        <f>IF(A84="","",INDEX('Matching Engine'!L$2:L$201,MATCH(A84,'Matching Engine'!A$2:A$201,0)))</f>
        <v>14</v>
      </c>
      <c r="E84" s="22" t="str">
        <f t="shared" si="2"/>
        <v>29% — 14 of 49 compatible</v>
      </c>
    </row>
    <row r="85" spans="1:5" ht="14.25" customHeight="1" x14ac:dyDescent="0.35">
      <c r="A85" s="32" t="str">
        <f>IFERROR(INDEX('Matching Engine'!A$2:A$201,MATCH(ROW()-71,'Matching Engine'!M$2:M$201,0)),"")</f>
        <v>Taub</v>
      </c>
      <c r="B85" s="22" t="str">
        <f>IF(A85="","",INDEX('Matching Engine'!B$2:B$201,MATCH(A85,'Matching Engine'!A$2:A$201,0)))</f>
        <v>Male</v>
      </c>
      <c r="C85" s="22" t="str">
        <f>IF(A85="","",IF(AND(INDEX('Matching Engine'!F$2:F$201,MATCH(A85,'Matching Engine'!A$2:A$201,0))=0,INDEX('Matching Engine'!G$2:G$201,MATCH(A85,'Matching Engine'!A$2:A$201,0))=0,INDEX('Matching Engine'!H$2:H$201,MATCH(A85,'Matching Engine'!A$2:A$201,0))=0),"None",IF(INDEX('Matching Engine'!F$2:F$201,MATCH(A85,'Matching Engine'!A$2:A$201,0))=1,"♂ ","")&amp;IF(INDEX('Matching Engine'!G$2:G$201,MATCH(A85,'Matching Engine'!A$2:A$201,0))=1,"♀ ","")&amp;IF(INDEX('Matching Engine'!H$2:H$201,MATCH(A85,'Matching Engine'!A$2:A$201,0))=1,"⚧","")))</f>
        <v xml:space="preserve">♀ </v>
      </c>
      <c r="D85" s="22">
        <f>IF(A85="","",INDEX('Matching Engine'!L$2:L$201,MATCH(A85,'Matching Engine'!A$2:A$201,0)))</f>
        <v>14</v>
      </c>
      <c r="E85" s="22" t="str">
        <f t="shared" si="2"/>
        <v>29% — 14 of 49 compatible</v>
      </c>
    </row>
    <row r="86" spans="1:5" ht="14.25" customHeight="1" x14ac:dyDescent="0.35">
      <c r="A86" s="32" t="str">
        <f>IFERROR(INDEX('Matching Engine'!A$2:A$201,MATCH(ROW()-71,'Matching Engine'!M$2:M$201,0)),"")</f>
        <v>Uncle Ruckus</v>
      </c>
      <c r="B86" s="22" t="str">
        <f>IF(A86="","",INDEX('Matching Engine'!B$2:B$201,MATCH(A86,'Matching Engine'!A$2:A$201,0)))</f>
        <v>Male</v>
      </c>
      <c r="C86" s="22" t="str">
        <f>IF(A86="","",IF(AND(INDEX('Matching Engine'!F$2:F$201,MATCH(A86,'Matching Engine'!A$2:A$201,0))=0,INDEX('Matching Engine'!G$2:G$201,MATCH(A86,'Matching Engine'!A$2:A$201,0))=0,INDEX('Matching Engine'!H$2:H$201,MATCH(A86,'Matching Engine'!A$2:A$201,0))=0),"None",IF(INDEX('Matching Engine'!F$2:F$201,MATCH(A86,'Matching Engine'!A$2:A$201,0))=1,"♂ ","")&amp;IF(INDEX('Matching Engine'!G$2:G$201,MATCH(A86,'Matching Engine'!A$2:A$201,0))=1,"♀ ","")&amp;IF(INDEX('Matching Engine'!H$2:H$201,MATCH(A86,'Matching Engine'!A$2:A$201,0))=1,"⚧","")))</f>
        <v xml:space="preserve">♀ </v>
      </c>
      <c r="D86" s="22">
        <f>IF(A86="","",INDEX('Matching Engine'!L$2:L$201,MATCH(A86,'Matching Engine'!A$2:A$201,0)))</f>
        <v>14</v>
      </c>
      <c r="E86" s="22" t="str">
        <f t="shared" si="2"/>
        <v>29% — 14 of 49 compatible</v>
      </c>
    </row>
    <row r="87" spans="1:5" ht="14.25" customHeight="1" x14ac:dyDescent="0.35">
      <c r="A87" s="32" t="str">
        <f>IFERROR(INDEX('Matching Engine'!A$2:A$201,MATCH(ROW()-71,'Matching Engine'!M$2:M$201,0)),"")</f>
        <v>Yoshiaki Koizumi</v>
      </c>
      <c r="B87" s="22" t="str">
        <f>IF(A87="","",INDEX('Matching Engine'!B$2:B$201,MATCH(A87,'Matching Engine'!A$2:A$201,0)))</f>
        <v>Male</v>
      </c>
      <c r="C87" s="22" t="str">
        <f>IF(A87="","",IF(AND(INDEX('Matching Engine'!F$2:F$201,MATCH(A87,'Matching Engine'!A$2:A$201,0))=0,INDEX('Matching Engine'!G$2:G$201,MATCH(A87,'Matching Engine'!A$2:A$201,0))=0,INDEX('Matching Engine'!H$2:H$201,MATCH(A87,'Matching Engine'!A$2:A$201,0))=0),"None",IF(INDEX('Matching Engine'!F$2:F$201,MATCH(A87,'Matching Engine'!A$2:A$201,0))=1,"♂ ","")&amp;IF(INDEX('Matching Engine'!G$2:G$201,MATCH(A87,'Matching Engine'!A$2:A$201,0))=1,"♀ ","")&amp;IF(INDEX('Matching Engine'!H$2:H$201,MATCH(A87,'Matching Engine'!A$2:A$201,0))=1,"⚧","")))</f>
        <v xml:space="preserve">♀ </v>
      </c>
      <c r="D87" s="22">
        <f>IF(A87="","",INDEX('Matching Engine'!L$2:L$201,MATCH(A87,'Matching Engine'!A$2:A$201,0)))</f>
        <v>14</v>
      </c>
      <c r="E87" s="22" t="str">
        <f t="shared" si="2"/>
        <v>29% — 14 of 49 compatible</v>
      </c>
    </row>
    <row r="88" spans="1:5" ht="14.25" customHeight="1" x14ac:dyDescent="0.35">
      <c r="A88" s="32" t="str">
        <f>IFERROR(INDEX('Matching Engine'!A$2:A$201,MATCH(ROW()-71,'Matching Engine'!M$2:M$201,0)),"")</f>
        <v>Huey Freeman</v>
      </c>
      <c r="B88" s="22" t="str">
        <f>IF(A88="","",INDEX('Matching Engine'!B$2:B$201,MATCH(A88,'Matching Engine'!A$2:A$201,0)))</f>
        <v>Male</v>
      </c>
      <c r="C88" s="22" t="str">
        <f>IF(A88="","",IF(AND(INDEX('Matching Engine'!F$2:F$201,MATCH(A88,'Matching Engine'!A$2:A$201,0))=0,INDEX('Matching Engine'!G$2:G$201,MATCH(A88,'Matching Engine'!A$2:A$201,0))=0,INDEX('Matching Engine'!H$2:H$201,MATCH(A88,'Matching Engine'!A$2:A$201,0))=0),"None",IF(INDEX('Matching Engine'!F$2:F$201,MATCH(A88,'Matching Engine'!A$2:A$201,0))=1,"♂ ","")&amp;IF(INDEX('Matching Engine'!G$2:G$201,MATCH(A88,'Matching Engine'!A$2:A$201,0))=1,"♀ ","")&amp;IF(INDEX('Matching Engine'!H$2:H$201,MATCH(A88,'Matching Engine'!A$2:A$201,0))=1,"⚧","")))</f>
        <v>♀ ⚧</v>
      </c>
      <c r="D88" s="22">
        <f>IF(A88="","",INDEX('Matching Engine'!L$2:L$201,MATCH(A88,'Matching Engine'!A$2:A$201,0)))</f>
        <v>15</v>
      </c>
      <c r="E88" s="22" t="str">
        <f t="shared" si="2"/>
        <v>31% — 15 of 49 compatible</v>
      </c>
    </row>
    <row r="89" spans="1:5" ht="14.25" customHeight="1" x14ac:dyDescent="0.35">
      <c r="A89" s="32" t="str">
        <f>IFERROR(INDEX('Matching Engine'!A$2:A$201,MATCH(ROW()-71,'Matching Engine'!M$2:M$201,0)),"")</f>
        <v>Chuck</v>
      </c>
      <c r="B89" s="22" t="str">
        <f>IF(A89="","",INDEX('Matching Engine'!B$2:B$201,MATCH(A89,'Matching Engine'!A$2:A$201,0)))</f>
        <v>Male</v>
      </c>
      <c r="C89" s="22" t="str">
        <f>IF(A89="","",IF(AND(INDEX('Matching Engine'!F$2:F$201,MATCH(A89,'Matching Engine'!A$2:A$201,0))=0,INDEX('Matching Engine'!G$2:G$201,MATCH(A89,'Matching Engine'!A$2:A$201,0))=0,INDEX('Matching Engine'!H$2:H$201,MATCH(A89,'Matching Engine'!A$2:A$201,0))=0),"None",IF(INDEX('Matching Engine'!F$2:F$201,MATCH(A89,'Matching Engine'!A$2:A$201,0))=1,"♂ ","")&amp;IF(INDEX('Matching Engine'!G$2:G$201,MATCH(A89,'Matching Engine'!A$2:A$201,0))=1,"♀ ","")&amp;IF(INDEX('Matching Engine'!H$2:H$201,MATCH(A89,'Matching Engine'!A$2:A$201,0))=1,"⚧","")))</f>
        <v xml:space="preserve">♂ </v>
      </c>
      <c r="D89" s="22">
        <f>IF(A89="","",INDEX('Matching Engine'!L$2:L$201,MATCH(A89,'Matching Engine'!A$2:A$201,0)))</f>
        <v>17</v>
      </c>
      <c r="E89" s="22" t="str">
        <f t="shared" si="2"/>
        <v>35% — 17 of 49 compatible</v>
      </c>
    </row>
    <row r="90" spans="1:5" ht="14.25" customHeight="1" x14ac:dyDescent="0.35">
      <c r="A90" s="32" t="str">
        <f>IFERROR(INDEX('Matching Engine'!A$2:A$201,MATCH(ROW()-71,'Matching Engine'!M$2:M$201,0)),"")</f>
        <v>House</v>
      </c>
      <c r="B90" s="22" t="str">
        <f>IF(A90="","",INDEX('Matching Engine'!B$2:B$201,MATCH(A90,'Matching Engine'!A$2:A$201,0)))</f>
        <v>Male</v>
      </c>
      <c r="C90" s="22" t="str">
        <f>IF(A90="","",IF(AND(INDEX('Matching Engine'!F$2:F$201,MATCH(A90,'Matching Engine'!A$2:A$201,0))=0,INDEX('Matching Engine'!G$2:G$201,MATCH(A90,'Matching Engine'!A$2:A$201,0))=0,INDEX('Matching Engine'!H$2:H$201,MATCH(A90,'Matching Engine'!A$2:A$201,0))=0),"None",IF(INDEX('Matching Engine'!F$2:F$201,MATCH(A90,'Matching Engine'!A$2:A$201,0))=1,"♂ ","")&amp;IF(INDEX('Matching Engine'!G$2:G$201,MATCH(A90,'Matching Engine'!A$2:A$201,0))=1,"♀ ","")&amp;IF(INDEX('Matching Engine'!H$2:H$201,MATCH(A90,'Matching Engine'!A$2:A$201,0))=1,"⚧","")))</f>
        <v xml:space="preserve">♂ </v>
      </c>
      <c r="D90" s="22">
        <f>IF(A90="","",INDEX('Matching Engine'!L$2:L$201,MATCH(A90,'Matching Engine'!A$2:A$201,0)))</f>
        <v>17</v>
      </c>
      <c r="E90" s="22" t="str">
        <f t="shared" si="2"/>
        <v>35% — 17 of 49 compatible</v>
      </c>
    </row>
    <row r="91" spans="1:5" ht="14.25" customHeight="1" x14ac:dyDescent="0.35">
      <c r="A91" s="32" t="str">
        <f>IFERROR(INDEX('Matching Engine'!A$2:A$201,MATCH(ROW()-71,'Matching Engine'!M$2:M$201,0)),"")</f>
        <v>Larry</v>
      </c>
      <c r="B91" s="22" t="str">
        <f>IF(A91="","",INDEX('Matching Engine'!B$2:B$201,MATCH(A91,'Matching Engine'!A$2:A$201,0)))</f>
        <v>Male</v>
      </c>
      <c r="C91" s="22" t="str">
        <f>IF(A91="","",IF(AND(INDEX('Matching Engine'!F$2:F$201,MATCH(A91,'Matching Engine'!A$2:A$201,0))=0,INDEX('Matching Engine'!G$2:G$201,MATCH(A91,'Matching Engine'!A$2:A$201,0))=0,INDEX('Matching Engine'!H$2:H$201,MATCH(A91,'Matching Engine'!A$2:A$201,0))=0),"None",IF(INDEX('Matching Engine'!F$2:F$201,MATCH(A91,'Matching Engine'!A$2:A$201,0))=1,"♂ ","")&amp;IF(INDEX('Matching Engine'!G$2:G$201,MATCH(A91,'Matching Engine'!A$2:A$201,0))=1,"♀ ","")&amp;IF(INDEX('Matching Engine'!H$2:H$201,MATCH(A91,'Matching Engine'!A$2:A$201,0))=1,"⚧","")))</f>
        <v xml:space="preserve">♂ </v>
      </c>
      <c r="D91" s="22">
        <f>IF(A91="","",INDEX('Matching Engine'!L$2:L$201,MATCH(A91,'Matching Engine'!A$2:A$201,0)))</f>
        <v>17</v>
      </c>
      <c r="E91" s="22" t="str">
        <f t="shared" si="2"/>
        <v>35% — 17 of 49 compatible</v>
      </c>
    </row>
    <row r="92" spans="1:5" ht="14.25" customHeight="1" x14ac:dyDescent="0.35">
      <c r="A92" s="32" t="str">
        <f>IFERROR(INDEX('Matching Engine'!A$2:A$201,MATCH(ROW()-71,'Matching Engine'!M$2:M$201,0)),"")</f>
        <v>Morty</v>
      </c>
      <c r="B92" s="22" t="str">
        <f>IF(A92="","",INDEX('Matching Engine'!B$2:B$201,MATCH(A92,'Matching Engine'!A$2:A$201,0)))</f>
        <v>Male</v>
      </c>
      <c r="C92" s="22" t="str">
        <f>IF(A92="","",IF(AND(INDEX('Matching Engine'!F$2:F$201,MATCH(A92,'Matching Engine'!A$2:A$201,0))=0,INDEX('Matching Engine'!G$2:G$201,MATCH(A92,'Matching Engine'!A$2:A$201,0))=0,INDEX('Matching Engine'!H$2:H$201,MATCH(A92,'Matching Engine'!A$2:A$201,0))=0),"None",IF(INDEX('Matching Engine'!F$2:F$201,MATCH(A92,'Matching Engine'!A$2:A$201,0))=1,"♂ ","")&amp;IF(INDEX('Matching Engine'!G$2:G$201,MATCH(A92,'Matching Engine'!A$2:A$201,0))=1,"♀ ","")&amp;IF(INDEX('Matching Engine'!H$2:H$201,MATCH(A92,'Matching Engine'!A$2:A$201,0))=1,"⚧","")))</f>
        <v xml:space="preserve">♂ </v>
      </c>
      <c r="D92" s="22">
        <f>IF(A92="","",INDEX('Matching Engine'!L$2:L$201,MATCH(A92,'Matching Engine'!A$2:A$201,0)))</f>
        <v>17</v>
      </c>
      <c r="E92" s="22" t="str">
        <f t="shared" si="2"/>
        <v>35% — 17 of 49 compatible</v>
      </c>
    </row>
    <row r="93" spans="1:5" ht="14.25" customHeight="1" x14ac:dyDescent="0.35">
      <c r="A93" s="32" t="str">
        <f>IFERROR(INDEX('Matching Engine'!A$2:A$201,MATCH(ROW()-71,'Matching Engine'!M$2:M$201,0)),"")</f>
        <v>Wilson</v>
      </c>
      <c r="B93" s="22" t="str">
        <f>IF(A93="","",INDEX('Matching Engine'!B$2:B$201,MATCH(A93,'Matching Engine'!A$2:A$201,0)))</f>
        <v>Male</v>
      </c>
      <c r="C93" s="22" t="str">
        <f>IF(A93="","",IF(AND(INDEX('Matching Engine'!F$2:F$201,MATCH(A93,'Matching Engine'!A$2:A$201,0))=0,INDEX('Matching Engine'!G$2:G$201,MATCH(A93,'Matching Engine'!A$2:A$201,0))=0,INDEX('Matching Engine'!H$2:H$201,MATCH(A93,'Matching Engine'!A$2:A$201,0))=0),"None",IF(INDEX('Matching Engine'!F$2:F$201,MATCH(A93,'Matching Engine'!A$2:A$201,0))=1,"♂ ","")&amp;IF(INDEX('Matching Engine'!G$2:G$201,MATCH(A93,'Matching Engine'!A$2:A$201,0))=1,"♀ ","")&amp;IF(INDEX('Matching Engine'!H$2:H$201,MATCH(A93,'Matching Engine'!A$2:A$201,0))=1,"⚧","")))</f>
        <v xml:space="preserve">♂ </v>
      </c>
      <c r="D93" s="22">
        <f>IF(A93="","",INDEX('Matching Engine'!L$2:L$201,MATCH(A93,'Matching Engine'!A$2:A$201,0)))</f>
        <v>17</v>
      </c>
      <c r="E93" s="22" t="str">
        <f t="shared" si="2"/>
        <v>35% — 17 of 49 compatible</v>
      </c>
    </row>
    <row r="94" spans="1:5" ht="14.25" customHeight="1" x14ac:dyDescent="0.35">
      <c r="A94" s="32" t="str">
        <f>IFERROR(INDEX('Matching Engine'!A$2:A$201,MATCH(ROW()-71,'Matching Engine'!M$2:M$201,0)),"")</f>
        <v>Alvie</v>
      </c>
      <c r="B94" s="22" t="str">
        <f>IF(A94="","",INDEX('Matching Engine'!B$2:B$201,MATCH(A94,'Matching Engine'!A$2:A$201,0)))</f>
        <v>Male</v>
      </c>
      <c r="C94" s="22" t="str">
        <f>IF(A94="","",IF(AND(INDEX('Matching Engine'!F$2:F$201,MATCH(A94,'Matching Engine'!A$2:A$201,0))=0,INDEX('Matching Engine'!G$2:G$201,MATCH(A94,'Matching Engine'!A$2:A$201,0))=0,INDEX('Matching Engine'!H$2:H$201,MATCH(A94,'Matching Engine'!A$2:A$201,0))=0),"None",IF(INDEX('Matching Engine'!F$2:F$201,MATCH(A94,'Matching Engine'!A$2:A$201,0))=1,"♂ ","")&amp;IF(INDEX('Matching Engine'!G$2:G$201,MATCH(A94,'Matching Engine'!A$2:A$201,0))=1,"♀ ","")&amp;IF(INDEX('Matching Engine'!H$2:H$201,MATCH(A94,'Matching Engine'!A$2:A$201,0))=1,"⚧","")))</f>
        <v>♂ ⚧</v>
      </c>
      <c r="D94" s="22">
        <f>IF(A94="","",INDEX('Matching Engine'!L$2:L$201,MATCH(A94,'Matching Engine'!A$2:A$201,0)))</f>
        <v>18</v>
      </c>
      <c r="E94" s="22" t="str">
        <f t="shared" si="2"/>
        <v>37% — 18 of 49 compatible</v>
      </c>
    </row>
    <row r="95" spans="1:5" ht="14.25" customHeight="1" x14ac:dyDescent="0.35">
      <c r="A95" s="32" t="str">
        <f>IFERROR(INDEX('Matching Engine'!A$2:A$201,MATCH(ROW()-71,'Matching Engine'!M$2:M$201,0)),"")</f>
        <v>Robin</v>
      </c>
      <c r="B95" s="22" t="str">
        <f>IF(A95="","",INDEX('Matching Engine'!B$2:B$201,MATCH(A95,'Matching Engine'!A$2:A$201,0)))</f>
        <v>Nonbinary</v>
      </c>
      <c r="C95" s="22" t="str">
        <f>IF(A95="","",IF(AND(INDEX('Matching Engine'!F$2:F$201,MATCH(A95,'Matching Engine'!A$2:A$201,0))=0,INDEX('Matching Engine'!G$2:G$201,MATCH(A95,'Matching Engine'!A$2:A$201,0))=0,INDEX('Matching Engine'!H$2:H$201,MATCH(A95,'Matching Engine'!A$2:A$201,0))=0),"None",IF(INDEX('Matching Engine'!F$2:F$201,MATCH(A95,'Matching Engine'!A$2:A$201,0))=1,"♂ ","")&amp;IF(INDEX('Matching Engine'!G$2:G$201,MATCH(A95,'Matching Engine'!A$2:A$201,0))=1,"♀ ","")&amp;IF(INDEX('Matching Engine'!H$2:H$201,MATCH(A95,'Matching Engine'!A$2:A$201,0))=1,"⚧","")))</f>
        <v>♂ ♀ ⚧</v>
      </c>
      <c r="D95" s="22">
        <f>IF(A95="","",INDEX('Matching Engine'!L$2:L$201,MATCH(A95,'Matching Engine'!A$2:A$201,0)))</f>
        <v>23</v>
      </c>
      <c r="E95" s="22" t="str">
        <f t="shared" si="2"/>
        <v>47% — 23 of 49 compatible</v>
      </c>
    </row>
    <row r="96" spans="1:5" ht="14.25" customHeight="1" x14ac:dyDescent="0.35">
      <c r="A96" s="32" t="str">
        <f>IFERROR(INDEX('Matching Engine'!A$2:A$201,MATCH(ROW()-71,'Matching Engine'!M$2:M$201,0)),"")</f>
        <v>Bea</v>
      </c>
      <c r="B96" s="22" t="str">
        <f>IF(A96="","",INDEX('Matching Engine'!B$2:B$201,MATCH(A96,'Matching Engine'!A$2:A$201,0)))</f>
        <v>Female</v>
      </c>
      <c r="C96" s="22" t="str">
        <f>IF(A96="","",IF(AND(INDEX('Matching Engine'!F$2:F$201,MATCH(A96,'Matching Engine'!A$2:A$201,0))=0,INDEX('Matching Engine'!G$2:G$201,MATCH(A96,'Matching Engine'!A$2:A$201,0))=0,INDEX('Matching Engine'!H$2:H$201,MATCH(A96,'Matching Engine'!A$2:A$201,0))=0),"None",IF(INDEX('Matching Engine'!F$2:F$201,MATCH(A96,'Matching Engine'!A$2:A$201,0))=1,"♂ ","")&amp;IF(INDEX('Matching Engine'!G$2:G$201,MATCH(A96,'Matching Engine'!A$2:A$201,0))=1,"♀ ","")&amp;IF(INDEX('Matching Engine'!H$2:H$201,MATCH(A96,'Matching Engine'!A$2:A$201,0))=1,"⚧","")))</f>
        <v xml:space="preserve">♂ </v>
      </c>
      <c r="D96" s="22">
        <f>IF(A96="","",INDEX('Matching Engine'!L$2:L$201,MATCH(A96,'Matching Engine'!A$2:A$201,0)))</f>
        <v>26</v>
      </c>
      <c r="E96" s="22" t="str">
        <f t="shared" si="2"/>
        <v>53% — 26 of 49 compatible</v>
      </c>
    </row>
    <row r="97" spans="1:5" ht="14.25" customHeight="1" x14ac:dyDescent="0.35">
      <c r="A97" s="32" t="str">
        <f>IFERROR(INDEX('Matching Engine'!A$2:A$201,MATCH(ROW()-71,'Matching Engine'!M$2:M$201,0)),"")</f>
        <v>Cameron</v>
      </c>
      <c r="B97" s="22" t="str">
        <f>IF(A97="","",INDEX('Matching Engine'!B$2:B$201,MATCH(A97,'Matching Engine'!A$2:A$201,0)))</f>
        <v>Female</v>
      </c>
      <c r="C97" s="22" t="str">
        <f>IF(A97="","",IF(AND(INDEX('Matching Engine'!F$2:F$201,MATCH(A97,'Matching Engine'!A$2:A$201,0))=0,INDEX('Matching Engine'!G$2:G$201,MATCH(A97,'Matching Engine'!A$2:A$201,0))=0,INDEX('Matching Engine'!H$2:H$201,MATCH(A97,'Matching Engine'!A$2:A$201,0))=0),"None",IF(INDEX('Matching Engine'!F$2:F$201,MATCH(A97,'Matching Engine'!A$2:A$201,0))=1,"♂ ","")&amp;IF(INDEX('Matching Engine'!G$2:G$201,MATCH(A97,'Matching Engine'!A$2:A$201,0))=1,"♀ ","")&amp;IF(INDEX('Matching Engine'!H$2:H$201,MATCH(A97,'Matching Engine'!A$2:A$201,0))=1,"⚧","")))</f>
        <v xml:space="preserve">♂ </v>
      </c>
      <c r="D97" s="22">
        <f>IF(A97="","",INDEX('Matching Engine'!L$2:L$201,MATCH(A97,'Matching Engine'!A$2:A$201,0)))</f>
        <v>26</v>
      </c>
      <c r="E97" s="22" t="str">
        <f t="shared" si="2"/>
        <v>53% — 26 of 49 compatible</v>
      </c>
    </row>
    <row r="98" spans="1:5" ht="14.25" customHeight="1" x14ac:dyDescent="0.35">
      <c r="A98" s="32" t="str">
        <f>IFERROR(INDEX('Matching Engine'!A$2:A$201,MATCH(ROW()-71,'Matching Engine'!M$2:M$201,0)),"")</f>
        <v>Cuddy</v>
      </c>
      <c r="B98" s="22" t="str">
        <f>IF(A98="","",INDEX('Matching Engine'!B$2:B$201,MATCH(A98,'Matching Engine'!A$2:A$201,0)))</f>
        <v>Female</v>
      </c>
      <c r="C98" s="22" t="str">
        <f>IF(A98="","",IF(AND(INDEX('Matching Engine'!F$2:F$201,MATCH(A98,'Matching Engine'!A$2:A$201,0))=0,INDEX('Matching Engine'!G$2:G$201,MATCH(A98,'Matching Engine'!A$2:A$201,0))=0,INDEX('Matching Engine'!H$2:H$201,MATCH(A98,'Matching Engine'!A$2:A$201,0))=0),"None",IF(INDEX('Matching Engine'!F$2:F$201,MATCH(A98,'Matching Engine'!A$2:A$201,0))=1,"♂ ","")&amp;IF(INDEX('Matching Engine'!G$2:G$201,MATCH(A98,'Matching Engine'!A$2:A$201,0))=1,"♀ ","")&amp;IF(INDEX('Matching Engine'!H$2:H$201,MATCH(A98,'Matching Engine'!A$2:A$201,0))=1,"⚧","")))</f>
        <v xml:space="preserve">♂ </v>
      </c>
      <c r="D98" s="22">
        <f>IF(A98="","",INDEX('Matching Engine'!L$2:L$201,MATCH(A98,'Matching Engine'!A$2:A$201,0)))</f>
        <v>26</v>
      </c>
      <c r="E98" s="22" t="str">
        <f t="shared" si="2"/>
        <v>53% — 26 of 49 compatible</v>
      </c>
    </row>
    <row r="99" spans="1:5" ht="14.25" customHeight="1" x14ac:dyDescent="0.35">
      <c r="A99" s="32" t="str">
        <f>IFERROR(INDEX('Matching Engine'!A$2:A$201,MATCH(ROW()-71,'Matching Engine'!M$2:M$201,0)),"")</f>
        <v>Katy Perry</v>
      </c>
      <c r="B99" s="22" t="str">
        <f>IF(A99="","",INDEX('Matching Engine'!B$2:B$201,MATCH(A99,'Matching Engine'!A$2:A$201,0)))</f>
        <v>Female</v>
      </c>
      <c r="C99" s="22" t="str">
        <f>IF(A99="","",IF(AND(INDEX('Matching Engine'!F$2:F$201,MATCH(A99,'Matching Engine'!A$2:A$201,0))=0,INDEX('Matching Engine'!G$2:G$201,MATCH(A99,'Matching Engine'!A$2:A$201,0))=0,INDEX('Matching Engine'!H$2:H$201,MATCH(A99,'Matching Engine'!A$2:A$201,0))=0),"None",IF(INDEX('Matching Engine'!F$2:F$201,MATCH(A99,'Matching Engine'!A$2:A$201,0))=1,"♂ ","")&amp;IF(INDEX('Matching Engine'!G$2:G$201,MATCH(A99,'Matching Engine'!A$2:A$201,0))=1,"♀ ","")&amp;IF(INDEX('Matching Engine'!H$2:H$201,MATCH(A99,'Matching Engine'!A$2:A$201,0))=1,"⚧","")))</f>
        <v xml:space="preserve">♂ </v>
      </c>
      <c r="D99" s="22">
        <f>IF(A99="","",INDEX('Matching Engine'!L$2:L$201,MATCH(A99,'Matching Engine'!A$2:A$201,0)))</f>
        <v>26</v>
      </c>
      <c r="E99" s="22" t="str">
        <f t="shared" si="2"/>
        <v>53% — 26 of 49 compatible</v>
      </c>
    </row>
    <row r="100" spans="1:5" ht="14.25" customHeight="1" x14ac:dyDescent="0.35">
      <c r="A100" s="32" t="str">
        <f>IFERROR(INDEX('Matching Engine'!A$2:A$201,MATCH(ROW()-71,'Matching Engine'!M$2:M$201,0)),"")</f>
        <v>Chase</v>
      </c>
      <c r="B100" s="22" t="str">
        <f>IF(A100="","",INDEX('Matching Engine'!B$2:B$201,MATCH(A100,'Matching Engine'!A$2:A$201,0)))</f>
        <v>Male</v>
      </c>
      <c r="C100" s="22" t="str">
        <f>IF(A100="","",IF(AND(INDEX('Matching Engine'!F$2:F$201,MATCH(A100,'Matching Engine'!A$2:A$201,0))=0,INDEX('Matching Engine'!G$2:G$201,MATCH(A100,'Matching Engine'!A$2:A$201,0))=0,INDEX('Matching Engine'!H$2:H$201,MATCH(A100,'Matching Engine'!A$2:A$201,0))=0),"None",IF(INDEX('Matching Engine'!F$2:F$201,MATCH(A100,'Matching Engine'!A$2:A$201,0))=1,"♂ ","")&amp;IF(INDEX('Matching Engine'!G$2:G$201,MATCH(A100,'Matching Engine'!A$2:A$201,0))=1,"♀ ","")&amp;IF(INDEX('Matching Engine'!H$2:H$201,MATCH(A100,'Matching Engine'!A$2:A$201,0))=1,"⚧","")))</f>
        <v>♂ ♀ ⚧</v>
      </c>
      <c r="D100" s="22">
        <f>IF(A100="","",INDEX('Matching Engine'!L$2:L$201,MATCH(A100,'Matching Engine'!A$2:A$201,0)))</f>
        <v>32</v>
      </c>
      <c r="E100" s="22" t="str">
        <f t="shared" si="2"/>
        <v>65% — 32 of 49 compatible</v>
      </c>
    </row>
    <row r="101" spans="1:5" ht="14.25" customHeight="1" x14ac:dyDescent="0.35">
      <c r="A101" s="32" t="str">
        <f>IFERROR(INDEX('Matching Engine'!A$2:A$201,MATCH(ROW()-71,'Matching Engine'!M$2:M$201,0)),"")</f>
        <v>Dave Strider</v>
      </c>
      <c r="B101" s="22" t="str">
        <f>IF(A101="","",INDEX('Matching Engine'!B$2:B$201,MATCH(A101,'Matching Engine'!A$2:A$201,0)))</f>
        <v>Male</v>
      </c>
      <c r="C101" s="22" t="str">
        <f>IF(A101="","",IF(AND(INDEX('Matching Engine'!F$2:F$201,MATCH(A101,'Matching Engine'!A$2:A$201,0))=0,INDEX('Matching Engine'!G$2:G$201,MATCH(A101,'Matching Engine'!A$2:A$201,0))=0,INDEX('Matching Engine'!H$2:H$201,MATCH(A101,'Matching Engine'!A$2:A$201,0))=0),"None",IF(INDEX('Matching Engine'!F$2:F$201,MATCH(A101,'Matching Engine'!A$2:A$201,0))=1,"♂ ","")&amp;IF(INDEX('Matching Engine'!G$2:G$201,MATCH(A101,'Matching Engine'!A$2:A$201,0))=1,"♀ ","")&amp;IF(INDEX('Matching Engine'!H$2:H$201,MATCH(A101,'Matching Engine'!A$2:A$201,0))=1,"⚧","")))</f>
        <v>♂ ♀ ⚧</v>
      </c>
      <c r="D101" s="22">
        <f>IF(A101="","",INDEX('Matching Engine'!L$2:L$201,MATCH(A101,'Matching Engine'!A$2:A$201,0)))</f>
        <v>32</v>
      </c>
      <c r="E101" s="22" t="str">
        <f t="shared" si="2"/>
        <v>65% — 32 of 49 compatible</v>
      </c>
    </row>
    <row r="102" spans="1:5" ht="14.25" customHeight="1" x14ac:dyDescent="0.35">
      <c r="A102" s="32" t="str">
        <f>IFERROR(INDEX('Matching Engine'!A$2:A$201,MATCH(ROW()-71,'Matching Engine'!M$2:M$201,0)),"")</f>
        <v>Equius Zahhak</v>
      </c>
      <c r="B102" s="22" t="str">
        <f>IF(A102="","",INDEX('Matching Engine'!B$2:B$201,MATCH(A102,'Matching Engine'!A$2:A$201,0)))</f>
        <v>Male</v>
      </c>
      <c r="C102" s="22" t="str">
        <f>IF(A102="","",IF(AND(INDEX('Matching Engine'!F$2:F$201,MATCH(A102,'Matching Engine'!A$2:A$201,0))=0,INDEX('Matching Engine'!G$2:G$201,MATCH(A102,'Matching Engine'!A$2:A$201,0))=0,INDEX('Matching Engine'!H$2:H$201,MATCH(A102,'Matching Engine'!A$2:A$201,0))=0),"None",IF(INDEX('Matching Engine'!F$2:F$201,MATCH(A102,'Matching Engine'!A$2:A$201,0))=1,"♂ ","")&amp;IF(INDEX('Matching Engine'!G$2:G$201,MATCH(A102,'Matching Engine'!A$2:A$201,0))=1,"♀ ","")&amp;IF(INDEX('Matching Engine'!H$2:H$201,MATCH(A102,'Matching Engine'!A$2:A$201,0))=1,"⚧","")))</f>
        <v>♂ ♀ ⚧</v>
      </c>
      <c r="D102" s="22">
        <f>IF(A102="","",INDEX('Matching Engine'!L$2:L$201,MATCH(A102,'Matching Engine'!A$2:A$201,0)))</f>
        <v>32</v>
      </c>
      <c r="E102" s="22" t="str">
        <f t="shared" si="2"/>
        <v>65% — 32 of 49 compatible</v>
      </c>
    </row>
    <row r="103" spans="1:5" ht="14.25" customHeight="1" x14ac:dyDescent="0.35">
      <c r="A103" s="32" t="str">
        <f>IFERROR(INDEX('Matching Engine'!A$2:A$201,MATCH(ROW()-71,'Matching Engine'!M$2:M$201,0)),"")</f>
        <v>Eridan Ampora</v>
      </c>
      <c r="B103" s="22" t="str">
        <f>IF(A103="","",INDEX('Matching Engine'!B$2:B$201,MATCH(A103,'Matching Engine'!A$2:A$201,0)))</f>
        <v>Male</v>
      </c>
      <c r="C103" s="22" t="str">
        <f>IF(A103="","",IF(AND(INDEX('Matching Engine'!F$2:F$201,MATCH(A103,'Matching Engine'!A$2:A$201,0))=0,INDEX('Matching Engine'!G$2:G$201,MATCH(A103,'Matching Engine'!A$2:A$201,0))=0,INDEX('Matching Engine'!H$2:H$201,MATCH(A103,'Matching Engine'!A$2:A$201,0))=0),"None",IF(INDEX('Matching Engine'!F$2:F$201,MATCH(A103,'Matching Engine'!A$2:A$201,0))=1,"♂ ","")&amp;IF(INDEX('Matching Engine'!G$2:G$201,MATCH(A103,'Matching Engine'!A$2:A$201,0))=1,"♀ ","")&amp;IF(INDEX('Matching Engine'!H$2:H$201,MATCH(A103,'Matching Engine'!A$2:A$201,0))=1,"⚧","")))</f>
        <v>♂ ♀ ⚧</v>
      </c>
      <c r="D103" s="22">
        <f>IF(A103="","",INDEX('Matching Engine'!L$2:L$201,MATCH(A103,'Matching Engine'!A$2:A$201,0)))</f>
        <v>32</v>
      </c>
      <c r="E103" s="22" t="str">
        <f t="shared" si="2"/>
        <v>65% — 32 of 49 compatible</v>
      </c>
    </row>
    <row r="104" spans="1:5" ht="14.25" customHeight="1" x14ac:dyDescent="0.35">
      <c r="A104" s="32" t="str">
        <f>IFERROR(INDEX('Matching Engine'!A$2:A$201,MATCH(ROW()-71,'Matching Engine'!M$2:M$201,0)),"")</f>
        <v>Gamzee Makara</v>
      </c>
      <c r="B104" s="22" t="str">
        <f>IF(A104="","",INDEX('Matching Engine'!B$2:B$201,MATCH(A104,'Matching Engine'!A$2:A$201,0)))</f>
        <v>Male</v>
      </c>
      <c r="C104" s="22" t="str">
        <f>IF(A104="","",IF(AND(INDEX('Matching Engine'!F$2:F$201,MATCH(A104,'Matching Engine'!A$2:A$201,0))=0,INDEX('Matching Engine'!G$2:G$201,MATCH(A104,'Matching Engine'!A$2:A$201,0))=0,INDEX('Matching Engine'!H$2:H$201,MATCH(A104,'Matching Engine'!A$2:A$201,0))=0),"None",IF(INDEX('Matching Engine'!F$2:F$201,MATCH(A104,'Matching Engine'!A$2:A$201,0))=1,"♂ ","")&amp;IF(INDEX('Matching Engine'!G$2:G$201,MATCH(A104,'Matching Engine'!A$2:A$201,0))=1,"♀ ","")&amp;IF(INDEX('Matching Engine'!H$2:H$201,MATCH(A104,'Matching Engine'!A$2:A$201,0))=1,"⚧","")))</f>
        <v>♂ ♀ ⚧</v>
      </c>
      <c r="D104" s="22">
        <f>IF(A104="","",INDEX('Matching Engine'!L$2:L$201,MATCH(A104,'Matching Engine'!A$2:A$201,0)))</f>
        <v>32</v>
      </c>
      <c r="E104" s="22" t="str">
        <f t="shared" si="2"/>
        <v>65% — 32 of 49 compatible</v>
      </c>
    </row>
    <row r="105" spans="1:5" ht="14.25" customHeight="1" x14ac:dyDescent="0.35">
      <c r="A105" s="32" t="str">
        <f>IFERROR(INDEX('Matching Engine'!A$2:A$201,MATCH(ROW()-71,'Matching Engine'!M$2:M$201,0)),"")</f>
        <v>Hugh Morris</v>
      </c>
      <c r="B105" s="22" t="str">
        <f>IF(A105="","",INDEX('Matching Engine'!B$2:B$201,MATCH(A105,'Matching Engine'!A$2:A$201,0)))</f>
        <v>Male</v>
      </c>
      <c r="C105" s="22" t="str">
        <f>IF(A105="","",IF(AND(INDEX('Matching Engine'!F$2:F$201,MATCH(A105,'Matching Engine'!A$2:A$201,0))=0,INDEX('Matching Engine'!G$2:G$201,MATCH(A105,'Matching Engine'!A$2:A$201,0))=0,INDEX('Matching Engine'!H$2:H$201,MATCH(A105,'Matching Engine'!A$2:A$201,0))=0),"None",IF(INDEX('Matching Engine'!F$2:F$201,MATCH(A105,'Matching Engine'!A$2:A$201,0))=1,"♂ ","")&amp;IF(INDEX('Matching Engine'!G$2:G$201,MATCH(A105,'Matching Engine'!A$2:A$201,0))=1,"♀ ","")&amp;IF(INDEX('Matching Engine'!H$2:H$201,MATCH(A105,'Matching Engine'!A$2:A$201,0))=1,"⚧","")))</f>
        <v>♂ ♀ ⚧</v>
      </c>
      <c r="D105" s="22">
        <f>IF(A105="","",INDEX('Matching Engine'!L$2:L$201,MATCH(A105,'Matching Engine'!A$2:A$201,0)))</f>
        <v>32</v>
      </c>
      <c r="E105" s="22" t="str">
        <f t="shared" si="2"/>
        <v>65% — 32 of 49 compatible</v>
      </c>
    </row>
    <row r="106" spans="1:5" ht="14.25" customHeight="1" x14ac:dyDescent="0.35">
      <c r="A106" s="32" t="str">
        <f>IFERROR(INDEX('Matching Engine'!A$2:A$201,MATCH(ROW()-71,'Matching Engine'!M$2:M$201,0)),"")</f>
        <v>Jason Speer</v>
      </c>
      <c r="B106" s="22" t="str">
        <f>IF(A106="","",INDEX('Matching Engine'!B$2:B$201,MATCH(A106,'Matching Engine'!A$2:A$201,0)))</f>
        <v>Male</v>
      </c>
      <c r="C106" s="22" t="str">
        <f>IF(A106="","",IF(AND(INDEX('Matching Engine'!F$2:F$201,MATCH(A106,'Matching Engine'!A$2:A$201,0))=0,INDEX('Matching Engine'!G$2:G$201,MATCH(A106,'Matching Engine'!A$2:A$201,0))=0,INDEX('Matching Engine'!H$2:H$201,MATCH(A106,'Matching Engine'!A$2:A$201,0))=0),"None",IF(INDEX('Matching Engine'!F$2:F$201,MATCH(A106,'Matching Engine'!A$2:A$201,0))=1,"♂ ","")&amp;IF(INDEX('Matching Engine'!G$2:G$201,MATCH(A106,'Matching Engine'!A$2:A$201,0))=1,"♀ ","")&amp;IF(INDEX('Matching Engine'!H$2:H$201,MATCH(A106,'Matching Engine'!A$2:A$201,0))=1,"⚧","")))</f>
        <v>♂ ♀ ⚧</v>
      </c>
      <c r="D106" s="22">
        <f>IF(A106="","",INDEX('Matching Engine'!L$2:L$201,MATCH(A106,'Matching Engine'!A$2:A$201,0)))</f>
        <v>32</v>
      </c>
      <c r="E106" s="22" t="str">
        <f t="shared" si="2"/>
        <v>65% — 32 of 49 compatible</v>
      </c>
    </row>
    <row r="107" spans="1:5" ht="14.25" customHeight="1" x14ac:dyDescent="0.35">
      <c r="A107" s="32" t="str">
        <f>IFERROR(INDEX('Matching Engine'!A$2:A$201,MATCH(ROW()-71,'Matching Engine'!M$2:M$201,0)),"")</f>
        <v>Karkat Vantas</v>
      </c>
      <c r="B107" s="22" t="str">
        <f>IF(A107="","",INDEX('Matching Engine'!B$2:B$201,MATCH(A107,'Matching Engine'!A$2:A$201,0)))</f>
        <v>Male</v>
      </c>
      <c r="C107" s="22" t="str">
        <f>IF(A107="","",IF(AND(INDEX('Matching Engine'!F$2:F$201,MATCH(A107,'Matching Engine'!A$2:A$201,0))=0,INDEX('Matching Engine'!G$2:G$201,MATCH(A107,'Matching Engine'!A$2:A$201,0))=0,INDEX('Matching Engine'!H$2:H$201,MATCH(A107,'Matching Engine'!A$2:A$201,0))=0),"None",IF(INDEX('Matching Engine'!F$2:F$201,MATCH(A107,'Matching Engine'!A$2:A$201,0))=1,"♂ ","")&amp;IF(INDEX('Matching Engine'!G$2:G$201,MATCH(A107,'Matching Engine'!A$2:A$201,0))=1,"♀ ","")&amp;IF(INDEX('Matching Engine'!H$2:H$201,MATCH(A107,'Matching Engine'!A$2:A$201,0))=1,"⚧","")))</f>
        <v>♂ ♀ ⚧</v>
      </c>
      <c r="D107" s="22">
        <f>IF(A107="","",INDEX('Matching Engine'!L$2:L$201,MATCH(A107,'Matching Engine'!A$2:A$201,0)))</f>
        <v>32</v>
      </c>
      <c r="E107" s="22" t="str">
        <f t="shared" ref="E107:E138" si="3">IF(A107="","",IF(D107=0,"0% — no compatible partners",TEXT(D107/($B$6-1),"0%")&amp;" — "&amp;D107&amp;" of "&amp;($B$6-1)&amp;" compatible"))</f>
        <v>65% — 32 of 49 compatible</v>
      </c>
    </row>
    <row r="108" spans="1:5" ht="14.25" customHeight="1" x14ac:dyDescent="0.35">
      <c r="A108" s="32" t="str">
        <f>IFERROR(INDEX('Matching Engine'!A$2:A$201,MATCH(ROW()-71,'Matching Engine'!M$2:M$201,0)),"")</f>
        <v>Michael Newman</v>
      </c>
      <c r="B108" s="22" t="str">
        <f>IF(A108="","",INDEX('Matching Engine'!B$2:B$201,MATCH(A108,'Matching Engine'!A$2:A$201,0)))</f>
        <v>Male</v>
      </c>
      <c r="C108" s="22" t="str">
        <f>IF(A108="","",IF(AND(INDEX('Matching Engine'!F$2:F$201,MATCH(A108,'Matching Engine'!A$2:A$201,0))=0,INDEX('Matching Engine'!G$2:G$201,MATCH(A108,'Matching Engine'!A$2:A$201,0))=0,INDEX('Matching Engine'!H$2:H$201,MATCH(A108,'Matching Engine'!A$2:A$201,0))=0),"None",IF(INDEX('Matching Engine'!F$2:F$201,MATCH(A108,'Matching Engine'!A$2:A$201,0))=1,"♂ ","")&amp;IF(INDEX('Matching Engine'!G$2:G$201,MATCH(A108,'Matching Engine'!A$2:A$201,0))=1,"♀ ","")&amp;IF(INDEX('Matching Engine'!H$2:H$201,MATCH(A108,'Matching Engine'!A$2:A$201,0))=1,"⚧","")))</f>
        <v>♂ ♀ ⚧</v>
      </c>
      <c r="D108" s="22">
        <f>IF(A108="","",INDEX('Matching Engine'!L$2:L$201,MATCH(A108,'Matching Engine'!A$2:A$201,0)))</f>
        <v>32</v>
      </c>
      <c r="E108" s="22" t="str">
        <f t="shared" si="3"/>
        <v>65% — 32 of 49 compatible</v>
      </c>
    </row>
    <row r="109" spans="1:5" ht="14.25" customHeight="1" x14ac:dyDescent="0.35">
      <c r="A109" s="32" t="str">
        <f>IFERROR(INDEX('Matching Engine'!A$2:A$201,MATCH(ROW()-71,'Matching Engine'!M$2:M$201,0)),"")</f>
        <v>Randy Sexton</v>
      </c>
      <c r="B109" s="22" t="str">
        <f>IF(A109="","",INDEX('Matching Engine'!B$2:B$201,MATCH(A109,'Matching Engine'!A$2:A$201,0)))</f>
        <v>Male</v>
      </c>
      <c r="C109" s="22" t="str">
        <f>IF(A109="","",IF(AND(INDEX('Matching Engine'!F$2:F$201,MATCH(A109,'Matching Engine'!A$2:A$201,0))=0,INDEX('Matching Engine'!G$2:G$201,MATCH(A109,'Matching Engine'!A$2:A$201,0))=0,INDEX('Matching Engine'!H$2:H$201,MATCH(A109,'Matching Engine'!A$2:A$201,0))=0),"None",IF(INDEX('Matching Engine'!F$2:F$201,MATCH(A109,'Matching Engine'!A$2:A$201,0))=1,"♂ ","")&amp;IF(INDEX('Matching Engine'!G$2:G$201,MATCH(A109,'Matching Engine'!A$2:A$201,0))=1,"♀ ","")&amp;IF(INDEX('Matching Engine'!H$2:H$201,MATCH(A109,'Matching Engine'!A$2:A$201,0))=1,"⚧","")))</f>
        <v>♂ ♀ ⚧</v>
      </c>
      <c r="D109" s="22">
        <f>IF(A109="","",INDEX('Matching Engine'!L$2:L$201,MATCH(A109,'Matching Engine'!A$2:A$201,0)))</f>
        <v>32</v>
      </c>
      <c r="E109" s="22" t="str">
        <f t="shared" si="3"/>
        <v>65% — 32 of 49 compatible</v>
      </c>
    </row>
    <row r="110" spans="1:5" ht="14.25" customHeight="1" x14ac:dyDescent="0.35">
      <c r="A110" s="32" t="str">
        <f>IFERROR(INDEX('Matching Engine'!A$2:A$201,MATCH(ROW()-71,'Matching Engine'!M$2:M$201,0)),"")</f>
        <v>Sollux Captor</v>
      </c>
      <c r="B110" s="22" t="str">
        <f>IF(A110="","",INDEX('Matching Engine'!B$2:B$201,MATCH(A110,'Matching Engine'!A$2:A$201,0)))</f>
        <v>Male</v>
      </c>
      <c r="C110" s="22" t="str">
        <f>IF(A110="","",IF(AND(INDEX('Matching Engine'!F$2:F$201,MATCH(A110,'Matching Engine'!A$2:A$201,0))=0,INDEX('Matching Engine'!G$2:G$201,MATCH(A110,'Matching Engine'!A$2:A$201,0))=0,INDEX('Matching Engine'!H$2:H$201,MATCH(A110,'Matching Engine'!A$2:A$201,0))=0),"None",IF(INDEX('Matching Engine'!F$2:F$201,MATCH(A110,'Matching Engine'!A$2:A$201,0))=1,"♂ ","")&amp;IF(INDEX('Matching Engine'!G$2:G$201,MATCH(A110,'Matching Engine'!A$2:A$201,0))=1,"♀ ","")&amp;IF(INDEX('Matching Engine'!H$2:H$201,MATCH(A110,'Matching Engine'!A$2:A$201,0))=1,"⚧","")))</f>
        <v>♂ ♀ ⚧</v>
      </c>
      <c r="D110" s="22">
        <f>IF(A110="","",INDEX('Matching Engine'!L$2:L$201,MATCH(A110,'Matching Engine'!A$2:A$201,0)))</f>
        <v>32</v>
      </c>
      <c r="E110" s="22" t="str">
        <f t="shared" si="3"/>
        <v>65% — 32 of 49 compatible</v>
      </c>
    </row>
    <row r="111" spans="1:5" ht="14.25" customHeight="1" x14ac:dyDescent="0.35">
      <c r="A111" s="32" t="str">
        <f>IFERROR(INDEX('Matching Engine'!A$2:A$201,MATCH(ROW()-71,'Matching Engine'!M$2:M$201,0)),"")</f>
        <v>Tavros Nitram</v>
      </c>
      <c r="B111" s="22" t="str">
        <f>IF(A111="","",INDEX('Matching Engine'!B$2:B$201,MATCH(A111,'Matching Engine'!A$2:A$201,0)))</f>
        <v>Male</v>
      </c>
      <c r="C111" s="22" t="str">
        <f>IF(A111="","",IF(AND(INDEX('Matching Engine'!F$2:F$201,MATCH(A111,'Matching Engine'!A$2:A$201,0))=0,INDEX('Matching Engine'!G$2:G$201,MATCH(A111,'Matching Engine'!A$2:A$201,0))=0,INDEX('Matching Engine'!H$2:H$201,MATCH(A111,'Matching Engine'!A$2:A$201,0))=0),"None",IF(INDEX('Matching Engine'!F$2:F$201,MATCH(A111,'Matching Engine'!A$2:A$201,0))=1,"♂ ","")&amp;IF(INDEX('Matching Engine'!G$2:G$201,MATCH(A111,'Matching Engine'!A$2:A$201,0))=1,"♀ ","")&amp;IF(INDEX('Matching Engine'!H$2:H$201,MATCH(A111,'Matching Engine'!A$2:A$201,0))=1,"⚧","")))</f>
        <v>♂ ♀ ⚧</v>
      </c>
      <c r="D111" s="22">
        <f>IF(A111="","",INDEX('Matching Engine'!L$2:L$201,MATCH(A111,'Matching Engine'!A$2:A$201,0)))</f>
        <v>32</v>
      </c>
      <c r="E111" s="22" t="str">
        <f t="shared" si="3"/>
        <v>65% — 32 of 49 compatible</v>
      </c>
    </row>
    <row r="112" spans="1:5" ht="14.25" customHeight="1" x14ac:dyDescent="0.35">
      <c r="A112" s="32" t="str">
        <f>IFERROR(INDEX('Matching Engine'!A$2:A$201,MATCH(ROW()-71,'Matching Engine'!M$2:M$201,0)),"")</f>
        <v>Thirteen</v>
      </c>
      <c r="B112" s="22" t="str">
        <f>IF(A112="","",INDEX('Matching Engine'!B$2:B$201,MATCH(A112,'Matching Engine'!A$2:A$201,0)))</f>
        <v>Female</v>
      </c>
      <c r="C112" s="22" t="str">
        <f>IF(A112="","",IF(AND(INDEX('Matching Engine'!F$2:F$201,MATCH(A112,'Matching Engine'!A$2:A$201,0))=0,INDEX('Matching Engine'!G$2:G$201,MATCH(A112,'Matching Engine'!A$2:A$201,0))=0,INDEX('Matching Engine'!H$2:H$201,MATCH(A112,'Matching Engine'!A$2:A$201,0))=0),"None",IF(INDEX('Matching Engine'!F$2:F$201,MATCH(A112,'Matching Engine'!A$2:A$201,0))=1,"♂ ","")&amp;IF(INDEX('Matching Engine'!G$2:G$201,MATCH(A112,'Matching Engine'!A$2:A$201,0))=1,"♀ ","")&amp;IF(INDEX('Matching Engine'!H$2:H$201,MATCH(A112,'Matching Engine'!A$2:A$201,0))=1,"⚧","")))</f>
        <v xml:space="preserve">♂ ♀ </v>
      </c>
      <c r="D112" s="22">
        <f>IF(A112="","",INDEX('Matching Engine'!L$2:L$201,MATCH(A112,'Matching Engine'!A$2:A$201,0)))</f>
        <v>37</v>
      </c>
      <c r="E112" s="22" t="str">
        <f t="shared" si="3"/>
        <v>76% — 37 of 49 compatible</v>
      </c>
    </row>
    <row r="113" spans="1:5" ht="14.25" customHeight="1" x14ac:dyDescent="0.35">
      <c r="A113" s="32" t="str">
        <f>IFERROR(INDEX('Matching Engine'!A$2:A$201,MATCH(ROW()-71,'Matching Engine'!M$2:M$201,0)),"")</f>
        <v>Aradia Megido</v>
      </c>
      <c r="B113" s="22" t="str">
        <f>IF(A113="","",INDEX('Matching Engine'!B$2:B$201,MATCH(A113,'Matching Engine'!A$2:A$201,0)))</f>
        <v>Female</v>
      </c>
      <c r="C113" s="22" t="str">
        <f>IF(A113="","",IF(AND(INDEX('Matching Engine'!F$2:F$201,MATCH(A113,'Matching Engine'!A$2:A$201,0))=0,INDEX('Matching Engine'!G$2:G$201,MATCH(A113,'Matching Engine'!A$2:A$201,0))=0,INDEX('Matching Engine'!H$2:H$201,MATCH(A113,'Matching Engine'!A$2:A$201,0))=0),"None",IF(INDEX('Matching Engine'!F$2:F$201,MATCH(A113,'Matching Engine'!A$2:A$201,0))=1,"♂ ","")&amp;IF(INDEX('Matching Engine'!G$2:G$201,MATCH(A113,'Matching Engine'!A$2:A$201,0))=1,"♀ ","")&amp;IF(INDEX('Matching Engine'!H$2:H$201,MATCH(A113,'Matching Engine'!A$2:A$201,0))=1,"⚧","")))</f>
        <v>♂ ♀ ⚧</v>
      </c>
      <c r="D113" s="22">
        <f>IF(A113="","",INDEX('Matching Engine'!L$2:L$201,MATCH(A113,'Matching Engine'!A$2:A$201,0)))</f>
        <v>38</v>
      </c>
      <c r="E113" s="22" t="str">
        <f t="shared" si="3"/>
        <v>78% — 38 of 49 compatible</v>
      </c>
    </row>
    <row r="114" spans="1:5" ht="14.25" customHeight="1" x14ac:dyDescent="0.35">
      <c r="A114" s="32" t="str">
        <f>IFERROR(INDEX('Matching Engine'!A$2:A$201,MATCH(ROW()-71,'Matching Engine'!M$2:M$201,0)),"")</f>
        <v>Dr. Winters</v>
      </c>
      <c r="B114" s="22" t="str">
        <f>IF(A114="","",INDEX('Matching Engine'!B$2:B$201,MATCH(A114,'Matching Engine'!A$2:A$201,0)))</f>
        <v>Female</v>
      </c>
      <c r="C114" s="22" t="str">
        <f>IF(A114="","",IF(AND(INDEX('Matching Engine'!F$2:F$201,MATCH(A114,'Matching Engine'!A$2:A$201,0))=0,INDEX('Matching Engine'!G$2:G$201,MATCH(A114,'Matching Engine'!A$2:A$201,0))=0,INDEX('Matching Engine'!H$2:H$201,MATCH(A114,'Matching Engine'!A$2:A$201,0))=0),"None",IF(INDEX('Matching Engine'!F$2:F$201,MATCH(A114,'Matching Engine'!A$2:A$201,0))=1,"♂ ","")&amp;IF(INDEX('Matching Engine'!G$2:G$201,MATCH(A114,'Matching Engine'!A$2:A$201,0))=1,"♀ ","")&amp;IF(INDEX('Matching Engine'!H$2:H$201,MATCH(A114,'Matching Engine'!A$2:A$201,0))=1,"⚧","")))</f>
        <v>♂ ♀ ⚧</v>
      </c>
      <c r="D114" s="22">
        <f>IF(A114="","",INDEX('Matching Engine'!L$2:L$201,MATCH(A114,'Matching Engine'!A$2:A$201,0)))</f>
        <v>38</v>
      </c>
      <c r="E114" s="22" t="str">
        <f t="shared" si="3"/>
        <v>78% — 38 of 49 compatible</v>
      </c>
    </row>
    <row r="115" spans="1:5" ht="14.25" customHeight="1" x14ac:dyDescent="0.35">
      <c r="A115" s="32" t="str">
        <f>IFERROR(INDEX('Matching Engine'!A$2:A$201,MATCH(ROW()-71,'Matching Engine'!M$2:M$201,0)),"")</f>
        <v>Feferi Peixes</v>
      </c>
      <c r="B115" s="22" t="str">
        <f>IF(A115="","",INDEX('Matching Engine'!B$2:B$201,MATCH(A115,'Matching Engine'!A$2:A$201,0)))</f>
        <v>Female</v>
      </c>
      <c r="C115" s="22" t="str">
        <f>IF(A115="","",IF(AND(INDEX('Matching Engine'!F$2:F$201,MATCH(A115,'Matching Engine'!A$2:A$201,0))=0,INDEX('Matching Engine'!G$2:G$201,MATCH(A115,'Matching Engine'!A$2:A$201,0))=0,INDEX('Matching Engine'!H$2:H$201,MATCH(A115,'Matching Engine'!A$2:A$201,0))=0),"None",IF(INDEX('Matching Engine'!F$2:F$201,MATCH(A115,'Matching Engine'!A$2:A$201,0))=1,"♂ ","")&amp;IF(INDEX('Matching Engine'!G$2:G$201,MATCH(A115,'Matching Engine'!A$2:A$201,0))=1,"♀ ","")&amp;IF(INDEX('Matching Engine'!H$2:H$201,MATCH(A115,'Matching Engine'!A$2:A$201,0))=1,"⚧","")))</f>
        <v>♂ ♀ ⚧</v>
      </c>
      <c r="D115" s="22">
        <f>IF(A115="","",INDEX('Matching Engine'!L$2:L$201,MATCH(A115,'Matching Engine'!A$2:A$201,0)))</f>
        <v>38</v>
      </c>
      <c r="E115" s="22" t="str">
        <f t="shared" si="3"/>
        <v>78% — 38 of 49 compatible</v>
      </c>
    </row>
    <row r="116" spans="1:5" ht="14.25" customHeight="1" x14ac:dyDescent="0.35">
      <c r="A116" s="32" t="str">
        <f>IFERROR(INDEX('Matching Engine'!A$2:A$201,MATCH(ROW()-71,'Matching Engine'!M$2:M$201,0)),"")</f>
        <v>Jade Harley</v>
      </c>
      <c r="B116" s="22" t="str">
        <f>IF(A116="","",INDEX('Matching Engine'!B$2:B$201,MATCH(A116,'Matching Engine'!A$2:A$201,0)))</f>
        <v>Female</v>
      </c>
      <c r="C116" s="22" t="str">
        <f>IF(A116="","",IF(AND(INDEX('Matching Engine'!F$2:F$201,MATCH(A116,'Matching Engine'!A$2:A$201,0))=0,INDEX('Matching Engine'!G$2:G$201,MATCH(A116,'Matching Engine'!A$2:A$201,0))=0,INDEX('Matching Engine'!H$2:H$201,MATCH(A116,'Matching Engine'!A$2:A$201,0))=0),"None",IF(INDEX('Matching Engine'!F$2:F$201,MATCH(A116,'Matching Engine'!A$2:A$201,0))=1,"♂ ","")&amp;IF(INDEX('Matching Engine'!G$2:G$201,MATCH(A116,'Matching Engine'!A$2:A$201,0))=1,"♀ ","")&amp;IF(INDEX('Matching Engine'!H$2:H$201,MATCH(A116,'Matching Engine'!A$2:A$201,0))=1,"⚧","")))</f>
        <v>♂ ♀ ⚧</v>
      </c>
      <c r="D116" s="22">
        <f>IF(A116="","",INDEX('Matching Engine'!L$2:L$201,MATCH(A116,'Matching Engine'!A$2:A$201,0)))</f>
        <v>38</v>
      </c>
      <c r="E116" s="22" t="str">
        <f t="shared" si="3"/>
        <v>78% — 38 of 49 compatible</v>
      </c>
    </row>
    <row r="117" spans="1:5" ht="14.25" customHeight="1" x14ac:dyDescent="0.35">
      <c r="A117" s="32" t="str">
        <f>IFERROR(INDEX('Matching Engine'!A$2:A$201,MATCH(ROW()-71,'Matching Engine'!M$2:M$201,0)),"")</f>
        <v>June Egbert</v>
      </c>
      <c r="B117" s="22" t="str">
        <f>IF(A117="","",INDEX('Matching Engine'!B$2:B$201,MATCH(A117,'Matching Engine'!A$2:A$201,0)))</f>
        <v>Female</v>
      </c>
      <c r="C117" s="22" t="str">
        <f>IF(A117="","",IF(AND(INDEX('Matching Engine'!F$2:F$201,MATCH(A117,'Matching Engine'!A$2:A$201,0))=0,INDEX('Matching Engine'!G$2:G$201,MATCH(A117,'Matching Engine'!A$2:A$201,0))=0,INDEX('Matching Engine'!H$2:H$201,MATCH(A117,'Matching Engine'!A$2:A$201,0))=0),"None",IF(INDEX('Matching Engine'!F$2:F$201,MATCH(A117,'Matching Engine'!A$2:A$201,0))=1,"♂ ","")&amp;IF(INDEX('Matching Engine'!G$2:G$201,MATCH(A117,'Matching Engine'!A$2:A$201,0))=1,"♀ ","")&amp;IF(INDEX('Matching Engine'!H$2:H$201,MATCH(A117,'Matching Engine'!A$2:A$201,0))=1,"⚧","")))</f>
        <v>♂ ♀ ⚧</v>
      </c>
      <c r="D117" s="22">
        <f>IF(A117="","",INDEX('Matching Engine'!L$2:L$201,MATCH(A117,'Matching Engine'!A$2:A$201,0)))</f>
        <v>38</v>
      </c>
      <c r="E117" s="22" t="str">
        <f t="shared" si="3"/>
        <v>78% — 38 of 49 compatible</v>
      </c>
    </row>
    <row r="118" spans="1:5" ht="14.25" customHeight="1" x14ac:dyDescent="0.35">
      <c r="A118" s="32" t="str">
        <f>IFERROR(INDEX('Matching Engine'!A$2:A$201,MATCH(ROW()-71,'Matching Engine'!M$2:M$201,0)),"")</f>
        <v>Nepeta Leijon</v>
      </c>
      <c r="B118" s="22" t="str">
        <f>IF(A118="","",INDEX('Matching Engine'!B$2:B$201,MATCH(A118,'Matching Engine'!A$2:A$201,0)))</f>
        <v>Female</v>
      </c>
      <c r="C118" s="22" t="str">
        <f>IF(A118="","",IF(AND(INDEX('Matching Engine'!F$2:F$201,MATCH(A118,'Matching Engine'!A$2:A$201,0))=0,INDEX('Matching Engine'!G$2:G$201,MATCH(A118,'Matching Engine'!A$2:A$201,0))=0,INDEX('Matching Engine'!H$2:H$201,MATCH(A118,'Matching Engine'!A$2:A$201,0))=0),"None",IF(INDEX('Matching Engine'!F$2:F$201,MATCH(A118,'Matching Engine'!A$2:A$201,0))=1,"♂ ","")&amp;IF(INDEX('Matching Engine'!G$2:G$201,MATCH(A118,'Matching Engine'!A$2:A$201,0))=1,"♀ ","")&amp;IF(INDEX('Matching Engine'!H$2:H$201,MATCH(A118,'Matching Engine'!A$2:A$201,0))=1,"⚧","")))</f>
        <v>♂ ♀ ⚧</v>
      </c>
      <c r="D118" s="22">
        <f>IF(A118="","",INDEX('Matching Engine'!L$2:L$201,MATCH(A118,'Matching Engine'!A$2:A$201,0)))</f>
        <v>38</v>
      </c>
      <c r="E118" s="22" t="str">
        <f t="shared" si="3"/>
        <v>78% — 38 of 49 compatible</v>
      </c>
    </row>
    <row r="119" spans="1:5" ht="14.25" customHeight="1" x14ac:dyDescent="0.35">
      <c r="A119" s="32" t="str">
        <f>IFERROR(INDEX('Matching Engine'!A$2:A$201,MATCH(ROW()-71,'Matching Engine'!M$2:M$201,0)),"")</f>
        <v>Nikki</v>
      </c>
      <c r="B119" s="22" t="str">
        <f>IF(A119="","",INDEX('Matching Engine'!B$2:B$201,MATCH(A119,'Matching Engine'!A$2:A$201,0)))</f>
        <v>Female</v>
      </c>
      <c r="C119" s="22" t="str">
        <f>IF(A119="","",IF(AND(INDEX('Matching Engine'!F$2:F$201,MATCH(A119,'Matching Engine'!A$2:A$201,0))=0,INDEX('Matching Engine'!G$2:G$201,MATCH(A119,'Matching Engine'!A$2:A$201,0))=0,INDEX('Matching Engine'!H$2:H$201,MATCH(A119,'Matching Engine'!A$2:A$201,0))=0),"None",IF(INDEX('Matching Engine'!F$2:F$201,MATCH(A119,'Matching Engine'!A$2:A$201,0))=1,"♂ ","")&amp;IF(INDEX('Matching Engine'!G$2:G$201,MATCH(A119,'Matching Engine'!A$2:A$201,0))=1,"♀ ","")&amp;IF(INDEX('Matching Engine'!H$2:H$201,MATCH(A119,'Matching Engine'!A$2:A$201,0))=1,"⚧","")))</f>
        <v>♂ ♀ ⚧</v>
      </c>
      <c r="D119" s="22">
        <f>IF(A119="","",INDEX('Matching Engine'!L$2:L$201,MATCH(A119,'Matching Engine'!A$2:A$201,0)))</f>
        <v>38</v>
      </c>
      <c r="E119" s="22" t="str">
        <f t="shared" si="3"/>
        <v>78% — 38 of 49 compatible</v>
      </c>
    </row>
    <row r="120" spans="1:5" ht="14.25" customHeight="1" x14ac:dyDescent="0.35">
      <c r="A120" s="32" t="str">
        <f>IFERROR(INDEX('Matching Engine'!A$2:A$201,MATCH(ROW()-71,'Matching Engine'!M$2:M$201,0)),"")</f>
        <v>Terezi Pyrope</v>
      </c>
      <c r="B120" s="22" t="str">
        <f>IF(A120="","",INDEX('Matching Engine'!B$2:B$201,MATCH(A120,'Matching Engine'!A$2:A$201,0)))</f>
        <v>Female</v>
      </c>
      <c r="C120" s="22" t="str">
        <f>IF(A120="","",IF(AND(INDEX('Matching Engine'!F$2:F$201,MATCH(A120,'Matching Engine'!A$2:A$201,0))=0,INDEX('Matching Engine'!G$2:G$201,MATCH(A120,'Matching Engine'!A$2:A$201,0))=0,INDEX('Matching Engine'!H$2:H$201,MATCH(A120,'Matching Engine'!A$2:A$201,0))=0),"None",IF(INDEX('Matching Engine'!F$2:F$201,MATCH(A120,'Matching Engine'!A$2:A$201,0))=1,"♂ ","")&amp;IF(INDEX('Matching Engine'!G$2:G$201,MATCH(A120,'Matching Engine'!A$2:A$201,0))=1,"♀ ","")&amp;IF(INDEX('Matching Engine'!H$2:H$201,MATCH(A120,'Matching Engine'!A$2:A$201,0))=1,"⚧","")))</f>
        <v>♂ ♀ ⚧</v>
      </c>
      <c r="D120" s="22">
        <f>IF(A120="","",INDEX('Matching Engine'!L$2:L$201,MATCH(A120,'Matching Engine'!A$2:A$201,0)))</f>
        <v>38</v>
      </c>
      <c r="E120" s="22" t="str">
        <f t="shared" si="3"/>
        <v>78% — 38 of 49 compatible</v>
      </c>
    </row>
    <row r="121" spans="1:5" ht="14.25" customHeight="1" x14ac:dyDescent="0.35">
      <c r="A121" s="32" t="str">
        <f>IFERROR(INDEX('Matching Engine'!A$2:A$201,MATCH(ROW()-68,'Matching Engine'!M$2:M$201,0)),"")</f>
        <v/>
      </c>
      <c r="B121" s="22" t="str">
        <f>IF(A121="","",INDEX('Matching Engine'!B$2:B$201,MATCH(A121,'Matching Engine'!A$2:A$201,0)))</f>
        <v/>
      </c>
      <c r="C121" s="22" t="str">
        <f>IF(A121="","",IF(AND(INDEX('Matching Engine'!F$2:F$201,MATCH(A121,'Matching Engine'!A$2:A$201,0))=0,INDEX('Matching Engine'!G$2:G$201,MATCH(A121,'Matching Engine'!A$2:A$201,0))=0,INDEX('Matching Engine'!H$2:H$201,MATCH(A121,'Matching Engine'!A$2:A$201,0))=0),"None",IF(INDEX('Matching Engine'!F$2:F$201,MATCH(A121,'Matching Engine'!A$2:A$201,0))=1,"♂ ","")&amp;IF(INDEX('Matching Engine'!G$2:G$201,MATCH(A121,'Matching Engine'!A$2:A$201,0))=1,"♀ ","")&amp;IF(INDEX('Matching Engine'!H$2:H$201,MATCH(A121,'Matching Engine'!A$2:A$201,0))=1,"⚧","")))</f>
        <v/>
      </c>
      <c r="D121" s="22" t="str">
        <f>IF(A121="","",INDEX('Matching Engine'!L$2:L$201,MATCH(A121,'Matching Engine'!A$2:A$201,0)))</f>
        <v/>
      </c>
      <c r="E121" s="22" t="str">
        <f t="shared" si="3"/>
        <v/>
      </c>
    </row>
    <row r="122" spans="1:5" ht="14.25" customHeight="1" x14ac:dyDescent="0.35">
      <c r="A122" s="32" t="str">
        <f>IFERROR(INDEX('Matching Engine'!A$2:A$201,MATCH(ROW()-68,'Matching Engine'!M$2:M$201,0)),"")</f>
        <v/>
      </c>
      <c r="B122" s="22" t="str">
        <f>IF(A122="","",INDEX('Matching Engine'!B$2:B$201,MATCH(A122,'Matching Engine'!A$2:A$201,0)))</f>
        <v/>
      </c>
      <c r="C122" s="22" t="str">
        <f>IF(A122="","",IF(AND(INDEX('Matching Engine'!F$2:F$201,MATCH(A122,'Matching Engine'!A$2:A$201,0))=0,INDEX('Matching Engine'!G$2:G$201,MATCH(A122,'Matching Engine'!A$2:A$201,0))=0,INDEX('Matching Engine'!H$2:H$201,MATCH(A122,'Matching Engine'!A$2:A$201,0))=0),"None",IF(INDEX('Matching Engine'!F$2:F$201,MATCH(A122,'Matching Engine'!A$2:A$201,0))=1,"♂ ","")&amp;IF(INDEX('Matching Engine'!G$2:G$201,MATCH(A122,'Matching Engine'!A$2:A$201,0))=1,"♀ ","")&amp;IF(INDEX('Matching Engine'!H$2:H$201,MATCH(A122,'Matching Engine'!A$2:A$201,0))=1,"⚧","")))</f>
        <v/>
      </c>
      <c r="D122" s="22" t="str">
        <f>IF(A122="","",INDEX('Matching Engine'!L$2:L$201,MATCH(A122,'Matching Engine'!A$2:A$201,0)))</f>
        <v/>
      </c>
      <c r="E122" s="22" t="str">
        <f t="shared" si="3"/>
        <v/>
      </c>
    </row>
    <row r="123" spans="1:5" ht="14.25" customHeight="1" x14ac:dyDescent="0.35">
      <c r="A123" s="32" t="str">
        <f>IFERROR(INDEX('Matching Engine'!A$2:A$201,MATCH(ROW()-68,'Matching Engine'!M$2:M$201,0)),"")</f>
        <v/>
      </c>
      <c r="B123" s="22" t="str">
        <f>IF(A123="","",INDEX('Matching Engine'!B$2:B$201,MATCH(A123,'Matching Engine'!A$2:A$201,0)))</f>
        <v/>
      </c>
      <c r="C123" s="22" t="str">
        <f>IF(A123="","",IF(AND(INDEX('Matching Engine'!F$2:F$201,MATCH(A123,'Matching Engine'!A$2:A$201,0))=0,INDEX('Matching Engine'!G$2:G$201,MATCH(A123,'Matching Engine'!A$2:A$201,0))=0,INDEX('Matching Engine'!H$2:H$201,MATCH(A123,'Matching Engine'!A$2:A$201,0))=0),"None",IF(INDEX('Matching Engine'!F$2:F$201,MATCH(A123,'Matching Engine'!A$2:A$201,0))=1,"♂ ","")&amp;IF(INDEX('Matching Engine'!G$2:G$201,MATCH(A123,'Matching Engine'!A$2:A$201,0))=1,"♀ ","")&amp;IF(INDEX('Matching Engine'!H$2:H$201,MATCH(A123,'Matching Engine'!A$2:A$201,0))=1,"⚧","")))</f>
        <v/>
      </c>
      <c r="D123" s="22" t="str">
        <f>IF(A123="","",INDEX('Matching Engine'!L$2:L$201,MATCH(A123,'Matching Engine'!A$2:A$201,0)))</f>
        <v/>
      </c>
      <c r="E123" s="22" t="str">
        <f t="shared" si="3"/>
        <v/>
      </c>
    </row>
    <row r="124" spans="1:5" ht="14.25" customHeight="1" x14ac:dyDescent="0.35">
      <c r="A124" s="32" t="str">
        <f>IFERROR(INDEX('Matching Engine'!A$2:A$201,MATCH(ROW()-68,'Matching Engine'!M$2:M$201,0)),"")</f>
        <v/>
      </c>
      <c r="B124" s="22" t="str">
        <f>IF(A124="","",INDEX('Matching Engine'!B$2:B$201,MATCH(A124,'Matching Engine'!A$2:A$201,0)))</f>
        <v/>
      </c>
      <c r="C124" s="22" t="str">
        <f>IF(A124="","",IF(AND(INDEX('Matching Engine'!F$2:F$201,MATCH(A124,'Matching Engine'!A$2:A$201,0))=0,INDEX('Matching Engine'!G$2:G$201,MATCH(A124,'Matching Engine'!A$2:A$201,0))=0,INDEX('Matching Engine'!H$2:H$201,MATCH(A124,'Matching Engine'!A$2:A$201,0))=0),"None",IF(INDEX('Matching Engine'!F$2:F$201,MATCH(A124,'Matching Engine'!A$2:A$201,0))=1,"♂ ","")&amp;IF(INDEX('Matching Engine'!G$2:G$201,MATCH(A124,'Matching Engine'!A$2:A$201,0))=1,"♀ ","")&amp;IF(INDEX('Matching Engine'!H$2:H$201,MATCH(A124,'Matching Engine'!A$2:A$201,0))=1,"⚧","")))</f>
        <v/>
      </c>
      <c r="D124" s="22" t="str">
        <f>IF(A124="","",INDEX('Matching Engine'!L$2:L$201,MATCH(A124,'Matching Engine'!A$2:A$201,0)))</f>
        <v/>
      </c>
      <c r="E124" s="22" t="str">
        <f t="shared" si="3"/>
        <v/>
      </c>
    </row>
    <row r="125" spans="1:5" ht="14.25" customHeight="1" x14ac:dyDescent="0.35">
      <c r="A125" s="32" t="str">
        <f>IFERROR(INDEX('Matching Engine'!A$2:A$201,MATCH(ROW()-68,'Matching Engine'!M$2:M$201,0)),"")</f>
        <v/>
      </c>
      <c r="B125" s="22" t="str">
        <f>IF(A125="","",INDEX('Matching Engine'!B$2:B$201,MATCH(A125,'Matching Engine'!A$2:A$201,0)))</f>
        <v/>
      </c>
      <c r="C125" s="22" t="str">
        <f>IF(A125="","",IF(AND(INDEX('Matching Engine'!F$2:F$201,MATCH(A125,'Matching Engine'!A$2:A$201,0))=0,INDEX('Matching Engine'!G$2:G$201,MATCH(A125,'Matching Engine'!A$2:A$201,0))=0,INDEX('Matching Engine'!H$2:H$201,MATCH(A125,'Matching Engine'!A$2:A$201,0))=0),"None",IF(INDEX('Matching Engine'!F$2:F$201,MATCH(A125,'Matching Engine'!A$2:A$201,0))=1,"♂ ","")&amp;IF(INDEX('Matching Engine'!G$2:G$201,MATCH(A125,'Matching Engine'!A$2:A$201,0))=1,"♀ ","")&amp;IF(INDEX('Matching Engine'!H$2:H$201,MATCH(A125,'Matching Engine'!A$2:A$201,0))=1,"⚧","")))</f>
        <v/>
      </c>
      <c r="D125" s="22" t="str">
        <f>IF(A125="","",INDEX('Matching Engine'!L$2:L$201,MATCH(A125,'Matching Engine'!A$2:A$201,0)))</f>
        <v/>
      </c>
      <c r="E125" s="22" t="str">
        <f t="shared" si="3"/>
        <v/>
      </c>
    </row>
    <row r="126" spans="1:5" ht="14.25" customHeight="1" x14ac:dyDescent="0.35">
      <c r="A126" s="32" t="str">
        <f>IFERROR(INDEX('Matching Engine'!A$2:A$201,MATCH(ROW()-68,'Matching Engine'!M$2:M$201,0)),"")</f>
        <v/>
      </c>
      <c r="B126" s="22" t="str">
        <f>IF(A126="","",INDEX('Matching Engine'!B$2:B$201,MATCH(A126,'Matching Engine'!A$2:A$201,0)))</f>
        <v/>
      </c>
      <c r="C126" s="22" t="str">
        <f>IF(A126="","",IF(AND(INDEX('Matching Engine'!F$2:F$201,MATCH(A126,'Matching Engine'!A$2:A$201,0))=0,INDEX('Matching Engine'!G$2:G$201,MATCH(A126,'Matching Engine'!A$2:A$201,0))=0,INDEX('Matching Engine'!H$2:H$201,MATCH(A126,'Matching Engine'!A$2:A$201,0))=0),"None",IF(INDEX('Matching Engine'!F$2:F$201,MATCH(A126,'Matching Engine'!A$2:A$201,0))=1,"♂ ","")&amp;IF(INDEX('Matching Engine'!G$2:G$201,MATCH(A126,'Matching Engine'!A$2:A$201,0))=1,"♀ ","")&amp;IF(INDEX('Matching Engine'!H$2:H$201,MATCH(A126,'Matching Engine'!A$2:A$201,0))=1,"⚧","")))</f>
        <v/>
      </c>
      <c r="D126" s="22" t="str">
        <f>IF(A126="","",INDEX('Matching Engine'!L$2:L$201,MATCH(A126,'Matching Engine'!A$2:A$201,0)))</f>
        <v/>
      </c>
      <c r="E126" s="22" t="str">
        <f t="shared" si="3"/>
        <v/>
      </c>
    </row>
    <row r="127" spans="1:5" ht="14.25" customHeight="1" x14ac:dyDescent="0.35">
      <c r="A127" s="32" t="str">
        <f>IFERROR(INDEX('Matching Engine'!A$2:A$201,MATCH(ROW()-68,'Matching Engine'!M$2:M$201,0)),"")</f>
        <v/>
      </c>
      <c r="B127" s="22" t="str">
        <f>IF(A127="","",INDEX('Matching Engine'!B$2:B$201,MATCH(A127,'Matching Engine'!A$2:A$201,0)))</f>
        <v/>
      </c>
      <c r="C127" s="22" t="str">
        <f>IF(A127="","",IF(AND(INDEX('Matching Engine'!F$2:F$201,MATCH(A127,'Matching Engine'!A$2:A$201,0))=0,INDEX('Matching Engine'!G$2:G$201,MATCH(A127,'Matching Engine'!A$2:A$201,0))=0,INDEX('Matching Engine'!H$2:H$201,MATCH(A127,'Matching Engine'!A$2:A$201,0))=0),"None",IF(INDEX('Matching Engine'!F$2:F$201,MATCH(A127,'Matching Engine'!A$2:A$201,0))=1,"♂ ","")&amp;IF(INDEX('Matching Engine'!G$2:G$201,MATCH(A127,'Matching Engine'!A$2:A$201,0))=1,"♀ ","")&amp;IF(INDEX('Matching Engine'!H$2:H$201,MATCH(A127,'Matching Engine'!A$2:A$201,0))=1,"⚧","")))</f>
        <v/>
      </c>
      <c r="D127" s="22" t="str">
        <f>IF(A127="","",INDEX('Matching Engine'!L$2:L$201,MATCH(A127,'Matching Engine'!A$2:A$201,0)))</f>
        <v/>
      </c>
      <c r="E127" s="22" t="str">
        <f t="shared" si="3"/>
        <v/>
      </c>
    </row>
    <row r="128" spans="1:5" ht="14.25" customHeight="1" x14ac:dyDescent="0.35">
      <c r="A128" s="32" t="str">
        <f>IFERROR(INDEX('Matching Engine'!A$2:A$201,MATCH(ROW()-68,'Matching Engine'!M$2:M$201,0)),"")</f>
        <v/>
      </c>
      <c r="B128" s="22" t="str">
        <f>IF(A128="","",INDEX('Matching Engine'!B$2:B$201,MATCH(A128,'Matching Engine'!A$2:A$201,0)))</f>
        <v/>
      </c>
      <c r="C128" s="22" t="str">
        <f>IF(A128="","",IF(AND(INDEX('Matching Engine'!F$2:F$201,MATCH(A128,'Matching Engine'!A$2:A$201,0))=0,INDEX('Matching Engine'!G$2:G$201,MATCH(A128,'Matching Engine'!A$2:A$201,0))=0,INDEX('Matching Engine'!H$2:H$201,MATCH(A128,'Matching Engine'!A$2:A$201,0))=0),"None",IF(INDEX('Matching Engine'!F$2:F$201,MATCH(A128,'Matching Engine'!A$2:A$201,0))=1,"♂ ","")&amp;IF(INDEX('Matching Engine'!G$2:G$201,MATCH(A128,'Matching Engine'!A$2:A$201,0))=1,"♀ ","")&amp;IF(INDEX('Matching Engine'!H$2:H$201,MATCH(A128,'Matching Engine'!A$2:A$201,0))=1,"⚧","")))</f>
        <v/>
      </c>
      <c r="D128" s="22" t="str">
        <f>IF(A128="","",INDEX('Matching Engine'!L$2:L$201,MATCH(A128,'Matching Engine'!A$2:A$201,0)))</f>
        <v/>
      </c>
      <c r="E128" s="22" t="str">
        <f t="shared" si="3"/>
        <v/>
      </c>
    </row>
    <row r="129" spans="1:5" ht="14.25" customHeight="1" x14ac:dyDescent="0.35">
      <c r="A129" s="32" t="str">
        <f>IFERROR(INDEX('Matching Engine'!A$2:A$201,MATCH(ROW()-68,'Matching Engine'!M$2:M$201,0)),"")</f>
        <v/>
      </c>
      <c r="B129" s="22" t="str">
        <f>IF(A129="","",INDEX('Matching Engine'!B$2:B$201,MATCH(A129,'Matching Engine'!A$2:A$201,0)))</f>
        <v/>
      </c>
      <c r="C129" s="22" t="str">
        <f>IF(A129="","",IF(AND(INDEX('Matching Engine'!F$2:F$201,MATCH(A129,'Matching Engine'!A$2:A$201,0))=0,INDEX('Matching Engine'!G$2:G$201,MATCH(A129,'Matching Engine'!A$2:A$201,0))=0,INDEX('Matching Engine'!H$2:H$201,MATCH(A129,'Matching Engine'!A$2:A$201,0))=0),"None",IF(INDEX('Matching Engine'!F$2:F$201,MATCH(A129,'Matching Engine'!A$2:A$201,0))=1,"♂ ","")&amp;IF(INDEX('Matching Engine'!G$2:G$201,MATCH(A129,'Matching Engine'!A$2:A$201,0))=1,"♀ ","")&amp;IF(INDEX('Matching Engine'!H$2:H$201,MATCH(A129,'Matching Engine'!A$2:A$201,0))=1,"⚧","")))</f>
        <v/>
      </c>
      <c r="D129" s="22" t="str">
        <f>IF(A129="","",INDEX('Matching Engine'!L$2:L$201,MATCH(A129,'Matching Engine'!A$2:A$201,0)))</f>
        <v/>
      </c>
      <c r="E129" s="22" t="str">
        <f t="shared" si="3"/>
        <v/>
      </c>
    </row>
    <row r="130" spans="1:5" ht="14.25" customHeight="1" x14ac:dyDescent="0.35">
      <c r="A130" s="32" t="str">
        <f>IFERROR(INDEX('Matching Engine'!A$2:A$201,MATCH(ROW()-68,'Matching Engine'!M$2:M$201,0)),"")</f>
        <v/>
      </c>
      <c r="B130" s="22" t="str">
        <f>IF(A130="","",INDEX('Matching Engine'!B$2:B$201,MATCH(A130,'Matching Engine'!A$2:A$201,0)))</f>
        <v/>
      </c>
      <c r="C130" s="22" t="str">
        <f>IF(A130="","",IF(AND(INDEX('Matching Engine'!F$2:F$201,MATCH(A130,'Matching Engine'!A$2:A$201,0))=0,INDEX('Matching Engine'!G$2:G$201,MATCH(A130,'Matching Engine'!A$2:A$201,0))=0,INDEX('Matching Engine'!H$2:H$201,MATCH(A130,'Matching Engine'!A$2:A$201,0))=0),"None",IF(INDEX('Matching Engine'!F$2:F$201,MATCH(A130,'Matching Engine'!A$2:A$201,0))=1,"♂ ","")&amp;IF(INDEX('Matching Engine'!G$2:G$201,MATCH(A130,'Matching Engine'!A$2:A$201,0))=1,"♀ ","")&amp;IF(INDEX('Matching Engine'!H$2:H$201,MATCH(A130,'Matching Engine'!A$2:A$201,0))=1,"⚧","")))</f>
        <v/>
      </c>
      <c r="D130" s="22" t="str">
        <f>IF(A130="","",INDEX('Matching Engine'!L$2:L$201,MATCH(A130,'Matching Engine'!A$2:A$201,0)))</f>
        <v/>
      </c>
      <c r="E130" s="22" t="str">
        <f t="shared" si="3"/>
        <v/>
      </c>
    </row>
    <row r="131" spans="1:5" ht="14.25" customHeight="1" x14ac:dyDescent="0.35">
      <c r="A131" s="32" t="str">
        <f>IFERROR(INDEX('Matching Engine'!A$2:A$201,MATCH(ROW()-68,'Matching Engine'!M$2:M$201,0)),"")</f>
        <v/>
      </c>
      <c r="B131" s="22" t="str">
        <f>IF(A131="","",INDEX('Matching Engine'!B$2:B$201,MATCH(A131,'Matching Engine'!A$2:A$201,0)))</f>
        <v/>
      </c>
      <c r="C131" s="22" t="str">
        <f>IF(A131="","",IF(AND(INDEX('Matching Engine'!F$2:F$201,MATCH(A131,'Matching Engine'!A$2:A$201,0))=0,INDEX('Matching Engine'!G$2:G$201,MATCH(A131,'Matching Engine'!A$2:A$201,0))=0,INDEX('Matching Engine'!H$2:H$201,MATCH(A131,'Matching Engine'!A$2:A$201,0))=0),"None",IF(INDEX('Matching Engine'!F$2:F$201,MATCH(A131,'Matching Engine'!A$2:A$201,0))=1,"♂ ","")&amp;IF(INDEX('Matching Engine'!G$2:G$201,MATCH(A131,'Matching Engine'!A$2:A$201,0))=1,"♀ ","")&amp;IF(INDEX('Matching Engine'!H$2:H$201,MATCH(A131,'Matching Engine'!A$2:A$201,0))=1,"⚧","")))</f>
        <v/>
      </c>
      <c r="D131" s="22" t="str">
        <f>IF(A131="","",INDEX('Matching Engine'!L$2:L$201,MATCH(A131,'Matching Engine'!A$2:A$201,0)))</f>
        <v/>
      </c>
      <c r="E131" s="22" t="str">
        <f t="shared" si="3"/>
        <v/>
      </c>
    </row>
    <row r="132" spans="1:5" ht="14.25" customHeight="1" x14ac:dyDescent="0.35">
      <c r="A132" s="32" t="str">
        <f>IFERROR(INDEX('Matching Engine'!A$2:A$201,MATCH(ROW()-68,'Matching Engine'!M$2:M$201,0)),"")</f>
        <v/>
      </c>
      <c r="B132" s="22" t="str">
        <f>IF(A132="","",INDEX('Matching Engine'!B$2:B$201,MATCH(A132,'Matching Engine'!A$2:A$201,0)))</f>
        <v/>
      </c>
      <c r="C132" s="22" t="str">
        <f>IF(A132="","",IF(AND(INDEX('Matching Engine'!F$2:F$201,MATCH(A132,'Matching Engine'!A$2:A$201,0))=0,INDEX('Matching Engine'!G$2:G$201,MATCH(A132,'Matching Engine'!A$2:A$201,0))=0,INDEX('Matching Engine'!H$2:H$201,MATCH(A132,'Matching Engine'!A$2:A$201,0))=0),"None",IF(INDEX('Matching Engine'!F$2:F$201,MATCH(A132,'Matching Engine'!A$2:A$201,0))=1,"♂ ","")&amp;IF(INDEX('Matching Engine'!G$2:G$201,MATCH(A132,'Matching Engine'!A$2:A$201,0))=1,"♀ ","")&amp;IF(INDEX('Matching Engine'!H$2:H$201,MATCH(A132,'Matching Engine'!A$2:A$201,0))=1,"⚧","")))</f>
        <v/>
      </c>
      <c r="D132" s="22" t="str">
        <f>IF(A132="","",INDEX('Matching Engine'!L$2:L$201,MATCH(A132,'Matching Engine'!A$2:A$201,0)))</f>
        <v/>
      </c>
      <c r="E132" s="22" t="str">
        <f t="shared" si="3"/>
        <v/>
      </c>
    </row>
    <row r="133" spans="1:5" ht="14.25" customHeight="1" x14ac:dyDescent="0.35">
      <c r="A133" s="32" t="str">
        <f>IFERROR(INDEX('Matching Engine'!A$2:A$201,MATCH(ROW()-68,'Matching Engine'!M$2:M$201,0)),"")</f>
        <v/>
      </c>
      <c r="B133" s="22" t="str">
        <f>IF(A133="","",INDEX('Matching Engine'!B$2:B$201,MATCH(A133,'Matching Engine'!A$2:A$201,0)))</f>
        <v/>
      </c>
      <c r="C133" s="22" t="str">
        <f>IF(A133="","",IF(AND(INDEX('Matching Engine'!F$2:F$201,MATCH(A133,'Matching Engine'!A$2:A$201,0))=0,INDEX('Matching Engine'!G$2:G$201,MATCH(A133,'Matching Engine'!A$2:A$201,0))=0,INDEX('Matching Engine'!H$2:H$201,MATCH(A133,'Matching Engine'!A$2:A$201,0))=0),"None",IF(INDEX('Matching Engine'!F$2:F$201,MATCH(A133,'Matching Engine'!A$2:A$201,0))=1,"♂ ","")&amp;IF(INDEX('Matching Engine'!G$2:G$201,MATCH(A133,'Matching Engine'!A$2:A$201,0))=1,"♀ ","")&amp;IF(INDEX('Matching Engine'!H$2:H$201,MATCH(A133,'Matching Engine'!A$2:A$201,0))=1,"⚧","")))</f>
        <v/>
      </c>
      <c r="D133" s="22" t="str">
        <f>IF(A133="","",INDEX('Matching Engine'!L$2:L$201,MATCH(A133,'Matching Engine'!A$2:A$201,0)))</f>
        <v/>
      </c>
      <c r="E133" s="22" t="str">
        <f t="shared" si="3"/>
        <v/>
      </c>
    </row>
    <row r="134" spans="1:5" ht="14.25" customHeight="1" x14ac:dyDescent="0.35">
      <c r="A134" s="32" t="str">
        <f>IFERROR(INDEX('Matching Engine'!A$2:A$201,MATCH(ROW()-68,'Matching Engine'!M$2:M$201,0)),"")</f>
        <v/>
      </c>
      <c r="B134" s="22" t="str">
        <f>IF(A134="","",INDEX('Matching Engine'!B$2:B$201,MATCH(A134,'Matching Engine'!A$2:A$201,0)))</f>
        <v/>
      </c>
      <c r="C134" s="22" t="str">
        <f>IF(A134="","",IF(AND(INDEX('Matching Engine'!F$2:F$201,MATCH(A134,'Matching Engine'!A$2:A$201,0))=0,INDEX('Matching Engine'!G$2:G$201,MATCH(A134,'Matching Engine'!A$2:A$201,0))=0,INDEX('Matching Engine'!H$2:H$201,MATCH(A134,'Matching Engine'!A$2:A$201,0))=0),"None",IF(INDEX('Matching Engine'!F$2:F$201,MATCH(A134,'Matching Engine'!A$2:A$201,0))=1,"♂ ","")&amp;IF(INDEX('Matching Engine'!G$2:G$201,MATCH(A134,'Matching Engine'!A$2:A$201,0))=1,"♀ ","")&amp;IF(INDEX('Matching Engine'!H$2:H$201,MATCH(A134,'Matching Engine'!A$2:A$201,0))=1,"⚧","")))</f>
        <v/>
      </c>
      <c r="D134" s="22" t="str">
        <f>IF(A134="","",INDEX('Matching Engine'!L$2:L$201,MATCH(A134,'Matching Engine'!A$2:A$201,0)))</f>
        <v/>
      </c>
      <c r="E134" s="22" t="str">
        <f t="shared" si="3"/>
        <v/>
      </c>
    </row>
    <row r="135" spans="1:5" ht="14.25" customHeight="1" x14ac:dyDescent="0.35">
      <c r="A135" s="32" t="str">
        <f>IFERROR(INDEX('Matching Engine'!A$2:A$201,MATCH(ROW()-68,'Matching Engine'!M$2:M$201,0)),"")</f>
        <v/>
      </c>
      <c r="B135" s="22" t="str">
        <f>IF(A135="","",INDEX('Matching Engine'!B$2:B$201,MATCH(A135,'Matching Engine'!A$2:A$201,0)))</f>
        <v/>
      </c>
      <c r="C135" s="22" t="str">
        <f>IF(A135="","",IF(AND(INDEX('Matching Engine'!F$2:F$201,MATCH(A135,'Matching Engine'!A$2:A$201,0))=0,INDEX('Matching Engine'!G$2:G$201,MATCH(A135,'Matching Engine'!A$2:A$201,0))=0,INDEX('Matching Engine'!H$2:H$201,MATCH(A135,'Matching Engine'!A$2:A$201,0))=0),"None",IF(INDEX('Matching Engine'!F$2:F$201,MATCH(A135,'Matching Engine'!A$2:A$201,0))=1,"♂ ","")&amp;IF(INDEX('Matching Engine'!G$2:G$201,MATCH(A135,'Matching Engine'!A$2:A$201,0))=1,"♀ ","")&amp;IF(INDEX('Matching Engine'!H$2:H$201,MATCH(A135,'Matching Engine'!A$2:A$201,0))=1,"⚧","")))</f>
        <v/>
      </c>
      <c r="D135" s="22" t="str">
        <f>IF(A135="","",INDEX('Matching Engine'!L$2:L$201,MATCH(A135,'Matching Engine'!A$2:A$201,0)))</f>
        <v/>
      </c>
      <c r="E135" s="22" t="str">
        <f t="shared" si="3"/>
        <v/>
      </c>
    </row>
    <row r="136" spans="1:5" ht="14.25" customHeight="1" x14ac:dyDescent="0.35">
      <c r="A136" s="32" t="str">
        <f>IFERROR(INDEX('Matching Engine'!A$2:A$201,MATCH(ROW()-68,'Matching Engine'!M$2:M$201,0)),"")</f>
        <v/>
      </c>
      <c r="B136" s="22" t="str">
        <f>IF(A136="","",INDEX('Matching Engine'!B$2:B$201,MATCH(A136,'Matching Engine'!A$2:A$201,0)))</f>
        <v/>
      </c>
      <c r="C136" s="22" t="str">
        <f>IF(A136="","",IF(AND(INDEX('Matching Engine'!F$2:F$201,MATCH(A136,'Matching Engine'!A$2:A$201,0))=0,INDEX('Matching Engine'!G$2:G$201,MATCH(A136,'Matching Engine'!A$2:A$201,0))=0,INDEX('Matching Engine'!H$2:H$201,MATCH(A136,'Matching Engine'!A$2:A$201,0))=0),"None",IF(INDEX('Matching Engine'!F$2:F$201,MATCH(A136,'Matching Engine'!A$2:A$201,0))=1,"♂ ","")&amp;IF(INDEX('Matching Engine'!G$2:G$201,MATCH(A136,'Matching Engine'!A$2:A$201,0))=1,"♀ ","")&amp;IF(INDEX('Matching Engine'!H$2:H$201,MATCH(A136,'Matching Engine'!A$2:A$201,0))=1,"⚧","")))</f>
        <v/>
      </c>
      <c r="D136" s="22" t="str">
        <f>IF(A136="","",INDEX('Matching Engine'!L$2:L$201,MATCH(A136,'Matching Engine'!A$2:A$201,0)))</f>
        <v/>
      </c>
      <c r="E136" s="22" t="str">
        <f t="shared" si="3"/>
        <v/>
      </c>
    </row>
    <row r="137" spans="1:5" ht="14.25" customHeight="1" x14ac:dyDescent="0.35">
      <c r="A137" s="32" t="str">
        <f>IFERROR(INDEX('Matching Engine'!A$2:A$201,MATCH(ROW()-68,'Matching Engine'!M$2:M$201,0)),"")</f>
        <v/>
      </c>
      <c r="B137" s="22" t="str">
        <f>IF(A137="","",INDEX('Matching Engine'!B$2:B$201,MATCH(A137,'Matching Engine'!A$2:A$201,0)))</f>
        <v/>
      </c>
      <c r="C137" s="22" t="str">
        <f>IF(A137="","",IF(AND(INDEX('Matching Engine'!F$2:F$201,MATCH(A137,'Matching Engine'!A$2:A$201,0))=0,INDEX('Matching Engine'!G$2:G$201,MATCH(A137,'Matching Engine'!A$2:A$201,0))=0,INDEX('Matching Engine'!H$2:H$201,MATCH(A137,'Matching Engine'!A$2:A$201,0))=0),"None",IF(INDEX('Matching Engine'!F$2:F$201,MATCH(A137,'Matching Engine'!A$2:A$201,0))=1,"♂ ","")&amp;IF(INDEX('Matching Engine'!G$2:G$201,MATCH(A137,'Matching Engine'!A$2:A$201,0))=1,"♀ ","")&amp;IF(INDEX('Matching Engine'!H$2:H$201,MATCH(A137,'Matching Engine'!A$2:A$201,0))=1,"⚧","")))</f>
        <v/>
      </c>
      <c r="D137" s="22" t="str">
        <f>IF(A137="","",INDEX('Matching Engine'!L$2:L$201,MATCH(A137,'Matching Engine'!A$2:A$201,0)))</f>
        <v/>
      </c>
      <c r="E137" s="22" t="str">
        <f t="shared" si="3"/>
        <v/>
      </c>
    </row>
    <row r="138" spans="1:5" ht="14.25" customHeight="1" x14ac:dyDescent="0.35">
      <c r="A138" s="32" t="str">
        <f>IFERROR(INDEX('Matching Engine'!A$2:A$201,MATCH(ROW()-68,'Matching Engine'!M$2:M$201,0)),"")</f>
        <v/>
      </c>
      <c r="B138" s="22" t="str">
        <f>IF(A138="","",INDEX('Matching Engine'!B$2:B$201,MATCH(A138,'Matching Engine'!A$2:A$201,0)))</f>
        <v/>
      </c>
      <c r="C138" s="22" t="str">
        <f>IF(A138="","",IF(AND(INDEX('Matching Engine'!F$2:F$201,MATCH(A138,'Matching Engine'!A$2:A$201,0))=0,INDEX('Matching Engine'!G$2:G$201,MATCH(A138,'Matching Engine'!A$2:A$201,0))=0,INDEX('Matching Engine'!H$2:H$201,MATCH(A138,'Matching Engine'!A$2:A$201,0))=0),"None",IF(INDEX('Matching Engine'!F$2:F$201,MATCH(A138,'Matching Engine'!A$2:A$201,0))=1,"♂ ","")&amp;IF(INDEX('Matching Engine'!G$2:G$201,MATCH(A138,'Matching Engine'!A$2:A$201,0))=1,"♀ ","")&amp;IF(INDEX('Matching Engine'!H$2:H$201,MATCH(A138,'Matching Engine'!A$2:A$201,0))=1,"⚧","")))</f>
        <v/>
      </c>
      <c r="D138" s="22" t="str">
        <f>IF(A138="","",INDEX('Matching Engine'!L$2:L$201,MATCH(A138,'Matching Engine'!A$2:A$201,0)))</f>
        <v/>
      </c>
      <c r="E138" s="22" t="str">
        <f t="shared" si="3"/>
        <v/>
      </c>
    </row>
    <row r="139" spans="1:5" ht="14.25" customHeight="1" x14ac:dyDescent="0.35">
      <c r="A139" s="32" t="str">
        <f>IFERROR(INDEX('Matching Engine'!A$2:A$201,MATCH(ROW()-68,'Matching Engine'!M$2:M$201,0)),"")</f>
        <v/>
      </c>
      <c r="B139" s="22" t="str">
        <f>IF(A139="","",INDEX('Matching Engine'!B$2:B$201,MATCH(A139,'Matching Engine'!A$2:A$201,0)))</f>
        <v/>
      </c>
      <c r="C139" s="22" t="str">
        <f>IF(A139="","",IF(AND(INDEX('Matching Engine'!F$2:F$201,MATCH(A139,'Matching Engine'!A$2:A$201,0))=0,INDEX('Matching Engine'!G$2:G$201,MATCH(A139,'Matching Engine'!A$2:A$201,0))=0,INDEX('Matching Engine'!H$2:H$201,MATCH(A139,'Matching Engine'!A$2:A$201,0))=0),"None",IF(INDEX('Matching Engine'!F$2:F$201,MATCH(A139,'Matching Engine'!A$2:A$201,0))=1,"♂ ","")&amp;IF(INDEX('Matching Engine'!G$2:G$201,MATCH(A139,'Matching Engine'!A$2:A$201,0))=1,"♀ ","")&amp;IF(INDEX('Matching Engine'!H$2:H$201,MATCH(A139,'Matching Engine'!A$2:A$201,0))=1,"⚧","")))</f>
        <v/>
      </c>
      <c r="D139" s="22" t="str">
        <f>IF(A139="","",INDEX('Matching Engine'!L$2:L$201,MATCH(A139,'Matching Engine'!A$2:A$201,0)))</f>
        <v/>
      </c>
      <c r="E139" s="22" t="str">
        <f t="shared" ref="E139:E170" si="4">IF(A139="","",IF(D139=0,"0% — no compatible partners",TEXT(D139/($B$6-1),"0%")&amp;" — "&amp;D139&amp;" of "&amp;($B$6-1)&amp;" compatible"))</f>
        <v/>
      </c>
    </row>
    <row r="140" spans="1:5" ht="14.25" customHeight="1" x14ac:dyDescent="0.35">
      <c r="A140" s="32" t="str">
        <f>IFERROR(INDEX('Matching Engine'!A$2:A$201,MATCH(ROW()-68,'Matching Engine'!M$2:M$201,0)),"")</f>
        <v/>
      </c>
      <c r="B140" s="22" t="str">
        <f>IF(A140="","",INDEX('Matching Engine'!B$2:B$201,MATCH(A140,'Matching Engine'!A$2:A$201,0)))</f>
        <v/>
      </c>
      <c r="C140" s="22" t="str">
        <f>IF(A140="","",IF(AND(INDEX('Matching Engine'!F$2:F$201,MATCH(A140,'Matching Engine'!A$2:A$201,0))=0,INDEX('Matching Engine'!G$2:G$201,MATCH(A140,'Matching Engine'!A$2:A$201,0))=0,INDEX('Matching Engine'!H$2:H$201,MATCH(A140,'Matching Engine'!A$2:A$201,0))=0),"None",IF(INDEX('Matching Engine'!F$2:F$201,MATCH(A140,'Matching Engine'!A$2:A$201,0))=1,"♂ ","")&amp;IF(INDEX('Matching Engine'!G$2:G$201,MATCH(A140,'Matching Engine'!A$2:A$201,0))=1,"♀ ","")&amp;IF(INDEX('Matching Engine'!H$2:H$201,MATCH(A140,'Matching Engine'!A$2:A$201,0))=1,"⚧","")))</f>
        <v/>
      </c>
      <c r="D140" s="22" t="str">
        <f>IF(A140="","",INDEX('Matching Engine'!L$2:L$201,MATCH(A140,'Matching Engine'!A$2:A$201,0)))</f>
        <v/>
      </c>
      <c r="E140" s="22" t="str">
        <f t="shared" si="4"/>
        <v/>
      </c>
    </row>
    <row r="141" spans="1:5" ht="14.25" customHeight="1" x14ac:dyDescent="0.35">
      <c r="A141" s="32" t="str">
        <f>IFERROR(INDEX('Matching Engine'!A$2:A$201,MATCH(ROW()-68,'Matching Engine'!M$2:M$201,0)),"")</f>
        <v/>
      </c>
      <c r="B141" s="22" t="str">
        <f>IF(A141="","",INDEX('Matching Engine'!B$2:B$201,MATCH(A141,'Matching Engine'!A$2:A$201,0)))</f>
        <v/>
      </c>
      <c r="C141" s="22" t="str">
        <f>IF(A141="","",IF(AND(INDEX('Matching Engine'!F$2:F$201,MATCH(A141,'Matching Engine'!A$2:A$201,0))=0,INDEX('Matching Engine'!G$2:G$201,MATCH(A141,'Matching Engine'!A$2:A$201,0))=0,INDEX('Matching Engine'!H$2:H$201,MATCH(A141,'Matching Engine'!A$2:A$201,0))=0),"None",IF(INDEX('Matching Engine'!F$2:F$201,MATCH(A141,'Matching Engine'!A$2:A$201,0))=1,"♂ ","")&amp;IF(INDEX('Matching Engine'!G$2:G$201,MATCH(A141,'Matching Engine'!A$2:A$201,0))=1,"♀ ","")&amp;IF(INDEX('Matching Engine'!H$2:H$201,MATCH(A141,'Matching Engine'!A$2:A$201,0))=1,"⚧","")))</f>
        <v/>
      </c>
      <c r="D141" s="22" t="str">
        <f>IF(A141="","",INDEX('Matching Engine'!L$2:L$201,MATCH(A141,'Matching Engine'!A$2:A$201,0)))</f>
        <v/>
      </c>
      <c r="E141" s="22" t="str">
        <f t="shared" si="4"/>
        <v/>
      </c>
    </row>
    <row r="142" spans="1:5" ht="14.25" customHeight="1" x14ac:dyDescent="0.35">
      <c r="A142" s="32" t="str">
        <f>IFERROR(INDEX('Matching Engine'!A$2:A$201,MATCH(ROW()-68,'Matching Engine'!M$2:M$201,0)),"")</f>
        <v/>
      </c>
      <c r="B142" s="22" t="str">
        <f>IF(A142="","",INDEX('Matching Engine'!B$2:B$201,MATCH(A142,'Matching Engine'!A$2:A$201,0)))</f>
        <v/>
      </c>
      <c r="C142" s="22" t="str">
        <f>IF(A142="","",IF(AND(INDEX('Matching Engine'!F$2:F$201,MATCH(A142,'Matching Engine'!A$2:A$201,0))=0,INDEX('Matching Engine'!G$2:G$201,MATCH(A142,'Matching Engine'!A$2:A$201,0))=0,INDEX('Matching Engine'!H$2:H$201,MATCH(A142,'Matching Engine'!A$2:A$201,0))=0),"None",IF(INDEX('Matching Engine'!F$2:F$201,MATCH(A142,'Matching Engine'!A$2:A$201,0))=1,"♂ ","")&amp;IF(INDEX('Matching Engine'!G$2:G$201,MATCH(A142,'Matching Engine'!A$2:A$201,0))=1,"♀ ","")&amp;IF(INDEX('Matching Engine'!H$2:H$201,MATCH(A142,'Matching Engine'!A$2:A$201,0))=1,"⚧","")))</f>
        <v/>
      </c>
      <c r="D142" s="22" t="str">
        <f>IF(A142="","",INDEX('Matching Engine'!L$2:L$201,MATCH(A142,'Matching Engine'!A$2:A$201,0)))</f>
        <v/>
      </c>
      <c r="E142" s="22" t="str">
        <f t="shared" si="4"/>
        <v/>
      </c>
    </row>
    <row r="143" spans="1:5" ht="14.25" customHeight="1" x14ac:dyDescent="0.35">
      <c r="A143" s="32" t="str">
        <f>IFERROR(INDEX('Matching Engine'!A$2:A$201,MATCH(ROW()-68,'Matching Engine'!M$2:M$201,0)),"")</f>
        <v/>
      </c>
      <c r="B143" s="22" t="str">
        <f>IF(A143="","",INDEX('Matching Engine'!B$2:B$201,MATCH(A143,'Matching Engine'!A$2:A$201,0)))</f>
        <v/>
      </c>
      <c r="C143" s="22" t="str">
        <f>IF(A143="","",IF(AND(INDEX('Matching Engine'!F$2:F$201,MATCH(A143,'Matching Engine'!A$2:A$201,0))=0,INDEX('Matching Engine'!G$2:G$201,MATCH(A143,'Matching Engine'!A$2:A$201,0))=0,INDEX('Matching Engine'!H$2:H$201,MATCH(A143,'Matching Engine'!A$2:A$201,0))=0),"None",IF(INDEX('Matching Engine'!F$2:F$201,MATCH(A143,'Matching Engine'!A$2:A$201,0))=1,"♂ ","")&amp;IF(INDEX('Matching Engine'!G$2:G$201,MATCH(A143,'Matching Engine'!A$2:A$201,0))=1,"♀ ","")&amp;IF(INDEX('Matching Engine'!H$2:H$201,MATCH(A143,'Matching Engine'!A$2:A$201,0))=1,"⚧","")))</f>
        <v/>
      </c>
      <c r="D143" s="22" t="str">
        <f>IF(A143="","",INDEX('Matching Engine'!L$2:L$201,MATCH(A143,'Matching Engine'!A$2:A$201,0)))</f>
        <v/>
      </c>
      <c r="E143" s="22" t="str">
        <f t="shared" si="4"/>
        <v/>
      </c>
    </row>
    <row r="144" spans="1:5" ht="14.25" customHeight="1" x14ac:dyDescent="0.35">
      <c r="A144" s="32" t="str">
        <f>IFERROR(INDEX('Matching Engine'!A$2:A$201,MATCH(ROW()-68,'Matching Engine'!M$2:M$201,0)),"")</f>
        <v/>
      </c>
      <c r="B144" s="22" t="str">
        <f>IF(A144="","",INDEX('Matching Engine'!B$2:B$201,MATCH(A144,'Matching Engine'!A$2:A$201,0)))</f>
        <v/>
      </c>
      <c r="C144" s="22" t="str">
        <f>IF(A144="","",IF(AND(INDEX('Matching Engine'!F$2:F$201,MATCH(A144,'Matching Engine'!A$2:A$201,0))=0,INDEX('Matching Engine'!G$2:G$201,MATCH(A144,'Matching Engine'!A$2:A$201,0))=0,INDEX('Matching Engine'!H$2:H$201,MATCH(A144,'Matching Engine'!A$2:A$201,0))=0),"None",IF(INDEX('Matching Engine'!F$2:F$201,MATCH(A144,'Matching Engine'!A$2:A$201,0))=1,"♂ ","")&amp;IF(INDEX('Matching Engine'!G$2:G$201,MATCH(A144,'Matching Engine'!A$2:A$201,0))=1,"♀ ","")&amp;IF(INDEX('Matching Engine'!H$2:H$201,MATCH(A144,'Matching Engine'!A$2:A$201,0))=1,"⚧","")))</f>
        <v/>
      </c>
      <c r="D144" s="22" t="str">
        <f>IF(A144="","",INDEX('Matching Engine'!L$2:L$201,MATCH(A144,'Matching Engine'!A$2:A$201,0)))</f>
        <v/>
      </c>
      <c r="E144" s="22" t="str">
        <f t="shared" si="4"/>
        <v/>
      </c>
    </row>
    <row r="145" spans="1:5" ht="14.25" customHeight="1" x14ac:dyDescent="0.35">
      <c r="A145" s="32" t="str">
        <f>IFERROR(INDEX('Matching Engine'!A$2:A$201,MATCH(ROW()-68,'Matching Engine'!M$2:M$201,0)),"")</f>
        <v/>
      </c>
      <c r="B145" s="22" t="str">
        <f>IF(A145="","",INDEX('Matching Engine'!B$2:B$201,MATCH(A145,'Matching Engine'!A$2:A$201,0)))</f>
        <v/>
      </c>
      <c r="C145" s="22" t="str">
        <f>IF(A145="","",IF(AND(INDEX('Matching Engine'!F$2:F$201,MATCH(A145,'Matching Engine'!A$2:A$201,0))=0,INDEX('Matching Engine'!G$2:G$201,MATCH(A145,'Matching Engine'!A$2:A$201,0))=0,INDEX('Matching Engine'!H$2:H$201,MATCH(A145,'Matching Engine'!A$2:A$201,0))=0),"None",IF(INDEX('Matching Engine'!F$2:F$201,MATCH(A145,'Matching Engine'!A$2:A$201,0))=1,"♂ ","")&amp;IF(INDEX('Matching Engine'!G$2:G$201,MATCH(A145,'Matching Engine'!A$2:A$201,0))=1,"♀ ","")&amp;IF(INDEX('Matching Engine'!H$2:H$201,MATCH(A145,'Matching Engine'!A$2:A$201,0))=1,"⚧","")))</f>
        <v/>
      </c>
      <c r="D145" s="22" t="str">
        <f>IF(A145="","",INDEX('Matching Engine'!L$2:L$201,MATCH(A145,'Matching Engine'!A$2:A$201,0)))</f>
        <v/>
      </c>
      <c r="E145" s="22" t="str">
        <f t="shared" si="4"/>
        <v/>
      </c>
    </row>
    <row r="146" spans="1:5" ht="14.25" customHeight="1" x14ac:dyDescent="0.35">
      <c r="A146" s="32" t="str">
        <f>IFERROR(INDEX('Matching Engine'!A$2:A$201,MATCH(ROW()-68,'Matching Engine'!M$2:M$201,0)),"")</f>
        <v/>
      </c>
      <c r="B146" s="22" t="str">
        <f>IF(A146="","",INDEX('Matching Engine'!B$2:B$201,MATCH(A146,'Matching Engine'!A$2:A$201,0)))</f>
        <v/>
      </c>
      <c r="C146" s="22" t="str">
        <f>IF(A146="","",IF(AND(INDEX('Matching Engine'!F$2:F$201,MATCH(A146,'Matching Engine'!A$2:A$201,0))=0,INDEX('Matching Engine'!G$2:G$201,MATCH(A146,'Matching Engine'!A$2:A$201,0))=0,INDEX('Matching Engine'!H$2:H$201,MATCH(A146,'Matching Engine'!A$2:A$201,0))=0),"None",IF(INDEX('Matching Engine'!F$2:F$201,MATCH(A146,'Matching Engine'!A$2:A$201,0))=1,"♂ ","")&amp;IF(INDEX('Matching Engine'!G$2:G$201,MATCH(A146,'Matching Engine'!A$2:A$201,0))=1,"♀ ","")&amp;IF(INDEX('Matching Engine'!H$2:H$201,MATCH(A146,'Matching Engine'!A$2:A$201,0))=1,"⚧","")))</f>
        <v/>
      </c>
      <c r="D146" s="22" t="str">
        <f>IF(A146="","",INDEX('Matching Engine'!L$2:L$201,MATCH(A146,'Matching Engine'!A$2:A$201,0)))</f>
        <v/>
      </c>
      <c r="E146" s="22" t="str">
        <f t="shared" si="4"/>
        <v/>
      </c>
    </row>
    <row r="147" spans="1:5" ht="14.25" customHeight="1" x14ac:dyDescent="0.35">
      <c r="A147" s="32" t="str">
        <f>IFERROR(INDEX('Matching Engine'!A$2:A$201,MATCH(ROW()-68,'Matching Engine'!M$2:M$201,0)),"")</f>
        <v/>
      </c>
      <c r="B147" s="22" t="str">
        <f>IF(A147="","",INDEX('Matching Engine'!B$2:B$201,MATCH(A147,'Matching Engine'!A$2:A$201,0)))</f>
        <v/>
      </c>
      <c r="C147" s="22" t="str">
        <f>IF(A147="","",IF(AND(INDEX('Matching Engine'!F$2:F$201,MATCH(A147,'Matching Engine'!A$2:A$201,0))=0,INDEX('Matching Engine'!G$2:G$201,MATCH(A147,'Matching Engine'!A$2:A$201,0))=0,INDEX('Matching Engine'!H$2:H$201,MATCH(A147,'Matching Engine'!A$2:A$201,0))=0),"None",IF(INDEX('Matching Engine'!F$2:F$201,MATCH(A147,'Matching Engine'!A$2:A$201,0))=1,"♂ ","")&amp;IF(INDEX('Matching Engine'!G$2:G$201,MATCH(A147,'Matching Engine'!A$2:A$201,0))=1,"♀ ","")&amp;IF(INDEX('Matching Engine'!H$2:H$201,MATCH(A147,'Matching Engine'!A$2:A$201,0))=1,"⚧","")))</f>
        <v/>
      </c>
      <c r="D147" s="22" t="str">
        <f>IF(A147="","",INDEX('Matching Engine'!L$2:L$201,MATCH(A147,'Matching Engine'!A$2:A$201,0)))</f>
        <v/>
      </c>
      <c r="E147" s="22" t="str">
        <f t="shared" si="4"/>
        <v/>
      </c>
    </row>
    <row r="148" spans="1:5" ht="14.25" customHeight="1" x14ac:dyDescent="0.35">
      <c r="A148" s="32" t="str">
        <f>IFERROR(INDEX('Matching Engine'!A$2:A$201,MATCH(ROW()-68,'Matching Engine'!M$2:M$201,0)),"")</f>
        <v/>
      </c>
      <c r="B148" s="22" t="str">
        <f>IF(A148="","",INDEX('Matching Engine'!B$2:B$201,MATCH(A148,'Matching Engine'!A$2:A$201,0)))</f>
        <v/>
      </c>
      <c r="C148" s="22" t="str">
        <f>IF(A148="","",IF(AND(INDEX('Matching Engine'!F$2:F$201,MATCH(A148,'Matching Engine'!A$2:A$201,0))=0,INDEX('Matching Engine'!G$2:G$201,MATCH(A148,'Matching Engine'!A$2:A$201,0))=0,INDEX('Matching Engine'!H$2:H$201,MATCH(A148,'Matching Engine'!A$2:A$201,0))=0),"None",IF(INDEX('Matching Engine'!F$2:F$201,MATCH(A148,'Matching Engine'!A$2:A$201,0))=1,"♂ ","")&amp;IF(INDEX('Matching Engine'!G$2:G$201,MATCH(A148,'Matching Engine'!A$2:A$201,0))=1,"♀ ","")&amp;IF(INDEX('Matching Engine'!H$2:H$201,MATCH(A148,'Matching Engine'!A$2:A$201,0))=1,"⚧","")))</f>
        <v/>
      </c>
      <c r="D148" s="22" t="str">
        <f>IF(A148="","",INDEX('Matching Engine'!L$2:L$201,MATCH(A148,'Matching Engine'!A$2:A$201,0)))</f>
        <v/>
      </c>
      <c r="E148" s="22" t="str">
        <f t="shared" si="4"/>
        <v/>
      </c>
    </row>
    <row r="149" spans="1:5" ht="14.25" customHeight="1" x14ac:dyDescent="0.35">
      <c r="A149" s="32" t="str">
        <f>IFERROR(INDEX('Matching Engine'!A$2:A$201,MATCH(ROW()-68,'Matching Engine'!M$2:M$201,0)),"")</f>
        <v/>
      </c>
      <c r="B149" s="22" t="str">
        <f>IF(A149="","",INDEX('Matching Engine'!B$2:B$201,MATCH(A149,'Matching Engine'!A$2:A$201,0)))</f>
        <v/>
      </c>
      <c r="C149" s="22" t="str">
        <f>IF(A149="","",IF(AND(INDEX('Matching Engine'!F$2:F$201,MATCH(A149,'Matching Engine'!A$2:A$201,0))=0,INDEX('Matching Engine'!G$2:G$201,MATCH(A149,'Matching Engine'!A$2:A$201,0))=0,INDEX('Matching Engine'!H$2:H$201,MATCH(A149,'Matching Engine'!A$2:A$201,0))=0),"None",IF(INDEX('Matching Engine'!F$2:F$201,MATCH(A149,'Matching Engine'!A$2:A$201,0))=1,"♂ ","")&amp;IF(INDEX('Matching Engine'!G$2:G$201,MATCH(A149,'Matching Engine'!A$2:A$201,0))=1,"♀ ","")&amp;IF(INDEX('Matching Engine'!H$2:H$201,MATCH(A149,'Matching Engine'!A$2:A$201,0))=1,"⚧","")))</f>
        <v/>
      </c>
      <c r="D149" s="22" t="str">
        <f>IF(A149="","",INDEX('Matching Engine'!L$2:L$201,MATCH(A149,'Matching Engine'!A$2:A$201,0)))</f>
        <v/>
      </c>
      <c r="E149" s="22" t="str">
        <f t="shared" si="4"/>
        <v/>
      </c>
    </row>
    <row r="150" spans="1:5" ht="14.25" customHeight="1" x14ac:dyDescent="0.35">
      <c r="A150" s="32" t="str">
        <f>IFERROR(INDEX('Matching Engine'!A$2:A$201,MATCH(ROW()-68,'Matching Engine'!M$2:M$201,0)),"")</f>
        <v/>
      </c>
      <c r="B150" s="22" t="str">
        <f>IF(A150="","",INDEX('Matching Engine'!B$2:B$201,MATCH(A150,'Matching Engine'!A$2:A$201,0)))</f>
        <v/>
      </c>
      <c r="C150" s="22" t="str">
        <f>IF(A150="","",IF(AND(INDEX('Matching Engine'!F$2:F$201,MATCH(A150,'Matching Engine'!A$2:A$201,0))=0,INDEX('Matching Engine'!G$2:G$201,MATCH(A150,'Matching Engine'!A$2:A$201,0))=0,INDEX('Matching Engine'!H$2:H$201,MATCH(A150,'Matching Engine'!A$2:A$201,0))=0),"None",IF(INDEX('Matching Engine'!F$2:F$201,MATCH(A150,'Matching Engine'!A$2:A$201,0))=1,"♂ ","")&amp;IF(INDEX('Matching Engine'!G$2:G$201,MATCH(A150,'Matching Engine'!A$2:A$201,0))=1,"♀ ","")&amp;IF(INDEX('Matching Engine'!H$2:H$201,MATCH(A150,'Matching Engine'!A$2:A$201,0))=1,"⚧","")))</f>
        <v/>
      </c>
      <c r="D150" s="22" t="str">
        <f>IF(A150="","",INDEX('Matching Engine'!L$2:L$201,MATCH(A150,'Matching Engine'!A$2:A$201,0)))</f>
        <v/>
      </c>
      <c r="E150" s="22" t="str">
        <f t="shared" si="4"/>
        <v/>
      </c>
    </row>
    <row r="151" spans="1:5" ht="14.25" customHeight="1" x14ac:dyDescent="0.35">
      <c r="A151" s="32" t="str">
        <f>IFERROR(INDEX('Matching Engine'!A$2:A$201,MATCH(ROW()-68,'Matching Engine'!M$2:M$201,0)),"")</f>
        <v/>
      </c>
      <c r="B151" s="22" t="str">
        <f>IF(A151="","",INDEX('Matching Engine'!B$2:B$201,MATCH(A151,'Matching Engine'!A$2:A$201,0)))</f>
        <v/>
      </c>
      <c r="C151" s="22" t="str">
        <f>IF(A151="","",IF(AND(INDEX('Matching Engine'!F$2:F$201,MATCH(A151,'Matching Engine'!A$2:A$201,0))=0,INDEX('Matching Engine'!G$2:G$201,MATCH(A151,'Matching Engine'!A$2:A$201,0))=0,INDEX('Matching Engine'!H$2:H$201,MATCH(A151,'Matching Engine'!A$2:A$201,0))=0),"None",IF(INDEX('Matching Engine'!F$2:F$201,MATCH(A151,'Matching Engine'!A$2:A$201,0))=1,"♂ ","")&amp;IF(INDEX('Matching Engine'!G$2:G$201,MATCH(A151,'Matching Engine'!A$2:A$201,0))=1,"♀ ","")&amp;IF(INDEX('Matching Engine'!H$2:H$201,MATCH(A151,'Matching Engine'!A$2:A$201,0))=1,"⚧","")))</f>
        <v/>
      </c>
      <c r="D151" s="22" t="str">
        <f>IF(A151="","",INDEX('Matching Engine'!L$2:L$201,MATCH(A151,'Matching Engine'!A$2:A$201,0)))</f>
        <v/>
      </c>
      <c r="E151" s="22" t="str">
        <f t="shared" si="4"/>
        <v/>
      </c>
    </row>
    <row r="152" spans="1:5" ht="14.25" customHeight="1" x14ac:dyDescent="0.35">
      <c r="A152" s="32" t="str">
        <f>IFERROR(INDEX('Matching Engine'!A$2:A$201,MATCH(ROW()-68,'Matching Engine'!M$2:M$201,0)),"")</f>
        <v/>
      </c>
      <c r="B152" s="22" t="str">
        <f>IF(A152="","",INDEX('Matching Engine'!B$2:B$201,MATCH(A152,'Matching Engine'!A$2:A$201,0)))</f>
        <v/>
      </c>
      <c r="C152" s="22" t="str">
        <f>IF(A152="","",IF(AND(INDEX('Matching Engine'!F$2:F$201,MATCH(A152,'Matching Engine'!A$2:A$201,0))=0,INDEX('Matching Engine'!G$2:G$201,MATCH(A152,'Matching Engine'!A$2:A$201,0))=0,INDEX('Matching Engine'!H$2:H$201,MATCH(A152,'Matching Engine'!A$2:A$201,0))=0),"None",IF(INDEX('Matching Engine'!F$2:F$201,MATCH(A152,'Matching Engine'!A$2:A$201,0))=1,"♂ ","")&amp;IF(INDEX('Matching Engine'!G$2:G$201,MATCH(A152,'Matching Engine'!A$2:A$201,0))=1,"♀ ","")&amp;IF(INDEX('Matching Engine'!H$2:H$201,MATCH(A152,'Matching Engine'!A$2:A$201,0))=1,"⚧","")))</f>
        <v/>
      </c>
      <c r="D152" s="22" t="str">
        <f>IF(A152="","",INDEX('Matching Engine'!L$2:L$201,MATCH(A152,'Matching Engine'!A$2:A$201,0)))</f>
        <v/>
      </c>
      <c r="E152" s="22" t="str">
        <f t="shared" si="4"/>
        <v/>
      </c>
    </row>
    <row r="153" spans="1:5" ht="14.25" customHeight="1" x14ac:dyDescent="0.35">
      <c r="A153" s="32" t="str">
        <f>IFERROR(INDEX('Matching Engine'!A$2:A$201,MATCH(ROW()-68,'Matching Engine'!M$2:M$201,0)),"")</f>
        <v/>
      </c>
      <c r="B153" s="22" t="str">
        <f>IF(A153="","",INDEX('Matching Engine'!B$2:B$201,MATCH(A153,'Matching Engine'!A$2:A$201,0)))</f>
        <v/>
      </c>
      <c r="C153" s="22" t="str">
        <f>IF(A153="","",IF(AND(INDEX('Matching Engine'!F$2:F$201,MATCH(A153,'Matching Engine'!A$2:A$201,0))=0,INDEX('Matching Engine'!G$2:G$201,MATCH(A153,'Matching Engine'!A$2:A$201,0))=0,INDEX('Matching Engine'!H$2:H$201,MATCH(A153,'Matching Engine'!A$2:A$201,0))=0),"None",IF(INDEX('Matching Engine'!F$2:F$201,MATCH(A153,'Matching Engine'!A$2:A$201,0))=1,"♂ ","")&amp;IF(INDEX('Matching Engine'!G$2:G$201,MATCH(A153,'Matching Engine'!A$2:A$201,0))=1,"♀ ","")&amp;IF(INDEX('Matching Engine'!H$2:H$201,MATCH(A153,'Matching Engine'!A$2:A$201,0))=1,"⚧","")))</f>
        <v/>
      </c>
      <c r="D153" s="22" t="str">
        <f>IF(A153="","",INDEX('Matching Engine'!L$2:L$201,MATCH(A153,'Matching Engine'!A$2:A$201,0)))</f>
        <v/>
      </c>
      <c r="E153" s="22" t="str">
        <f t="shared" si="4"/>
        <v/>
      </c>
    </row>
    <row r="154" spans="1:5" ht="14.25" customHeight="1" x14ac:dyDescent="0.35">
      <c r="A154" s="32" t="str">
        <f>IFERROR(INDEX('Matching Engine'!A$2:A$201,MATCH(ROW()-68,'Matching Engine'!M$2:M$201,0)),"")</f>
        <v/>
      </c>
      <c r="B154" s="22" t="str">
        <f>IF(A154="","",INDEX('Matching Engine'!B$2:B$201,MATCH(A154,'Matching Engine'!A$2:A$201,0)))</f>
        <v/>
      </c>
      <c r="C154" s="22" t="str">
        <f>IF(A154="","",IF(AND(INDEX('Matching Engine'!F$2:F$201,MATCH(A154,'Matching Engine'!A$2:A$201,0))=0,INDEX('Matching Engine'!G$2:G$201,MATCH(A154,'Matching Engine'!A$2:A$201,0))=0,INDEX('Matching Engine'!H$2:H$201,MATCH(A154,'Matching Engine'!A$2:A$201,0))=0),"None",IF(INDEX('Matching Engine'!F$2:F$201,MATCH(A154,'Matching Engine'!A$2:A$201,0))=1,"♂ ","")&amp;IF(INDEX('Matching Engine'!G$2:G$201,MATCH(A154,'Matching Engine'!A$2:A$201,0))=1,"♀ ","")&amp;IF(INDEX('Matching Engine'!H$2:H$201,MATCH(A154,'Matching Engine'!A$2:A$201,0))=1,"⚧","")))</f>
        <v/>
      </c>
      <c r="D154" s="22" t="str">
        <f>IF(A154="","",INDEX('Matching Engine'!L$2:L$201,MATCH(A154,'Matching Engine'!A$2:A$201,0)))</f>
        <v/>
      </c>
      <c r="E154" s="22" t="str">
        <f t="shared" si="4"/>
        <v/>
      </c>
    </row>
    <row r="155" spans="1:5" ht="14.25" customHeight="1" x14ac:dyDescent="0.35">
      <c r="A155" s="32" t="str">
        <f>IFERROR(INDEX('Matching Engine'!A$2:A$201,MATCH(ROW()-68,'Matching Engine'!M$2:M$201,0)),"")</f>
        <v/>
      </c>
      <c r="B155" s="22" t="str">
        <f>IF(A155="","",INDEX('Matching Engine'!B$2:B$201,MATCH(A155,'Matching Engine'!A$2:A$201,0)))</f>
        <v/>
      </c>
      <c r="C155" s="22" t="str">
        <f>IF(A155="","",IF(AND(INDEX('Matching Engine'!F$2:F$201,MATCH(A155,'Matching Engine'!A$2:A$201,0))=0,INDEX('Matching Engine'!G$2:G$201,MATCH(A155,'Matching Engine'!A$2:A$201,0))=0,INDEX('Matching Engine'!H$2:H$201,MATCH(A155,'Matching Engine'!A$2:A$201,0))=0),"None",IF(INDEX('Matching Engine'!F$2:F$201,MATCH(A155,'Matching Engine'!A$2:A$201,0))=1,"♂ ","")&amp;IF(INDEX('Matching Engine'!G$2:G$201,MATCH(A155,'Matching Engine'!A$2:A$201,0))=1,"♀ ","")&amp;IF(INDEX('Matching Engine'!H$2:H$201,MATCH(A155,'Matching Engine'!A$2:A$201,0))=1,"⚧","")))</f>
        <v/>
      </c>
      <c r="D155" s="22" t="str">
        <f>IF(A155="","",INDEX('Matching Engine'!L$2:L$201,MATCH(A155,'Matching Engine'!A$2:A$201,0)))</f>
        <v/>
      </c>
      <c r="E155" s="22" t="str">
        <f t="shared" si="4"/>
        <v/>
      </c>
    </row>
    <row r="156" spans="1:5" ht="14.25" customHeight="1" x14ac:dyDescent="0.35">
      <c r="A156" s="32" t="str">
        <f>IFERROR(INDEX('Matching Engine'!A$2:A$201,MATCH(ROW()-68,'Matching Engine'!M$2:M$201,0)),"")</f>
        <v/>
      </c>
      <c r="B156" s="22" t="str">
        <f>IF(A156="","",INDEX('Matching Engine'!B$2:B$201,MATCH(A156,'Matching Engine'!A$2:A$201,0)))</f>
        <v/>
      </c>
      <c r="C156" s="22" t="str">
        <f>IF(A156="","",IF(AND(INDEX('Matching Engine'!F$2:F$201,MATCH(A156,'Matching Engine'!A$2:A$201,0))=0,INDEX('Matching Engine'!G$2:G$201,MATCH(A156,'Matching Engine'!A$2:A$201,0))=0,INDEX('Matching Engine'!H$2:H$201,MATCH(A156,'Matching Engine'!A$2:A$201,0))=0),"None",IF(INDEX('Matching Engine'!F$2:F$201,MATCH(A156,'Matching Engine'!A$2:A$201,0))=1,"♂ ","")&amp;IF(INDEX('Matching Engine'!G$2:G$201,MATCH(A156,'Matching Engine'!A$2:A$201,0))=1,"♀ ","")&amp;IF(INDEX('Matching Engine'!H$2:H$201,MATCH(A156,'Matching Engine'!A$2:A$201,0))=1,"⚧","")))</f>
        <v/>
      </c>
      <c r="D156" s="22" t="str">
        <f>IF(A156="","",INDEX('Matching Engine'!L$2:L$201,MATCH(A156,'Matching Engine'!A$2:A$201,0)))</f>
        <v/>
      </c>
      <c r="E156" s="22" t="str">
        <f t="shared" si="4"/>
        <v/>
      </c>
    </row>
    <row r="157" spans="1:5" ht="14.25" customHeight="1" x14ac:dyDescent="0.35">
      <c r="A157" s="32" t="str">
        <f>IFERROR(INDEX('Matching Engine'!A$2:A$201,MATCH(ROW()-68,'Matching Engine'!M$2:M$201,0)),"")</f>
        <v/>
      </c>
      <c r="B157" s="22" t="str">
        <f>IF(A157="","",INDEX('Matching Engine'!B$2:B$201,MATCH(A157,'Matching Engine'!A$2:A$201,0)))</f>
        <v/>
      </c>
      <c r="C157" s="22" t="str">
        <f>IF(A157="","",IF(AND(INDEX('Matching Engine'!F$2:F$201,MATCH(A157,'Matching Engine'!A$2:A$201,0))=0,INDEX('Matching Engine'!G$2:G$201,MATCH(A157,'Matching Engine'!A$2:A$201,0))=0,INDEX('Matching Engine'!H$2:H$201,MATCH(A157,'Matching Engine'!A$2:A$201,0))=0),"None",IF(INDEX('Matching Engine'!F$2:F$201,MATCH(A157,'Matching Engine'!A$2:A$201,0))=1,"♂ ","")&amp;IF(INDEX('Matching Engine'!G$2:G$201,MATCH(A157,'Matching Engine'!A$2:A$201,0))=1,"♀ ","")&amp;IF(INDEX('Matching Engine'!H$2:H$201,MATCH(A157,'Matching Engine'!A$2:A$201,0))=1,"⚧","")))</f>
        <v/>
      </c>
      <c r="D157" s="22" t="str">
        <f>IF(A157="","",INDEX('Matching Engine'!L$2:L$201,MATCH(A157,'Matching Engine'!A$2:A$201,0)))</f>
        <v/>
      </c>
      <c r="E157" s="22" t="str">
        <f t="shared" si="4"/>
        <v/>
      </c>
    </row>
    <row r="158" spans="1:5" ht="14.25" customHeight="1" x14ac:dyDescent="0.35">
      <c r="A158" s="32" t="str">
        <f>IFERROR(INDEX('Matching Engine'!A$2:A$201,MATCH(ROW()-68,'Matching Engine'!M$2:M$201,0)),"")</f>
        <v/>
      </c>
      <c r="B158" s="22" t="str">
        <f>IF(A158="","",INDEX('Matching Engine'!B$2:B$201,MATCH(A158,'Matching Engine'!A$2:A$201,0)))</f>
        <v/>
      </c>
      <c r="C158" s="22" t="str">
        <f>IF(A158="","",IF(AND(INDEX('Matching Engine'!F$2:F$201,MATCH(A158,'Matching Engine'!A$2:A$201,0))=0,INDEX('Matching Engine'!G$2:G$201,MATCH(A158,'Matching Engine'!A$2:A$201,0))=0,INDEX('Matching Engine'!H$2:H$201,MATCH(A158,'Matching Engine'!A$2:A$201,0))=0),"None",IF(INDEX('Matching Engine'!F$2:F$201,MATCH(A158,'Matching Engine'!A$2:A$201,0))=1,"♂ ","")&amp;IF(INDEX('Matching Engine'!G$2:G$201,MATCH(A158,'Matching Engine'!A$2:A$201,0))=1,"♀ ","")&amp;IF(INDEX('Matching Engine'!H$2:H$201,MATCH(A158,'Matching Engine'!A$2:A$201,0))=1,"⚧","")))</f>
        <v/>
      </c>
      <c r="D158" s="22" t="str">
        <f>IF(A158="","",INDEX('Matching Engine'!L$2:L$201,MATCH(A158,'Matching Engine'!A$2:A$201,0)))</f>
        <v/>
      </c>
      <c r="E158" s="22" t="str">
        <f t="shared" si="4"/>
        <v/>
      </c>
    </row>
    <row r="159" spans="1:5" ht="14.25" customHeight="1" x14ac:dyDescent="0.35">
      <c r="A159" s="32" t="str">
        <f>IFERROR(INDEX('Matching Engine'!A$2:A$201,MATCH(ROW()-68,'Matching Engine'!M$2:M$201,0)),"")</f>
        <v/>
      </c>
      <c r="B159" s="22" t="str">
        <f>IF(A159="","",INDEX('Matching Engine'!B$2:B$201,MATCH(A159,'Matching Engine'!A$2:A$201,0)))</f>
        <v/>
      </c>
      <c r="C159" s="22" t="str">
        <f>IF(A159="","",IF(AND(INDEX('Matching Engine'!F$2:F$201,MATCH(A159,'Matching Engine'!A$2:A$201,0))=0,INDEX('Matching Engine'!G$2:G$201,MATCH(A159,'Matching Engine'!A$2:A$201,0))=0,INDEX('Matching Engine'!H$2:H$201,MATCH(A159,'Matching Engine'!A$2:A$201,0))=0),"None",IF(INDEX('Matching Engine'!F$2:F$201,MATCH(A159,'Matching Engine'!A$2:A$201,0))=1,"♂ ","")&amp;IF(INDEX('Matching Engine'!G$2:G$201,MATCH(A159,'Matching Engine'!A$2:A$201,0))=1,"♀ ","")&amp;IF(INDEX('Matching Engine'!H$2:H$201,MATCH(A159,'Matching Engine'!A$2:A$201,0))=1,"⚧","")))</f>
        <v/>
      </c>
      <c r="D159" s="22" t="str">
        <f>IF(A159="","",INDEX('Matching Engine'!L$2:L$201,MATCH(A159,'Matching Engine'!A$2:A$201,0)))</f>
        <v/>
      </c>
      <c r="E159" s="22" t="str">
        <f t="shared" si="4"/>
        <v/>
      </c>
    </row>
    <row r="160" spans="1:5" ht="14.25" customHeight="1" x14ac:dyDescent="0.35">
      <c r="A160" s="32" t="str">
        <f>IFERROR(INDEX('Matching Engine'!A$2:A$201,MATCH(ROW()-68,'Matching Engine'!M$2:M$201,0)),"")</f>
        <v/>
      </c>
      <c r="B160" s="22" t="str">
        <f>IF(A160="","",INDEX('Matching Engine'!B$2:B$201,MATCH(A160,'Matching Engine'!A$2:A$201,0)))</f>
        <v/>
      </c>
      <c r="C160" s="22" t="str">
        <f>IF(A160="","",IF(AND(INDEX('Matching Engine'!F$2:F$201,MATCH(A160,'Matching Engine'!A$2:A$201,0))=0,INDEX('Matching Engine'!G$2:G$201,MATCH(A160,'Matching Engine'!A$2:A$201,0))=0,INDEX('Matching Engine'!H$2:H$201,MATCH(A160,'Matching Engine'!A$2:A$201,0))=0),"None",IF(INDEX('Matching Engine'!F$2:F$201,MATCH(A160,'Matching Engine'!A$2:A$201,0))=1,"♂ ","")&amp;IF(INDEX('Matching Engine'!G$2:G$201,MATCH(A160,'Matching Engine'!A$2:A$201,0))=1,"♀ ","")&amp;IF(INDEX('Matching Engine'!H$2:H$201,MATCH(A160,'Matching Engine'!A$2:A$201,0))=1,"⚧","")))</f>
        <v/>
      </c>
      <c r="D160" s="22" t="str">
        <f>IF(A160="","",INDEX('Matching Engine'!L$2:L$201,MATCH(A160,'Matching Engine'!A$2:A$201,0)))</f>
        <v/>
      </c>
      <c r="E160" s="22" t="str">
        <f t="shared" si="4"/>
        <v/>
      </c>
    </row>
    <row r="161" spans="1:5" ht="14.25" customHeight="1" x14ac:dyDescent="0.35">
      <c r="A161" s="32" t="str">
        <f>IFERROR(INDEX('Matching Engine'!A$2:A$201,MATCH(ROW()-68,'Matching Engine'!M$2:M$201,0)),"")</f>
        <v/>
      </c>
      <c r="B161" s="22" t="str">
        <f>IF(A161="","",INDEX('Matching Engine'!B$2:B$201,MATCH(A161,'Matching Engine'!A$2:A$201,0)))</f>
        <v/>
      </c>
      <c r="C161" s="22" t="str">
        <f>IF(A161="","",IF(AND(INDEX('Matching Engine'!F$2:F$201,MATCH(A161,'Matching Engine'!A$2:A$201,0))=0,INDEX('Matching Engine'!G$2:G$201,MATCH(A161,'Matching Engine'!A$2:A$201,0))=0,INDEX('Matching Engine'!H$2:H$201,MATCH(A161,'Matching Engine'!A$2:A$201,0))=0),"None",IF(INDEX('Matching Engine'!F$2:F$201,MATCH(A161,'Matching Engine'!A$2:A$201,0))=1,"♂ ","")&amp;IF(INDEX('Matching Engine'!G$2:G$201,MATCH(A161,'Matching Engine'!A$2:A$201,0))=1,"♀ ","")&amp;IF(INDEX('Matching Engine'!H$2:H$201,MATCH(A161,'Matching Engine'!A$2:A$201,0))=1,"⚧","")))</f>
        <v/>
      </c>
      <c r="D161" s="22" t="str">
        <f>IF(A161="","",INDEX('Matching Engine'!L$2:L$201,MATCH(A161,'Matching Engine'!A$2:A$201,0)))</f>
        <v/>
      </c>
      <c r="E161" s="22" t="str">
        <f t="shared" si="4"/>
        <v/>
      </c>
    </row>
    <row r="162" spans="1:5" ht="14.25" customHeight="1" x14ac:dyDescent="0.35">
      <c r="A162" s="32" t="str">
        <f>IFERROR(INDEX('Matching Engine'!A$2:A$201,MATCH(ROW()-68,'Matching Engine'!M$2:M$201,0)),"")</f>
        <v/>
      </c>
      <c r="B162" s="22" t="str">
        <f>IF(A162="","",INDEX('Matching Engine'!B$2:B$201,MATCH(A162,'Matching Engine'!A$2:A$201,0)))</f>
        <v/>
      </c>
      <c r="C162" s="22" t="str">
        <f>IF(A162="","",IF(AND(INDEX('Matching Engine'!F$2:F$201,MATCH(A162,'Matching Engine'!A$2:A$201,0))=0,INDEX('Matching Engine'!G$2:G$201,MATCH(A162,'Matching Engine'!A$2:A$201,0))=0,INDEX('Matching Engine'!H$2:H$201,MATCH(A162,'Matching Engine'!A$2:A$201,0))=0),"None",IF(INDEX('Matching Engine'!F$2:F$201,MATCH(A162,'Matching Engine'!A$2:A$201,0))=1,"♂ ","")&amp;IF(INDEX('Matching Engine'!G$2:G$201,MATCH(A162,'Matching Engine'!A$2:A$201,0))=1,"♀ ","")&amp;IF(INDEX('Matching Engine'!H$2:H$201,MATCH(A162,'Matching Engine'!A$2:A$201,0))=1,"⚧","")))</f>
        <v/>
      </c>
      <c r="D162" s="22" t="str">
        <f>IF(A162="","",INDEX('Matching Engine'!L$2:L$201,MATCH(A162,'Matching Engine'!A$2:A$201,0)))</f>
        <v/>
      </c>
      <c r="E162" s="22" t="str">
        <f t="shared" si="4"/>
        <v/>
      </c>
    </row>
    <row r="163" spans="1:5" ht="14.25" customHeight="1" x14ac:dyDescent="0.35">
      <c r="A163" s="32" t="str">
        <f>IFERROR(INDEX('Matching Engine'!A$2:A$201,MATCH(ROW()-68,'Matching Engine'!M$2:M$201,0)),"")</f>
        <v/>
      </c>
      <c r="B163" s="22" t="str">
        <f>IF(A163="","",INDEX('Matching Engine'!B$2:B$201,MATCH(A163,'Matching Engine'!A$2:A$201,0)))</f>
        <v/>
      </c>
      <c r="C163" s="22" t="str">
        <f>IF(A163="","",IF(AND(INDEX('Matching Engine'!F$2:F$201,MATCH(A163,'Matching Engine'!A$2:A$201,0))=0,INDEX('Matching Engine'!G$2:G$201,MATCH(A163,'Matching Engine'!A$2:A$201,0))=0,INDEX('Matching Engine'!H$2:H$201,MATCH(A163,'Matching Engine'!A$2:A$201,0))=0),"None",IF(INDEX('Matching Engine'!F$2:F$201,MATCH(A163,'Matching Engine'!A$2:A$201,0))=1,"♂ ","")&amp;IF(INDEX('Matching Engine'!G$2:G$201,MATCH(A163,'Matching Engine'!A$2:A$201,0))=1,"♀ ","")&amp;IF(INDEX('Matching Engine'!H$2:H$201,MATCH(A163,'Matching Engine'!A$2:A$201,0))=1,"⚧","")))</f>
        <v/>
      </c>
      <c r="D163" s="22" t="str">
        <f>IF(A163="","",INDEX('Matching Engine'!L$2:L$201,MATCH(A163,'Matching Engine'!A$2:A$201,0)))</f>
        <v/>
      </c>
      <c r="E163" s="22" t="str">
        <f t="shared" si="4"/>
        <v/>
      </c>
    </row>
    <row r="164" spans="1:5" ht="14.25" customHeight="1" x14ac:dyDescent="0.35">
      <c r="A164" s="32" t="str">
        <f>IFERROR(INDEX('Matching Engine'!A$2:A$201,MATCH(ROW()-68,'Matching Engine'!M$2:M$201,0)),"")</f>
        <v/>
      </c>
      <c r="B164" s="22" t="str">
        <f>IF(A164="","",INDEX('Matching Engine'!B$2:B$201,MATCH(A164,'Matching Engine'!A$2:A$201,0)))</f>
        <v/>
      </c>
      <c r="C164" s="22" t="str">
        <f>IF(A164="","",IF(AND(INDEX('Matching Engine'!F$2:F$201,MATCH(A164,'Matching Engine'!A$2:A$201,0))=0,INDEX('Matching Engine'!G$2:G$201,MATCH(A164,'Matching Engine'!A$2:A$201,0))=0,INDEX('Matching Engine'!H$2:H$201,MATCH(A164,'Matching Engine'!A$2:A$201,0))=0),"None",IF(INDEX('Matching Engine'!F$2:F$201,MATCH(A164,'Matching Engine'!A$2:A$201,0))=1,"♂ ","")&amp;IF(INDEX('Matching Engine'!G$2:G$201,MATCH(A164,'Matching Engine'!A$2:A$201,0))=1,"♀ ","")&amp;IF(INDEX('Matching Engine'!H$2:H$201,MATCH(A164,'Matching Engine'!A$2:A$201,0))=1,"⚧","")))</f>
        <v/>
      </c>
      <c r="D164" s="22" t="str">
        <f>IF(A164="","",INDEX('Matching Engine'!L$2:L$201,MATCH(A164,'Matching Engine'!A$2:A$201,0)))</f>
        <v/>
      </c>
      <c r="E164" s="22" t="str">
        <f t="shared" si="4"/>
        <v/>
      </c>
    </row>
    <row r="165" spans="1:5" ht="14.25" customHeight="1" x14ac:dyDescent="0.35">
      <c r="A165" s="32" t="str">
        <f>IFERROR(INDEX('Matching Engine'!A$2:A$201,MATCH(ROW()-68,'Matching Engine'!M$2:M$201,0)),"")</f>
        <v/>
      </c>
      <c r="B165" s="22" t="str">
        <f>IF(A165="","",INDEX('Matching Engine'!B$2:B$201,MATCH(A165,'Matching Engine'!A$2:A$201,0)))</f>
        <v/>
      </c>
      <c r="C165" s="22" t="str">
        <f>IF(A165="","",IF(AND(INDEX('Matching Engine'!F$2:F$201,MATCH(A165,'Matching Engine'!A$2:A$201,0))=0,INDEX('Matching Engine'!G$2:G$201,MATCH(A165,'Matching Engine'!A$2:A$201,0))=0,INDEX('Matching Engine'!H$2:H$201,MATCH(A165,'Matching Engine'!A$2:A$201,0))=0),"None",IF(INDEX('Matching Engine'!F$2:F$201,MATCH(A165,'Matching Engine'!A$2:A$201,0))=1,"♂ ","")&amp;IF(INDEX('Matching Engine'!G$2:G$201,MATCH(A165,'Matching Engine'!A$2:A$201,0))=1,"♀ ","")&amp;IF(INDEX('Matching Engine'!H$2:H$201,MATCH(A165,'Matching Engine'!A$2:A$201,0))=1,"⚧","")))</f>
        <v/>
      </c>
      <c r="D165" s="22" t="str">
        <f>IF(A165="","",INDEX('Matching Engine'!L$2:L$201,MATCH(A165,'Matching Engine'!A$2:A$201,0)))</f>
        <v/>
      </c>
      <c r="E165" s="22" t="str">
        <f t="shared" si="4"/>
        <v/>
      </c>
    </row>
    <row r="166" spans="1:5" ht="14.25" customHeight="1" x14ac:dyDescent="0.35">
      <c r="A166" s="32" t="str">
        <f>IFERROR(INDEX('Matching Engine'!A$2:A$201,MATCH(ROW()-68,'Matching Engine'!M$2:M$201,0)),"")</f>
        <v/>
      </c>
      <c r="B166" s="22" t="str">
        <f>IF(A166="","",INDEX('Matching Engine'!B$2:B$201,MATCH(A166,'Matching Engine'!A$2:A$201,0)))</f>
        <v/>
      </c>
      <c r="C166" s="22" t="str">
        <f>IF(A166="","",IF(AND(INDEX('Matching Engine'!F$2:F$201,MATCH(A166,'Matching Engine'!A$2:A$201,0))=0,INDEX('Matching Engine'!G$2:G$201,MATCH(A166,'Matching Engine'!A$2:A$201,0))=0,INDEX('Matching Engine'!H$2:H$201,MATCH(A166,'Matching Engine'!A$2:A$201,0))=0),"None",IF(INDEX('Matching Engine'!F$2:F$201,MATCH(A166,'Matching Engine'!A$2:A$201,0))=1,"♂ ","")&amp;IF(INDEX('Matching Engine'!G$2:G$201,MATCH(A166,'Matching Engine'!A$2:A$201,0))=1,"♀ ","")&amp;IF(INDEX('Matching Engine'!H$2:H$201,MATCH(A166,'Matching Engine'!A$2:A$201,0))=1,"⚧","")))</f>
        <v/>
      </c>
      <c r="D166" s="22" t="str">
        <f>IF(A166="","",INDEX('Matching Engine'!L$2:L$201,MATCH(A166,'Matching Engine'!A$2:A$201,0)))</f>
        <v/>
      </c>
      <c r="E166" s="22" t="str">
        <f t="shared" si="4"/>
        <v/>
      </c>
    </row>
    <row r="167" spans="1:5" ht="14.25" customHeight="1" x14ac:dyDescent="0.35">
      <c r="A167" s="32" t="str">
        <f>IFERROR(INDEX('Matching Engine'!A$2:A$201,MATCH(ROW()-68,'Matching Engine'!M$2:M$201,0)),"")</f>
        <v/>
      </c>
      <c r="B167" s="22" t="str">
        <f>IF(A167="","",INDEX('Matching Engine'!B$2:B$201,MATCH(A167,'Matching Engine'!A$2:A$201,0)))</f>
        <v/>
      </c>
      <c r="C167" s="22" t="str">
        <f>IF(A167="","",IF(AND(INDEX('Matching Engine'!F$2:F$201,MATCH(A167,'Matching Engine'!A$2:A$201,0))=0,INDEX('Matching Engine'!G$2:G$201,MATCH(A167,'Matching Engine'!A$2:A$201,0))=0,INDEX('Matching Engine'!H$2:H$201,MATCH(A167,'Matching Engine'!A$2:A$201,0))=0),"None",IF(INDEX('Matching Engine'!F$2:F$201,MATCH(A167,'Matching Engine'!A$2:A$201,0))=1,"♂ ","")&amp;IF(INDEX('Matching Engine'!G$2:G$201,MATCH(A167,'Matching Engine'!A$2:A$201,0))=1,"♀ ","")&amp;IF(INDEX('Matching Engine'!H$2:H$201,MATCH(A167,'Matching Engine'!A$2:A$201,0))=1,"⚧","")))</f>
        <v/>
      </c>
      <c r="D167" s="22" t="str">
        <f>IF(A167="","",INDEX('Matching Engine'!L$2:L$201,MATCH(A167,'Matching Engine'!A$2:A$201,0)))</f>
        <v/>
      </c>
      <c r="E167" s="22" t="str">
        <f t="shared" si="4"/>
        <v/>
      </c>
    </row>
    <row r="168" spans="1:5" ht="14.25" customHeight="1" x14ac:dyDescent="0.35">
      <c r="A168" s="32" t="str">
        <f>IFERROR(INDEX('Matching Engine'!A$2:A$201,MATCH(ROW()-68,'Matching Engine'!M$2:M$201,0)),"")</f>
        <v/>
      </c>
      <c r="B168" s="22" t="str">
        <f>IF(A168="","",INDEX('Matching Engine'!B$2:B$201,MATCH(A168,'Matching Engine'!A$2:A$201,0)))</f>
        <v/>
      </c>
      <c r="C168" s="22" t="str">
        <f>IF(A168="","",IF(AND(INDEX('Matching Engine'!F$2:F$201,MATCH(A168,'Matching Engine'!A$2:A$201,0))=0,INDEX('Matching Engine'!G$2:G$201,MATCH(A168,'Matching Engine'!A$2:A$201,0))=0,INDEX('Matching Engine'!H$2:H$201,MATCH(A168,'Matching Engine'!A$2:A$201,0))=0),"None",IF(INDEX('Matching Engine'!F$2:F$201,MATCH(A168,'Matching Engine'!A$2:A$201,0))=1,"♂ ","")&amp;IF(INDEX('Matching Engine'!G$2:G$201,MATCH(A168,'Matching Engine'!A$2:A$201,0))=1,"♀ ","")&amp;IF(INDEX('Matching Engine'!H$2:H$201,MATCH(A168,'Matching Engine'!A$2:A$201,0))=1,"⚧","")))</f>
        <v/>
      </c>
      <c r="D168" s="22" t="str">
        <f>IF(A168="","",INDEX('Matching Engine'!L$2:L$201,MATCH(A168,'Matching Engine'!A$2:A$201,0)))</f>
        <v/>
      </c>
      <c r="E168" s="22" t="str">
        <f t="shared" si="4"/>
        <v/>
      </c>
    </row>
    <row r="169" spans="1:5" ht="14.25" customHeight="1" x14ac:dyDescent="0.35">
      <c r="A169" s="32" t="str">
        <f>IFERROR(INDEX('Matching Engine'!A$2:A$201,MATCH(ROW()-68,'Matching Engine'!M$2:M$201,0)),"")</f>
        <v/>
      </c>
      <c r="B169" s="22" t="str">
        <f>IF(A169="","",INDEX('Matching Engine'!B$2:B$201,MATCH(A169,'Matching Engine'!A$2:A$201,0)))</f>
        <v/>
      </c>
      <c r="C169" s="22" t="str">
        <f>IF(A169="","",IF(AND(INDEX('Matching Engine'!F$2:F$201,MATCH(A169,'Matching Engine'!A$2:A$201,0))=0,INDEX('Matching Engine'!G$2:G$201,MATCH(A169,'Matching Engine'!A$2:A$201,0))=0,INDEX('Matching Engine'!H$2:H$201,MATCH(A169,'Matching Engine'!A$2:A$201,0))=0),"None",IF(INDEX('Matching Engine'!F$2:F$201,MATCH(A169,'Matching Engine'!A$2:A$201,0))=1,"♂ ","")&amp;IF(INDEX('Matching Engine'!G$2:G$201,MATCH(A169,'Matching Engine'!A$2:A$201,0))=1,"♀ ","")&amp;IF(INDEX('Matching Engine'!H$2:H$201,MATCH(A169,'Matching Engine'!A$2:A$201,0))=1,"⚧","")))</f>
        <v/>
      </c>
      <c r="D169" s="22" t="str">
        <f>IF(A169="","",INDEX('Matching Engine'!L$2:L$201,MATCH(A169,'Matching Engine'!A$2:A$201,0)))</f>
        <v/>
      </c>
      <c r="E169" s="22" t="str">
        <f t="shared" si="4"/>
        <v/>
      </c>
    </row>
    <row r="170" spans="1:5" ht="14.25" customHeight="1" x14ac:dyDescent="0.35">
      <c r="A170" s="32" t="str">
        <f>IFERROR(INDEX('Matching Engine'!A$2:A$201,MATCH(ROW()-68,'Matching Engine'!M$2:M$201,0)),"")</f>
        <v/>
      </c>
      <c r="B170" s="22" t="str">
        <f>IF(A170="","",INDEX('Matching Engine'!B$2:B$201,MATCH(A170,'Matching Engine'!A$2:A$201,0)))</f>
        <v/>
      </c>
      <c r="C170" s="22" t="str">
        <f>IF(A170="","",IF(AND(INDEX('Matching Engine'!F$2:F$201,MATCH(A170,'Matching Engine'!A$2:A$201,0))=0,INDEX('Matching Engine'!G$2:G$201,MATCH(A170,'Matching Engine'!A$2:A$201,0))=0,INDEX('Matching Engine'!H$2:H$201,MATCH(A170,'Matching Engine'!A$2:A$201,0))=0),"None",IF(INDEX('Matching Engine'!F$2:F$201,MATCH(A170,'Matching Engine'!A$2:A$201,0))=1,"♂ ","")&amp;IF(INDEX('Matching Engine'!G$2:G$201,MATCH(A170,'Matching Engine'!A$2:A$201,0))=1,"♀ ","")&amp;IF(INDEX('Matching Engine'!H$2:H$201,MATCH(A170,'Matching Engine'!A$2:A$201,0))=1,"⚧","")))</f>
        <v/>
      </c>
      <c r="D170" s="22" t="str">
        <f>IF(A170="","",INDEX('Matching Engine'!L$2:L$201,MATCH(A170,'Matching Engine'!A$2:A$201,0)))</f>
        <v/>
      </c>
      <c r="E170" s="22" t="str">
        <f t="shared" si="4"/>
        <v/>
      </c>
    </row>
    <row r="171" spans="1:5" ht="14.25" customHeight="1" x14ac:dyDescent="0.35">
      <c r="A171" s="32" t="str">
        <f>IFERROR(INDEX('Matching Engine'!A$2:A$201,MATCH(ROW()-68,'Matching Engine'!M$2:M$201,0)),"")</f>
        <v/>
      </c>
      <c r="B171" s="22" t="str">
        <f>IF(A171="","",INDEX('Matching Engine'!B$2:B$201,MATCH(A171,'Matching Engine'!A$2:A$201,0)))</f>
        <v/>
      </c>
      <c r="C171" s="22" t="str">
        <f>IF(A171="","",IF(AND(INDEX('Matching Engine'!F$2:F$201,MATCH(A171,'Matching Engine'!A$2:A$201,0))=0,INDEX('Matching Engine'!G$2:G$201,MATCH(A171,'Matching Engine'!A$2:A$201,0))=0,INDEX('Matching Engine'!H$2:H$201,MATCH(A171,'Matching Engine'!A$2:A$201,0))=0),"None",IF(INDEX('Matching Engine'!F$2:F$201,MATCH(A171,'Matching Engine'!A$2:A$201,0))=1,"♂ ","")&amp;IF(INDEX('Matching Engine'!G$2:G$201,MATCH(A171,'Matching Engine'!A$2:A$201,0))=1,"♀ ","")&amp;IF(INDEX('Matching Engine'!H$2:H$201,MATCH(A171,'Matching Engine'!A$2:A$201,0))=1,"⚧","")))</f>
        <v/>
      </c>
      <c r="D171" s="22" t="str">
        <f>IF(A171="","",INDEX('Matching Engine'!L$2:L$201,MATCH(A171,'Matching Engine'!A$2:A$201,0)))</f>
        <v/>
      </c>
      <c r="E171" s="22" t="str">
        <f t="shared" ref="E171:E174" si="5">IF(A171="","",IF(D171=0,"0% — no compatible partners",TEXT(D171/($B$6-1),"0%")&amp;" — "&amp;D171&amp;" of "&amp;($B$6-1)&amp;" compatible"))</f>
        <v/>
      </c>
    </row>
    <row r="172" spans="1:5" ht="14.25" customHeight="1" x14ac:dyDescent="0.35">
      <c r="A172" s="32" t="str">
        <f>IFERROR(INDEX('Matching Engine'!A$2:A$201,MATCH(ROW()-68,'Matching Engine'!M$2:M$201,0)),"")</f>
        <v/>
      </c>
      <c r="B172" s="22" t="str">
        <f>IF(A172="","",INDEX('Matching Engine'!B$2:B$201,MATCH(A172,'Matching Engine'!A$2:A$201,0)))</f>
        <v/>
      </c>
      <c r="C172" s="22" t="str">
        <f>IF(A172="","",IF(AND(INDEX('Matching Engine'!F$2:F$201,MATCH(A172,'Matching Engine'!A$2:A$201,0))=0,INDEX('Matching Engine'!G$2:G$201,MATCH(A172,'Matching Engine'!A$2:A$201,0))=0,INDEX('Matching Engine'!H$2:H$201,MATCH(A172,'Matching Engine'!A$2:A$201,0))=0),"None",IF(INDEX('Matching Engine'!F$2:F$201,MATCH(A172,'Matching Engine'!A$2:A$201,0))=1,"♂ ","")&amp;IF(INDEX('Matching Engine'!G$2:G$201,MATCH(A172,'Matching Engine'!A$2:A$201,0))=1,"♀ ","")&amp;IF(INDEX('Matching Engine'!H$2:H$201,MATCH(A172,'Matching Engine'!A$2:A$201,0))=1,"⚧","")))</f>
        <v/>
      </c>
      <c r="D172" s="22" t="str">
        <f>IF(A172="","",INDEX('Matching Engine'!L$2:L$201,MATCH(A172,'Matching Engine'!A$2:A$201,0)))</f>
        <v/>
      </c>
      <c r="E172" s="22" t="str">
        <f t="shared" si="5"/>
        <v/>
      </c>
    </row>
    <row r="173" spans="1:5" ht="14.25" customHeight="1" x14ac:dyDescent="0.35">
      <c r="A173" s="32" t="str">
        <f>IFERROR(INDEX('Matching Engine'!A$2:A$201,MATCH(ROW()-68,'Matching Engine'!M$2:M$201,0)),"")</f>
        <v/>
      </c>
      <c r="B173" s="22" t="str">
        <f>IF(A173="","",INDEX('Matching Engine'!B$2:B$201,MATCH(A173,'Matching Engine'!A$2:A$201,0)))</f>
        <v/>
      </c>
      <c r="C173" s="22" t="str">
        <f>IF(A173="","",IF(AND(INDEX('Matching Engine'!F$2:F$201,MATCH(A173,'Matching Engine'!A$2:A$201,0))=0,INDEX('Matching Engine'!G$2:G$201,MATCH(A173,'Matching Engine'!A$2:A$201,0))=0,INDEX('Matching Engine'!H$2:H$201,MATCH(A173,'Matching Engine'!A$2:A$201,0))=0),"None",IF(INDEX('Matching Engine'!F$2:F$201,MATCH(A173,'Matching Engine'!A$2:A$201,0))=1,"♂ ","")&amp;IF(INDEX('Matching Engine'!G$2:G$201,MATCH(A173,'Matching Engine'!A$2:A$201,0))=1,"♀ ","")&amp;IF(INDEX('Matching Engine'!H$2:H$201,MATCH(A173,'Matching Engine'!A$2:A$201,0))=1,"⚧","")))</f>
        <v/>
      </c>
      <c r="D173" s="22" t="str">
        <f>IF(A173="","",INDEX('Matching Engine'!L$2:L$201,MATCH(A173,'Matching Engine'!A$2:A$201,0)))</f>
        <v/>
      </c>
      <c r="E173" s="22" t="str">
        <f t="shared" si="5"/>
        <v/>
      </c>
    </row>
    <row r="174" spans="1:5" ht="14.25" customHeight="1" x14ac:dyDescent="0.35">
      <c r="A174" s="32" t="str">
        <f>IFERROR(INDEX('Matching Engine'!A$2:A$201,MATCH(ROW()-68,'Matching Engine'!M$2:M$201,0)),"")</f>
        <v/>
      </c>
      <c r="B174" s="22" t="str">
        <f>IF(A174="","",INDEX('Matching Engine'!B$2:B$201,MATCH(A174,'Matching Engine'!A$2:A$201,0)))</f>
        <v/>
      </c>
      <c r="C174" s="22" t="str">
        <f>IF(A174="","",IF(AND(INDEX('Matching Engine'!F$2:F$201,MATCH(A174,'Matching Engine'!A$2:A$201,0))=0,INDEX('Matching Engine'!G$2:G$201,MATCH(A174,'Matching Engine'!A$2:A$201,0))=0,INDEX('Matching Engine'!H$2:H$201,MATCH(A174,'Matching Engine'!A$2:A$201,0))=0),"None",IF(INDEX('Matching Engine'!F$2:F$201,MATCH(A174,'Matching Engine'!A$2:A$201,0))=1,"♂ ","")&amp;IF(INDEX('Matching Engine'!G$2:G$201,MATCH(A174,'Matching Engine'!A$2:A$201,0))=1,"♀ ","")&amp;IF(INDEX('Matching Engine'!H$2:H$201,MATCH(A174,'Matching Engine'!A$2:A$201,0))=1,"⚧","")))</f>
        <v/>
      </c>
      <c r="D174" s="22" t="str">
        <f>IF(A174="","",INDEX('Matching Engine'!L$2:L$201,MATCH(A174,'Matching Engine'!A$2:A$201,0)))</f>
        <v/>
      </c>
      <c r="E174" s="22" t="str">
        <f t="shared" si="5"/>
        <v/>
      </c>
    </row>
    <row r="175" spans="1:5" x14ac:dyDescent="0.35">
      <c r="A175" s="32"/>
    </row>
    <row r="176" spans="1:5" x14ac:dyDescent="0.35">
      <c r="A176" s="32"/>
    </row>
    <row r="177" spans="1:1" x14ac:dyDescent="0.35">
      <c r="A177" s="32"/>
    </row>
    <row r="178" spans="1:1" x14ac:dyDescent="0.35">
      <c r="A178" s="32"/>
    </row>
    <row r="179" spans="1:1" x14ac:dyDescent="0.35">
      <c r="A179" s="32"/>
    </row>
    <row r="180" spans="1:1" x14ac:dyDescent="0.35">
      <c r="A180" s="32"/>
    </row>
    <row r="181" spans="1:1" x14ac:dyDescent="0.35">
      <c r="A181" s="32"/>
    </row>
    <row r="182" spans="1:1" x14ac:dyDescent="0.35">
      <c r="A182" s="32"/>
    </row>
    <row r="183" spans="1:1" x14ac:dyDescent="0.35">
      <c r="A183" s="32"/>
    </row>
    <row r="184" spans="1:1" x14ac:dyDescent="0.35">
      <c r="A184" s="32"/>
    </row>
    <row r="185" spans="1:1" x14ac:dyDescent="0.35">
      <c r="A185" s="32"/>
    </row>
    <row r="186" spans="1:1" x14ac:dyDescent="0.35">
      <c r="A186" s="32"/>
    </row>
    <row r="187" spans="1:1" x14ac:dyDescent="0.35">
      <c r="A187" s="32"/>
    </row>
    <row r="188" spans="1:1" x14ac:dyDescent="0.35">
      <c r="A188" s="32"/>
    </row>
    <row r="189" spans="1:1" x14ac:dyDescent="0.35">
      <c r="A189" s="32"/>
    </row>
    <row r="190" spans="1:1" x14ac:dyDescent="0.35">
      <c r="A190" s="32"/>
    </row>
    <row r="191" spans="1:1" x14ac:dyDescent="0.35">
      <c r="A191" s="32"/>
    </row>
    <row r="192" spans="1:1" x14ac:dyDescent="0.35">
      <c r="A192" s="32"/>
    </row>
    <row r="193" spans="1:1" x14ac:dyDescent="0.35">
      <c r="A193" s="32"/>
    </row>
    <row r="194" spans="1:1" x14ac:dyDescent="0.35">
      <c r="A194" s="32"/>
    </row>
    <row r="195" spans="1:1" x14ac:dyDescent="0.35">
      <c r="A195" s="32"/>
    </row>
    <row r="196" spans="1:1" x14ac:dyDescent="0.35">
      <c r="A196" s="32"/>
    </row>
    <row r="197" spans="1:1" x14ac:dyDescent="0.35">
      <c r="A197" s="32"/>
    </row>
    <row r="198" spans="1:1" x14ac:dyDescent="0.35">
      <c r="A198" s="32"/>
    </row>
    <row r="199" spans="1:1" x14ac:dyDescent="0.35">
      <c r="A199" s="32"/>
    </row>
    <row r="200" spans="1:1" x14ac:dyDescent="0.35">
      <c r="A200" s="32"/>
    </row>
    <row r="201" spans="1:1" x14ac:dyDescent="0.35">
      <c r="A201" s="32"/>
    </row>
    <row r="202" spans="1:1" x14ac:dyDescent="0.35">
      <c r="A202" s="32"/>
    </row>
    <row r="203" spans="1:1" x14ac:dyDescent="0.35">
      <c r="A203" s="32"/>
    </row>
    <row r="204" spans="1:1" x14ac:dyDescent="0.35">
      <c r="A204" s="32"/>
    </row>
    <row r="205" spans="1:1" x14ac:dyDescent="0.35">
      <c r="A205" s="32"/>
    </row>
    <row r="206" spans="1:1" x14ac:dyDescent="0.35">
      <c r="A206" s="32"/>
    </row>
    <row r="207" spans="1:1" x14ac:dyDescent="0.35">
      <c r="A207" s="32"/>
    </row>
    <row r="208" spans="1:1" x14ac:dyDescent="0.35">
      <c r="A208" s="32"/>
    </row>
    <row r="209" spans="1:1" x14ac:dyDescent="0.35">
      <c r="A209" s="32"/>
    </row>
    <row r="210" spans="1:1" x14ac:dyDescent="0.35">
      <c r="A210" s="32"/>
    </row>
    <row r="211" spans="1:1" x14ac:dyDescent="0.35">
      <c r="A211" s="32"/>
    </row>
    <row r="212" spans="1:1" x14ac:dyDescent="0.35">
      <c r="A212" s="32"/>
    </row>
    <row r="213" spans="1:1" x14ac:dyDescent="0.35">
      <c r="A213" s="32"/>
    </row>
    <row r="214" spans="1:1" x14ac:dyDescent="0.35">
      <c r="A214" s="32"/>
    </row>
    <row r="215" spans="1:1" x14ac:dyDescent="0.35">
      <c r="A215" s="32"/>
    </row>
    <row r="216" spans="1:1" x14ac:dyDescent="0.35">
      <c r="A216" s="32"/>
    </row>
    <row r="217" spans="1:1" x14ac:dyDescent="0.35">
      <c r="A217" s="32"/>
    </row>
    <row r="218" spans="1:1" x14ac:dyDescent="0.35">
      <c r="A218" s="32"/>
    </row>
    <row r="219" spans="1:1" x14ac:dyDescent="0.35">
      <c r="A219" s="32"/>
    </row>
    <row r="220" spans="1:1" x14ac:dyDescent="0.35">
      <c r="A220" s="32"/>
    </row>
    <row r="221" spans="1:1" x14ac:dyDescent="0.35">
      <c r="A221" s="32"/>
    </row>
    <row r="222" spans="1:1" x14ac:dyDescent="0.35">
      <c r="A222" s="32"/>
    </row>
    <row r="223" spans="1:1" x14ac:dyDescent="0.35">
      <c r="A223" s="32"/>
    </row>
    <row r="224" spans="1:1" x14ac:dyDescent="0.35">
      <c r="A224" s="32"/>
    </row>
    <row r="225" spans="1:1" x14ac:dyDescent="0.35">
      <c r="A225" s="32"/>
    </row>
    <row r="226" spans="1:1" x14ac:dyDescent="0.35">
      <c r="A226" s="32"/>
    </row>
    <row r="227" spans="1:1" x14ac:dyDescent="0.35">
      <c r="A227" s="32"/>
    </row>
    <row r="228" spans="1:1" x14ac:dyDescent="0.35">
      <c r="A228" s="32"/>
    </row>
    <row r="229" spans="1:1" x14ac:dyDescent="0.35">
      <c r="A229" s="32"/>
    </row>
    <row r="230" spans="1:1" x14ac:dyDescent="0.35">
      <c r="A230" s="32"/>
    </row>
    <row r="231" spans="1:1" x14ac:dyDescent="0.35">
      <c r="A231" s="32"/>
    </row>
    <row r="232" spans="1:1" x14ac:dyDescent="0.35">
      <c r="A232" s="32"/>
    </row>
    <row r="233" spans="1:1" x14ac:dyDescent="0.35">
      <c r="A233" s="32"/>
    </row>
    <row r="234" spans="1:1" x14ac:dyDescent="0.35">
      <c r="A234" s="32"/>
    </row>
    <row r="235" spans="1:1" x14ac:dyDescent="0.35">
      <c r="A235" s="32"/>
    </row>
    <row r="236" spans="1:1" x14ac:dyDescent="0.35">
      <c r="A236" s="32"/>
    </row>
    <row r="237" spans="1:1" x14ac:dyDescent="0.35">
      <c r="A237" s="32"/>
    </row>
    <row r="238" spans="1:1" x14ac:dyDescent="0.35">
      <c r="A238" s="32"/>
    </row>
    <row r="239" spans="1:1" x14ac:dyDescent="0.35">
      <c r="A239" s="32"/>
    </row>
    <row r="240" spans="1:1" x14ac:dyDescent="0.35">
      <c r="A240" s="32"/>
    </row>
    <row r="241" spans="1:1" x14ac:dyDescent="0.35">
      <c r="A241" s="32"/>
    </row>
    <row r="242" spans="1:1" x14ac:dyDescent="0.35">
      <c r="A242" s="32"/>
    </row>
    <row r="243" spans="1:1" x14ac:dyDescent="0.35">
      <c r="A243" s="32"/>
    </row>
    <row r="244" spans="1:1" x14ac:dyDescent="0.35">
      <c r="A244" s="32"/>
    </row>
    <row r="245" spans="1:1" x14ac:dyDescent="0.35">
      <c r="A245" s="32"/>
    </row>
    <row r="246" spans="1:1" x14ac:dyDescent="0.35">
      <c r="A246" s="32"/>
    </row>
    <row r="247" spans="1:1" x14ac:dyDescent="0.35">
      <c r="A247" s="32"/>
    </row>
    <row r="248" spans="1:1" x14ac:dyDescent="0.35">
      <c r="A248" s="32"/>
    </row>
    <row r="249" spans="1:1" x14ac:dyDescent="0.35">
      <c r="A249" s="32"/>
    </row>
    <row r="250" spans="1:1" x14ac:dyDescent="0.35">
      <c r="A250" s="32"/>
    </row>
    <row r="251" spans="1:1" x14ac:dyDescent="0.35">
      <c r="A251" s="32"/>
    </row>
    <row r="252" spans="1:1" x14ac:dyDescent="0.35">
      <c r="A252" s="32"/>
    </row>
    <row r="253" spans="1:1" x14ac:dyDescent="0.35">
      <c r="A253" s="32"/>
    </row>
    <row r="254" spans="1:1" x14ac:dyDescent="0.35">
      <c r="A254" s="32"/>
    </row>
    <row r="255" spans="1:1" x14ac:dyDescent="0.35">
      <c r="A255" s="32"/>
    </row>
    <row r="256" spans="1:1" x14ac:dyDescent="0.35">
      <c r="A256" s="32"/>
    </row>
    <row r="257" spans="1:1" x14ac:dyDescent="0.35">
      <c r="A257" s="32"/>
    </row>
    <row r="258" spans="1:1" x14ac:dyDescent="0.35">
      <c r="A258" s="32"/>
    </row>
    <row r="259" spans="1:1" x14ac:dyDescent="0.35">
      <c r="A259" s="32"/>
    </row>
    <row r="260" spans="1:1" x14ac:dyDescent="0.35">
      <c r="A260" s="32"/>
    </row>
    <row r="261" spans="1:1" x14ac:dyDescent="0.35">
      <c r="A261" s="32"/>
    </row>
    <row r="262" spans="1:1" x14ac:dyDescent="0.35">
      <c r="A262" s="32"/>
    </row>
    <row r="263" spans="1:1" x14ac:dyDescent="0.35">
      <c r="A263" s="32"/>
    </row>
    <row r="264" spans="1:1" x14ac:dyDescent="0.35">
      <c r="A264" s="32"/>
    </row>
    <row r="265" spans="1:1" x14ac:dyDescent="0.35">
      <c r="A265" s="32"/>
    </row>
    <row r="266" spans="1:1" x14ac:dyDescent="0.35">
      <c r="A266" s="32"/>
    </row>
    <row r="267" spans="1:1" x14ac:dyDescent="0.35">
      <c r="A267" s="32"/>
    </row>
    <row r="268" spans="1:1" x14ac:dyDescent="0.35">
      <c r="A268" s="32"/>
    </row>
    <row r="269" spans="1:1" x14ac:dyDescent="0.35">
      <c r="A269" s="32"/>
    </row>
    <row r="270" spans="1:1" x14ac:dyDescent="0.35">
      <c r="A270" s="32"/>
    </row>
    <row r="271" spans="1:1" x14ac:dyDescent="0.35">
      <c r="A271" s="32"/>
    </row>
    <row r="272" spans="1:1" x14ac:dyDescent="0.35">
      <c r="A272" s="32"/>
    </row>
    <row r="273" spans="1:1" x14ac:dyDescent="0.35">
      <c r="A273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1"/>
  <sheetViews>
    <sheetView zoomScaleNormal="100" workbookViewId="0">
      <selection activeCell="A189" sqref="A189"/>
    </sheetView>
  </sheetViews>
  <sheetFormatPr defaultColWidth="8.54296875" defaultRowHeight="14.5" x14ac:dyDescent="0.35"/>
  <cols>
    <col min="1" max="1" width="18.453125" bestFit="1" customWidth="1"/>
    <col min="2" max="2" width="10.6328125" bestFit="1" customWidth="1"/>
    <col min="3" max="4" width="3" bestFit="1" customWidth="1"/>
    <col min="5" max="5" width="3.54296875" bestFit="1" customWidth="1"/>
    <col min="6" max="7" width="8.453125" bestFit="1" customWidth="1"/>
    <col min="8" max="8" width="9.54296875" bestFit="1" customWidth="1"/>
    <col min="9" max="10" width="5.1796875" bestFit="1" customWidth="1"/>
    <col min="11" max="11" width="6.26953125" bestFit="1" customWidth="1"/>
    <col min="12" max="12" width="14" bestFit="1" customWidth="1"/>
    <col min="13" max="13" width="5.1796875" bestFit="1" customWidth="1"/>
    <col min="14" max="14" width="17.36328125" style="31" bestFit="1" customWidth="1"/>
    <col min="15" max="15" width="20.6328125" bestFit="1" customWidth="1"/>
    <col min="16" max="16" width="12.90625" bestFit="1" customWidth="1"/>
  </cols>
  <sheetData>
    <row r="1" spans="1:16" x14ac:dyDescent="0.35">
      <c r="A1" s="44" t="s">
        <v>0</v>
      </c>
      <c r="B1" s="44" t="s">
        <v>1</v>
      </c>
      <c r="C1" s="45" t="s">
        <v>78</v>
      </c>
      <c r="D1" s="45" t="s">
        <v>79</v>
      </c>
      <c r="E1" s="45" t="s">
        <v>80</v>
      </c>
      <c r="F1" s="45" t="s">
        <v>81</v>
      </c>
      <c r="G1" s="45" t="s">
        <v>82</v>
      </c>
      <c r="H1" s="45" t="s">
        <v>83</v>
      </c>
      <c r="I1" s="45" t="s">
        <v>84</v>
      </c>
      <c r="J1" s="45" t="s">
        <v>85</v>
      </c>
      <c r="K1" s="45" t="s">
        <v>86</v>
      </c>
      <c r="L1" s="45" t="s">
        <v>75</v>
      </c>
      <c r="M1" s="45" t="s">
        <v>87</v>
      </c>
      <c r="N1" s="45" t="s">
        <v>93</v>
      </c>
      <c r="O1" s="45" t="s">
        <v>95</v>
      </c>
      <c r="P1" s="45" t="s">
        <v>96</v>
      </c>
    </row>
    <row r="2" spans="1:16" s="31" customFormat="1" x14ac:dyDescent="0.35">
      <c r="A2" s="46" t="str" cm="1">
        <f t="array" ref="A2">IF(ROW()-1&gt;COUNTA('Mii List'!A$2:A$200),"",INDEX('Mii List'!A$2:A$200,ROW()-1))</f>
        <v>Robin</v>
      </c>
      <c r="B2" s="46" t="str">
        <f>IF(A2="","",INDEX('Mii List'!B$2:B$200,MATCH(A2,'Mii List'!A$2:A$200,0)))</f>
        <v>Nonbinary</v>
      </c>
      <c r="C2" s="46" t="str">
        <f>IF(A2="","",INDEX('Mii List'!C$2:C$200,MATCH(A2,'Mii List'!A$2:A$200,0)))</f>
        <v>✓</v>
      </c>
      <c r="D2" s="46" t="str">
        <f>IF(A2="","",INDEX('Mii List'!D$2:D$200,MATCH(A2,'Mii List'!A$2:A$200,0)))</f>
        <v>✓</v>
      </c>
      <c r="E2" s="46" t="str">
        <f>IF(A2="","",INDEX('Mii List'!E$2:E$200,MATCH(A2,'Mii List'!A$2:A$200,0)))</f>
        <v>✓</v>
      </c>
      <c r="F2" s="46">
        <f>IF(A2="",0,(C2="✓")*1)</f>
        <v>1</v>
      </c>
      <c r="G2" s="46">
        <f>IF(A2="",0,(D2="✓")*1)</f>
        <v>1</v>
      </c>
      <c r="H2" s="46">
        <f>IF(A2="",0,(E2="✓")*1)</f>
        <v>1</v>
      </c>
      <c r="I2" s="46">
        <f>IF(A2="",0,(B2="Male")*1)</f>
        <v>0</v>
      </c>
      <c r="J2" s="46">
        <f>IF(A2="",0,(B2="Female")*1)</f>
        <v>0</v>
      </c>
      <c r="K2" s="46">
        <f>IF(A2="",0,(B2="Nonbinary")*1)</f>
        <v>1</v>
      </c>
      <c r="L2" s="46" cm="1">
        <f t="array" ref="L2">IF(A2="",0,SUMPRODUCT((A$2:A$201&lt;&gt;"")*((F$2:F$201*I2+G$2:G$201*J2+H$2:H$201*K2)&gt;0)*((F2*I$2:I$201+G2*J$2:J$201+H2*K$2:K$201)&gt;0))-IF(F2*I2+G2*J2+H2*K2&gt;0,1,0))</f>
        <v>23</v>
      </c>
      <c r="M2" s="46" cm="1">
        <f t="array" ref="M2">IF(A2="","",SUMPRODUCT((A$2:A$201&lt;&gt;"")*(L$2:L$201&lt;L2))+SUMPRODUCT((A$2:A$201&lt;&gt;"")*(L$2:L$201=L2)*(A$2:A$201&lt;A2))+1)</f>
        <v>24</v>
      </c>
      <c r="N2" s="46" cm="1">
        <f t="array" aca="1" ref="N2" ca="1">IF(A2="","",SUMPRODUCT(((OFFSET(F$2,0,0,COUNTA('Mii List'!A$2:A$200),1)*I2+OFFSET(G$2,0,0,COUNTA('Mii List'!A$2:A$200),1)*J2+OFFSET(H$2,0,0,COUNTA('Mii List'!A$2:A$200),1)*K2)&gt;0)*((F2*OFFSET(I$2,0,0,COUNTA('Mii List'!A$2:A$200),1)+G2*OFFSET(J$2,0,0,COUNTA('Mii List'!A$2:A$200),1)+H2*OFFSET(K$2,0,0,COUNTA('Mii List'!A$2:A$200),1))&gt;0)*(ROW(OFFSET($A$2,0,0,COUNTA('Mii List'!A$2:A$200),1))&lt;&gt;ROW())*IF(OFFSET(L$2,0,0,COUNTA('Mii List'!A$2:A$200),1)&gt;0,1/OFFSET(L$2,0,0,COUNTA('Mii List'!A$2:A$200),1),0)))</f>
        <v>0.73406432748537997</v>
      </c>
      <c r="O2" s="46" cm="1">
        <f t="array" aca="1" ref="O2" ca="1">IF(A2="","",IF(L2=0,0,SUMPRODUCT(((OFFSET(F$2,0,0,COUNTA('Mii List'!A$2:A$200),1)*I2+OFFSET(G$2,0,0,COUNTA('Mii List'!A$2:A$200),1)*J2+OFFSET(H$2,0,0,COUNTA('Mii List'!A$2:A$200),1)*K2)&gt;0)*((F2*OFFSET(I$2,0,0,COUNTA('Mii List'!A$2:A$200),1)+G2*OFFSET(J$2,0,0,COUNTA('Mii List'!A$2:A$200),1)+H2*OFFSET(K$2,0,0,COUNTA('Mii List'!A$2:A$200),1))&gt;0)*(ROW(OFFSET($A$2,0,0,COUNTA('Mii List'!A$2:A$200),1))&lt;&gt;ROW())*OFFSET(L$2,0,0,COUNTA('Mii List'!A$2:A$200),1))/L2))</f>
        <v>33</v>
      </c>
      <c r="P2" s="46">
        <f ca="1">IF(A2="","",IF(L2*O2&gt;0,MIN(1,L2/O2),0))</f>
        <v>0.69696969696969702</v>
      </c>
    </row>
    <row r="3" spans="1:16" s="31" customFormat="1" x14ac:dyDescent="0.35">
      <c r="A3" s="46" t="str" cm="1">
        <f t="array" ref="A3">IF(ROW()-1&gt;COUNTA('Mii List'!A$2:A$200),"",INDEX('Mii List'!A$2:A$200,ROW()-1))</f>
        <v>Nny</v>
      </c>
      <c r="B3" s="46" t="str">
        <f>IF(A3="","",INDEX('Mii List'!B$2:B$200,MATCH(A3,'Mii List'!A$2:A$200,0)))</f>
        <v>Nonbinary</v>
      </c>
      <c r="C3" s="46" t="str">
        <f>IF(A3="","",INDEX('Mii List'!C$2:C$200,MATCH(A3,'Mii List'!A$2:A$200,0)))</f>
        <v>✗</v>
      </c>
      <c r="D3" s="46" t="str">
        <f>IF(A3="","",INDEX('Mii List'!D$2:D$200,MATCH(A3,'Mii List'!A$2:A$200,0)))</f>
        <v>✗</v>
      </c>
      <c r="E3" s="46" t="str">
        <f>IF(A3="","",INDEX('Mii List'!E$2:E$200,MATCH(A3,'Mii List'!A$2:A$200,0)))</f>
        <v>✗</v>
      </c>
      <c r="F3" s="46">
        <f t="shared" ref="F3:F66" si="0">IF(A3="",0,(C3="✓")*1)</f>
        <v>0</v>
      </c>
      <c r="G3" s="46">
        <f t="shared" ref="G3:G66" si="1">IF(A3="",0,(D3="✓")*1)</f>
        <v>0</v>
      </c>
      <c r="H3" s="46">
        <f t="shared" ref="H3:H66" si="2">IF(A3="",0,(E3="✓")*1)</f>
        <v>0</v>
      </c>
      <c r="I3" s="46">
        <f t="shared" ref="I3:I66" si="3">IF(A3="",0,(B3="Male")*1)</f>
        <v>0</v>
      </c>
      <c r="J3" s="46">
        <f t="shared" ref="J3:J66" si="4">IF(A3="",0,(B3="Female")*1)</f>
        <v>0</v>
      </c>
      <c r="K3" s="46">
        <f t="shared" ref="K3:K66" si="5">IF(A3="",0,(B3="Nonbinary")*1)</f>
        <v>1</v>
      </c>
      <c r="L3" s="46" cm="1">
        <f t="array" ref="L3">IF(A3="",0,SUMPRODUCT((A$2:A$201&lt;&gt;"")*((F$2:F$201*I3+G$2:G$201*J3+H$2:H$201*K3)&gt;0)*((F3*I$2:I$201+G3*J$2:J$201+H3*K$2:K$201)&gt;0))-IF(F3*I3+G3*J3+H3*K3&gt;0,1,0))</f>
        <v>0</v>
      </c>
      <c r="M3" s="46" cm="1">
        <f t="array" ref="M3">IF(A3="","",SUMPRODUCT((A$2:A$201&lt;&gt;"")*(L$2:L$201&lt;L3))+SUMPRODUCT((A$2:A$201&lt;&gt;"")*(L$2:L$201=L3)*(A$2:A$201&lt;A3))+1)</f>
        <v>1</v>
      </c>
      <c r="N3" s="46" cm="1">
        <f t="array" aca="1" ref="N3" ca="1">IF(A3="","",SUMPRODUCT(((OFFSET(F$2,0,0,COUNTA('Mii List'!A$2:A$200),1)*I3+OFFSET(G$2,0,0,COUNTA('Mii List'!A$2:A$200),1)*J3+OFFSET(H$2,0,0,COUNTA('Mii List'!A$2:A$200),1)*K3)&gt;0)*((F3*OFFSET(I$2,0,0,COUNTA('Mii List'!A$2:A$200),1)+G3*OFFSET(J$2,0,0,COUNTA('Mii List'!A$2:A$200),1)+H3*OFFSET(K$2,0,0,COUNTA('Mii List'!A$2:A$200),1))&gt;0)*(ROW(OFFSET($A$2,0,0,COUNTA('Mii List'!A$2:A$200),1))&lt;&gt;ROW())*IF(OFFSET(L$2,0,0,COUNTA('Mii List'!A$2:A$200),1)&gt;0,1/OFFSET(L$2,0,0,COUNTA('Mii List'!A$2:A$200),1),0)))</f>
        <v>0</v>
      </c>
      <c r="O3" s="46" cm="1">
        <f t="array" aca="1" ref="O3" ca="1">IF(A3="","",IF(L3=0,0,SUMPRODUCT(((OFFSET(F$2,0,0,COUNTA('Mii List'!A$2:A$200),1)*I3+OFFSET(G$2,0,0,COUNTA('Mii List'!A$2:A$200),1)*J3+OFFSET(H$2,0,0,COUNTA('Mii List'!A$2:A$200),1)*K3)&gt;0)*((F3*OFFSET(I$2,0,0,COUNTA('Mii List'!A$2:A$200),1)+G3*OFFSET(J$2,0,0,COUNTA('Mii List'!A$2:A$200),1)+H3*OFFSET(K$2,0,0,COUNTA('Mii List'!A$2:A$200),1))&gt;0)*(ROW(OFFSET($A$2,0,0,COUNTA('Mii List'!A$2:A$200),1))&lt;&gt;ROW())*OFFSET(L$2,0,0,COUNTA('Mii List'!A$2:A$200),1))/L3))</f>
        <v>0</v>
      </c>
      <c r="P3" s="46">
        <f t="shared" ref="P3:P66" ca="1" si="6">IF(A3="","",IF(L3*O3&gt;0,MIN(1,L3/O3),0))</f>
        <v>0</v>
      </c>
    </row>
    <row r="4" spans="1:16" x14ac:dyDescent="0.35">
      <c r="A4" s="46" t="str" cm="1">
        <f t="array" ref="A4">IF(ROW()-1&gt;COUNTA('Mii List'!A$2:A$200),"",INDEX('Mii List'!A$2:A$200,ROW()-1))</f>
        <v>Barack Obama</v>
      </c>
      <c r="B4" s="46" t="str">
        <f>IF(A4="","",INDEX('Mii List'!B$2:B$200,MATCH(A4,'Mii List'!A$2:A$200,0)))</f>
        <v>Male</v>
      </c>
      <c r="C4" s="46" t="str">
        <f>IF(A4="","",INDEX('Mii List'!C$2:C$200,MATCH(A4,'Mii List'!A$2:A$200,0)))</f>
        <v>✗</v>
      </c>
      <c r="D4" s="46" t="str">
        <f>IF(A4="","",INDEX('Mii List'!D$2:D$200,MATCH(A4,'Mii List'!A$2:A$200,0)))</f>
        <v>✓</v>
      </c>
      <c r="E4" s="46" t="str">
        <f>IF(A4="","",INDEX('Mii List'!E$2:E$200,MATCH(A4,'Mii List'!A$2:A$200,0)))</f>
        <v>✗</v>
      </c>
      <c r="F4" s="46">
        <f t="shared" si="0"/>
        <v>0</v>
      </c>
      <c r="G4" s="46">
        <f t="shared" si="1"/>
        <v>1</v>
      </c>
      <c r="H4" s="46">
        <f t="shared" si="2"/>
        <v>0</v>
      </c>
      <c r="I4" s="46">
        <f t="shared" si="3"/>
        <v>1</v>
      </c>
      <c r="J4" s="46">
        <f t="shared" si="4"/>
        <v>0</v>
      </c>
      <c r="K4" s="46">
        <f t="shared" si="5"/>
        <v>0</v>
      </c>
      <c r="L4" s="46" cm="1">
        <f t="array" ref="L4">IF(A4="",0,SUMPRODUCT((A$2:A$201&lt;&gt;"")*((F$2:F$201*I4+G$2:G$201*J4+H$2:H$201*K4)&gt;0)*((F4*I$2:I$201+G4*J$2:J$201+H4*K$2:K$201)&gt;0))-IF(F4*I4+G4*J4+H4*K4&gt;0,1,0))</f>
        <v>14</v>
      </c>
      <c r="M4" s="46" cm="1">
        <f t="array" ref="M4">IF(A4="","",SUMPRODUCT((A$2:A$201&lt;&gt;"")*(L$2:L$201&lt;L4))+SUMPRODUCT((A$2:A$201&lt;&gt;"")*(L$2:L$201=L4)*(A$2:A$201&lt;A4))+1)</f>
        <v>4</v>
      </c>
      <c r="N4" s="46" cm="1">
        <f t="array" aca="1" ref="N4" ca="1">IF(A4="","",SUMPRODUCT(((OFFSET(F$2,0,0,COUNTA('Mii List'!A$2:A$200),1)*I4+OFFSET(G$2,0,0,COUNTA('Mii List'!A$2:A$200),1)*J4+OFFSET(H$2,0,0,COUNTA('Mii List'!A$2:A$200),1)*K4)&gt;0)*((F4*OFFSET(I$2,0,0,COUNTA('Mii List'!A$2:A$200),1)+G4*OFFSET(J$2,0,0,COUNTA('Mii List'!A$2:A$200),1)+H4*OFFSET(K$2,0,0,COUNTA('Mii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4" s="46" cm="1">
        <f t="array" aca="1" ref="O4" ca="1">IF(A4="","",IF(L4=0,0,SUMPRODUCT(((OFFSET(F$2,0,0,COUNTA('Mii List'!A$2:A$200),1)*I4+OFFSET(G$2,0,0,COUNTA('Mii List'!A$2:A$200),1)*J4+OFFSET(H$2,0,0,COUNTA('Mii List'!A$2:A$200),1)*K4)&gt;0)*((F4*OFFSET(I$2,0,0,COUNTA('Mii List'!A$2:A$200),1)+G4*OFFSET(J$2,0,0,COUNTA('Mii List'!A$2:A$200),1)+H4*OFFSET(K$2,0,0,COUNTA('Mii List'!A$2:A$200),1))&gt;0)*(ROW(OFFSET($A$2,0,0,COUNTA('Mii List'!A$2:A$200),1))&lt;&gt;ROW())*OFFSET(L$2,0,0,COUNTA('Mii List'!A$2:A$200),1))/L4))</f>
        <v>34.5</v>
      </c>
      <c r="P4" s="46">
        <f t="shared" ca="1" si="6"/>
        <v>0.40579710144927539</v>
      </c>
    </row>
    <row r="5" spans="1:16" x14ac:dyDescent="0.35">
      <c r="A5" s="46" t="str" cm="1">
        <f t="array" ref="A5">IF(ROW()-1&gt;COUNTA('Mii List'!A$2:A$200),"",INDEX('Mii List'!A$2:A$200,ROW()-1))</f>
        <v>Randy Sexton</v>
      </c>
      <c r="B5" s="46" t="str">
        <f>IF(A5="","",INDEX('Mii List'!B$2:B$200,MATCH(A5,'Mii List'!A$2:A$200,0)))</f>
        <v>Male</v>
      </c>
      <c r="C5" s="46" t="str">
        <f>IF(A5="","",INDEX('Mii List'!C$2:C$200,MATCH(A5,'Mii List'!A$2:A$200,0)))</f>
        <v>✓</v>
      </c>
      <c r="D5" s="46" t="str">
        <f>IF(A5="","",INDEX('Mii List'!D$2:D$200,MATCH(A5,'Mii List'!A$2:A$200,0)))</f>
        <v>✓</v>
      </c>
      <c r="E5" s="46" t="str">
        <f>IF(A5="","",INDEX('Mii List'!E$2:E$200,MATCH(A5,'Mii List'!A$2:A$200,0)))</f>
        <v>✓</v>
      </c>
      <c r="F5" s="46">
        <f t="shared" si="0"/>
        <v>1</v>
      </c>
      <c r="G5" s="46">
        <f t="shared" si="1"/>
        <v>1</v>
      </c>
      <c r="H5" s="46">
        <f t="shared" si="2"/>
        <v>1</v>
      </c>
      <c r="I5" s="46">
        <f t="shared" si="3"/>
        <v>1</v>
      </c>
      <c r="J5" s="46">
        <f t="shared" si="4"/>
        <v>0</v>
      </c>
      <c r="K5" s="46">
        <f t="shared" si="5"/>
        <v>0</v>
      </c>
      <c r="L5" s="46" cm="1">
        <f t="array" ref="L5">IF(A5="",0,SUMPRODUCT((A$2:A$201&lt;&gt;"")*((F$2:F$201*I5+G$2:G$201*J5+H$2:H$201*K5)&gt;0)*((F5*I$2:I$201+G5*J$2:J$201+H5*K$2:K$201)&gt;0))-IF(F5*I5+G5*J5+H5*K5&gt;0,1,0))</f>
        <v>32</v>
      </c>
      <c r="M5" s="46" cm="1">
        <f t="array" ref="M5">IF(A5="","",SUMPRODUCT((A$2:A$201&lt;&gt;"")*(L$2:L$201&lt;L5))+SUMPRODUCT((A$2:A$201&lt;&gt;"")*(L$2:L$201=L5)*(A$2:A$201&lt;A5))+1)</f>
        <v>38</v>
      </c>
      <c r="N5" s="46" cm="1">
        <f t="array" aca="1" ref="N5" ca="1">IF(A5="","",SUMPRODUCT(((OFFSET(F$2,0,0,COUNTA('Mii List'!A$2:A$200),1)*I5+OFFSET(G$2,0,0,COUNTA('Mii List'!A$2:A$200),1)*J5+OFFSET(H$2,0,0,COUNTA('Mii List'!A$2:A$200),1)*K5)&gt;0)*((F5*OFFSET(I$2,0,0,COUNTA('Mii List'!A$2:A$200),1)+G5*OFFSET(J$2,0,0,COUNTA('Mii List'!A$2:A$200),1)+H5*OFFSET(K$2,0,0,COUNTA('Mii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5" s="46" cm="1">
        <f t="array" aca="1" ref="O5" ca="1">IF(A5="","",IF(L5=0,0,SUMPRODUCT(((OFFSET(F$2,0,0,COUNTA('Mii List'!A$2:A$200),1)*I5+OFFSET(G$2,0,0,COUNTA('Mii List'!A$2:A$200),1)*J5+OFFSET(H$2,0,0,COUNTA('Mii List'!A$2:A$200),1)*K5)&gt;0)*((F5*OFFSET(I$2,0,0,COUNTA('Mii List'!A$2:A$200),1)+G5*OFFSET(J$2,0,0,COUNTA('Mii List'!A$2:A$200),1)+H5*OFFSET(K$2,0,0,COUNTA('Mii List'!A$2:A$200),1))&gt;0)*(ROW(OFFSET($A$2,0,0,COUNTA('Mii List'!A$2:A$200),1))&lt;&gt;ROW())*OFFSET(L$2,0,0,COUNTA('Mii List'!A$2:A$200),1))/L5))</f>
        <v>30.03125</v>
      </c>
      <c r="P5" s="46">
        <f t="shared" ca="1" si="6"/>
        <v>1</v>
      </c>
    </row>
    <row r="6" spans="1:16" x14ac:dyDescent="0.35">
      <c r="A6" s="46" t="str" cm="1">
        <f t="array" ref="A6">IF(ROW()-1&gt;COUNTA('Mii List'!A$2:A$200),"",INDEX('Mii List'!A$2:A$200,ROW()-1))</f>
        <v>Biff Williams</v>
      </c>
      <c r="B6" s="46" t="str">
        <f>IF(A6="","",INDEX('Mii List'!B$2:B$200,MATCH(A6,'Mii List'!A$2:A$200,0)))</f>
        <v>Male</v>
      </c>
      <c r="C6" s="46" t="str">
        <f>IF(A6="","",INDEX('Mii List'!C$2:C$200,MATCH(A6,'Mii List'!A$2:A$200,0)))</f>
        <v>✗</v>
      </c>
      <c r="D6" s="46" t="str">
        <f>IF(A6="","",INDEX('Mii List'!D$2:D$200,MATCH(A6,'Mii List'!A$2:A$200,0)))</f>
        <v>✓</v>
      </c>
      <c r="E6" s="46" t="str">
        <f>IF(A6="","",INDEX('Mii List'!E$2:E$200,MATCH(A6,'Mii List'!A$2:A$200,0)))</f>
        <v>✗</v>
      </c>
      <c r="F6" s="46">
        <f t="shared" si="0"/>
        <v>0</v>
      </c>
      <c r="G6" s="46">
        <f t="shared" si="1"/>
        <v>1</v>
      </c>
      <c r="H6" s="46">
        <f t="shared" si="2"/>
        <v>0</v>
      </c>
      <c r="I6" s="46">
        <f t="shared" si="3"/>
        <v>1</v>
      </c>
      <c r="J6" s="46">
        <f t="shared" si="4"/>
        <v>0</v>
      </c>
      <c r="K6" s="46">
        <f t="shared" si="5"/>
        <v>0</v>
      </c>
      <c r="L6" s="46" cm="1">
        <f t="array" ref="L6">IF(A6="",0,SUMPRODUCT((A$2:A$201&lt;&gt;"")*((F$2:F$201*I6+G$2:G$201*J6+H$2:H$201*K6)&gt;0)*((F6*I$2:I$201+G6*J$2:J$201+H6*K$2:K$201)&gt;0))-IF(F6*I6+G6*J6+H6*K6&gt;0,1,0))</f>
        <v>14</v>
      </c>
      <c r="M6" s="46" cm="1">
        <f t="array" ref="M6">IF(A6="","",SUMPRODUCT((A$2:A$201&lt;&gt;"")*(L$2:L$201&lt;L6))+SUMPRODUCT((A$2:A$201&lt;&gt;"")*(L$2:L$201=L6)*(A$2:A$201&lt;A6))+1)</f>
        <v>6</v>
      </c>
      <c r="N6" s="46" cm="1">
        <f t="array" aca="1" ref="N6" ca="1">IF(A6="","",SUMPRODUCT(((OFFSET(F$2,0,0,COUNTA('Mii List'!A$2:A$200),1)*I6+OFFSET(G$2,0,0,COUNTA('Mii List'!A$2:A$200),1)*J6+OFFSET(H$2,0,0,COUNTA('Mii List'!A$2:A$200),1)*K6)&gt;0)*((F6*OFFSET(I$2,0,0,COUNTA('Mii List'!A$2:A$200),1)+G6*OFFSET(J$2,0,0,COUNTA('Mii List'!A$2:A$200),1)+H6*OFFSET(K$2,0,0,COUNTA('Mii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6" s="46" cm="1">
        <f t="array" aca="1" ref="O6" ca="1">IF(A6="","",IF(L6=0,0,SUMPRODUCT(((OFFSET(F$2,0,0,COUNTA('Mii List'!A$2:A$200),1)*I6+OFFSET(G$2,0,0,COUNTA('Mii List'!A$2:A$200),1)*J6+OFFSET(H$2,0,0,COUNTA('Mii List'!A$2:A$200),1)*K6)&gt;0)*((F6*OFFSET(I$2,0,0,COUNTA('Mii List'!A$2:A$200),1)+G6*OFFSET(J$2,0,0,COUNTA('Mii List'!A$2:A$200),1)+H6*OFFSET(K$2,0,0,COUNTA('Mii List'!A$2:A$200),1))&gt;0)*(ROW(OFFSET($A$2,0,0,COUNTA('Mii List'!A$2:A$200),1))&lt;&gt;ROW())*OFFSET(L$2,0,0,COUNTA('Mii List'!A$2:A$200),1))/L6))</f>
        <v>34.5</v>
      </c>
      <c r="P6" s="46">
        <f t="shared" ca="1" si="6"/>
        <v>0.40579710144927539</v>
      </c>
    </row>
    <row r="7" spans="1:16" x14ac:dyDescent="0.35">
      <c r="A7" s="46" t="str" cm="1">
        <f t="array" ref="A7">IF(ROW()-1&gt;COUNTA('Mii List'!A$2:A$200),"",INDEX('Mii List'!A$2:A$200,ROW()-1))</f>
        <v>Michael Newman</v>
      </c>
      <c r="B7" s="46" t="str">
        <f>IF(A7="","",INDEX('Mii List'!B$2:B$200,MATCH(A7,'Mii List'!A$2:A$200,0)))</f>
        <v>Male</v>
      </c>
      <c r="C7" s="46" t="str">
        <f>IF(A7="","",INDEX('Mii List'!C$2:C$200,MATCH(A7,'Mii List'!A$2:A$200,0)))</f>
        <v>✓</v>
      </c>
      <c r="D7" s="46" t="str">
        <f>IF(A7="","",INDEX('Mii List'!D$2:D$200,MATCH(A7,'Mii List'!A$2:A$200,0)))</f>
        <v>✓</v>
      </c>
      <c r="E7" s="46" t="str">
        <f>IF(A7="","",INDEX('Mii List'!E$2:E$200,MATCH(A7,'Mii List'!A$2:A$200,0)))</f>
        <v>✓</v>
      </c>
      <c r="F7" s="46">
        <f t="shared" si="0"/>
        <v>1</v>
      </c>
      <c r="G7" s="46">
        <f t="shared" si="1"/>
        <v>1</v>
      </c>
      <c r="H7" s="46">
        <f t="shared" si="2"/>
        <v>1</v>
      </c>
      <c r="I7" s="46">
        <f t="shared" si="3"/>
        <v>1</v>
      </c>
      <c r="J7" s="46">
        <f t="shared" si="4"/>
        <v>0</v>
      </c>
      <c r="K7" s="46">
        <f t="shared" si="5"/>
        <v>0</v>
      </c>
      <c r="L7" s="46" cm="1">
        <f t="array" ref="L7">IF(A7="",0,SUMPRODUCT((A$2:A$201&lt;&gt;"")*((F$2:F$201*I7+G$2:G$201*J7+H$2:H$201*K7)&gt;0)*((F7*I$2:I$201+G7*J$2:J$201+H7*K$2:K$201)&gt;0))-IF(F7*I7+G7*J7+H7*K7&gt;0,1,0))</f>
        <v>32</v>
      </c>
      <c r="M7" s="46" cm="1">
        <f t="array" ref="M7">IF(A7="","",SUMPRODUCT((A$2:A$201&lt;&gt;"")*(L$2:L$201&lt;L7))+SUMPRODUCT((A$2:A$201&lt;&gt;"")*(L$2:L$201=L7)*(A$2:A$201&lt;A7))+1)</f>
        <v>37</v>
      </c>
      <c r="N7" s="46" cm="1">
        <f t="array" aca="1" ref="N7" ca="1">IF(A7="","",SUMPRODUCT(((OFFSET(F$2,0,0,COUNTA('Mii List'!A$2:A$200),1)*I7+OFFSET(G$2,0,0,COUNTA('Mii List'!A$2:A$200),1)*J7+OFFSET(H$2,0,0,COUNTA('Mii List'!A$2:A$200),1)*K7)&gt;0)*((F7*OFFSET(I$2,0,0,COUNTA('Mii List'!A$2:A$200),1)+G7*OFFSET(J$2,0,0,COUNTA('Mii List'!A$2:A$200),1)+H7*OFFSET(K$2,0,0,COUNTA('Mii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7" s="46" cm="1">
        <f t="array" aca="1" ref="O7" ca="1">IF(A7="","",IF(L7=0,0,SUMPRODUCT(((OFFSET(F$2,0,0,COUNTA('Mii List'!A$2:A$200),1)*I7+OFFSET(G$2,0,0,COUNTA('Mii List'!A$2:A$200),1)*J7+OFFSET(H$2,0,0,COUNTA('Mii List'!A$2:A$200),1)*K7)&gt;0)*((F7*OFFSET(I$2,0,0,COUNTA('Mii List'!A$2:A$200),1)+G7*OFFSET(J$2,0,0,COUNTA('Mii List'!A$2:A$200),1)+H7*OFFSET(K$2,0,0,COUNTA('Mii List'!A$2:A$200),1))&gt;0)*(ROW(OFFSET($A$2,0,0,COUNTA('Mii List'!A$2:A$200),1))&lt;&gt;ROW())*OFFSET(L$2,0,0,COUNTA('Mii List'!A$2:A$200),1))/L7))</f>
        <v>30.03125</v>
      </c>
      <c r="P7" s="46">
        <f t="shared" ca="1" si="6"/>
        <v>1</v>
      </c>
    </row>
    <row r="8" spans="1:16" x14ac:dyDescent="0.35">
      <c r="A8" s="46" t="str" cm="1">
        <f t="array" ref="A8">IF(ROW()-1&gt;COUNTA('Mii List'!A$2:A$200),"",INDEX('Mii List'!A$2:A$200,ROW()-1))</f>
        <v>Morty</v>
      </c>
      <c r="B8" s="46" t="str">
        <f>IF(A8="","",INDEX('Mii List'!B$2:B$200,MATCH(A8,'Mii List'!A$2:A$200,0)))</f>
        <v>Male</v>
      </c>
      <c r="C8" s="46" t="str">
        <f>IF(A8="","",INDEX('Mii List'!C$2:C$200,MATCH(A8,'Mii List'!A$2:A$200,0)))</f>
        <v>✓</v>
      </c>
      <c r="D8" s="46" t="str">
        <f>IF(A8="","",INDEX('Mii List'!D$2:D$200,MATCH(A8,'Mii List'!A$2:A$200,0)))</f>
        <v>✗</v>
      </c>
      <c r="E8" s="46" t="str">
        <f>IF(A8="","",INDEX('Mii List'!E$2:E$200,MATCH(A8,'Mii List'!A$2:A$200,0)))</f>
        <v>✗</v>
      </c>
      <c r="F8" s="46">
        <f t="shared" si="0"/>
        <v>1</v>
      </c>
      <c r="G8" s="46">
        <f t="shared" si="1"/>
        <v>0</v>
      </c>
      <c r="H8" s="46">
        <f t="shared" si="2"/>
        <v>0</v>
      </c>
      <c r="I8" s="46">
        <f t="shared" si="3"/>
        <v>1</v>
      </c>
      <c r="J8" s="46">
        <f t="shared" si="4"/>
        <v>0</v>
      </c>
      <c r="K8" s="46">
        <f t="shared" si="5"/>
        <v>0</v>
      </c>
      <c r="L8" s="46" cm="1">
        <f t="array" ref="L8">IF(A8="",0,SUMPRODUCT((A$2:A$201&lt;&gt;"")*((F$2:F$201*I8+G$2:G$201*J8+H$2:H$201*K8)&gt;0)*((F8*I$2:I$201+G8*J$2:J$201+H8*K$2:K$201)&gt;0))-IF(F8*I8+G8*J8+H8*K8&gt;0,1,0))</f>
        <v>17</v>
      </c>
      <c r="M8" s="46" cm="1">
        <f t="array" ref="M8">IF(A8="","",SUMPRODUCT((A$2:A$201&lt;&gt;"")*(L$2:L$201&lt;L8))+SUMPRODUCT((A$2:A$201&lt;&gt;"")*(L$2:L$201=L8)*(A$2:A$201&lt;A8))+1)</f>
        <v>21</v>
      </c>
      <c r="N8" s="46" cm="1">
        <f t="array" aca="1" ref="N8" ca="1">IF(A8="","",SUMPRODUCT(((OFFSET(F$2,0,0,COUNTA('Mii List'!A$2:A$200),1)*I8+OFFSET(G$2,0,0,COUNTA('Mii List'!A$2:A$200),1)*J8+OFFSET(H$2,0,0,COUNTA('Mii List'!A$2:A$200),1)*K8)&gt;0)*((F8*OFFSET(I$2,0,0,COUNTA('Mii List'!A$2:A$200),1)+G8*OFFSET(J$2,0,0,COUNTA('Mii List'!A$2:A$200),1)+H8*OFFSET(K$2,0,0,COUNTA('Mii List'!A$2:A$200),1))&gt;0)*(ROW(OFFSET($A$2,0,0,COUNTA('Mii List'!A$2:A$200),1))&lt;&gt;ROW())*IF(OFFSET(L$2,0,0,COUNTA('Mii List'!A$2:A$200),1)&gt;0,1/OFFSET(L$2,0,0,COUNTA('Mii List'!A$2:A$200),1),0)))</f>
        <v>0.66584967320261446</v>
      </c>
      <c r="O8" s="46" cm="1">
        <f t="array" aca="1" ref="O8" ca="1">IF(A8="","",IF(L8=0,0,SUMPRODUCT(((OFFSET(F$2,0,0,COUNTA('Mii List'!A$2:A$200),1)*I8+OFFSET(G$2,0,0,COUNTA('Mii List'!A$2:A$200),1)*J8+OFFSET(H$2,0,0,COUNTA('Mii List'!A$2:A$200),1)*K8)&gt;0)*((F8*OFFSET(I$2,0,0,COUNTA('Mii List'!A$2:A$200),1)+G8*OFFSET(J$2,0,0,COUNTA('Mii List'!A$2:A$200),1)+H8*OFFSET(K$2,0,0,COUNTA('Mii List'!A$2:A$200),1))&gt;0)*(ROW(OFFSET($A$2,0,0,COUNTA('Mii List'!A$2:A$200),1))&lt;&gt;ROW())*OFFSET(L$2,0,0,COUNTA('Mii List'!A$2:A$200),1))/L8))</f>
        <v>27.647058823529413</v>
      </c>
      <c r="P8" s="46">
        <f t="shared" ca="1" si="6"/>
        <v>0.61489361702127654</v>
      </c>
    </row>
    <row r="9" spans="1:16" x14ac:dyDescent="0.35">
      <c r="A9" s="46" t="str" cm="1">
        <f t="array" ref="A9">IF(ROW()-1&gt;COUNTA('Mii List'!A$2:A$200),"",INDEX('Mii List'!A$2:A$200,ROW()-1))</f>
        <v>Ben</v>
      </c>
      <c r="B9" s="46" t="str">
        <f>IF(A9="","",INDEX('Mii List'!B$2:B$200,MATCH(A9,'Mii List'!A$2:A$200,0)))</f>
        <v>Male</v>
      </c>
      <c r="C9" s="46" t="str">
        <f>IF(A9="","",INDEX('Mii List'!C$2:C$200,MATCH(A9,'Mii List'!A$2:A$200,0)))</f>
        <v>✗</v>
      </c>
      <c r="D9" s="46" t="str">
        <f>IF(A9="","",INDEX('Mii List'!D$2:D$200,MATCH(A9,'Mii List'!A$2:A$200,0)))</f>
        <v>✓</v>
      </c>
      <c r="E9" s="46" t="str">
        <f>IF(A9="","",INDEX('Mii List'!E$2:E$200,MATCH(A9,'Mii List'!A$2:A$200,0)))</f>
        <v>✗</v>
      </c>
      <c r="F9" s="46">
        <f t="shared" si="0"/>
        <v>0</v>
      </c>
      <c r="G9" s="46">
        <f t="shared" si="1"/>
        <v>1</v>
      </c>
      <c r="H9" s="46">
        <f t="shared" si="2"/>
        <v>0</v>
      </c>
      <c r="I9" s="46">
        <f t="shared" si="3"/>
        <v>1</v>
      </c>
      <c r="J9" s="46">
        <f t="shared" si="4"/>
        <v>0</v>
      </c>
      <c r="K9" s="46">
        <f t="shared" si="5"/>
        <v>0</v>
      </c>
      <c r="L9" s="46" cm="1">
        <f t="array" ref="L9">IF(A9="",0,SUMPRODUCT((A$2:A$201&lt;&gt;"")*((F$2:F$201*I9+G$2:G$201*J9+H$2:H$201*K9)&gt;0)*((F9*I$2:I$201+G9*J$2:J$201+H9*K$2:K$201)&gt;0))-IF(F9*I9+G9*J9+H9*K9&gt;0,1,0))</f>
        <v>14</v>
      </c>
      <c r="M9" s="46" cm="1">
        <f t="array" ref="M9">IF(A9="","",SUMPRODUCT((A$2:A$201&lt;&gt;"")*(L$2:L$201&lt;L9))+SUMPRODUCT((A$2:A$201&lt;&gt;"")*(L$2:L$201=L9)*(A$2:A$201&lt;A9))+1)</f>
        <v>5</v>
      </c>
      <c r="N9" s="46" cm="1">
        <f t="array" aca="1" ref="N9" ca="1">IF(A9="","",SUMPRODUCT(((OFFSET(F$2,0,0,COUNTA('Mii List'!A$2:A$200),1)*I9+OFFSET(G$2,0,0,COUNTA('Mii List'!A$2:A$200),1)*J9+OFFSET(H$2,0,0,COUNTA('Mii List'!A$2:A$200),1)*K9)&gt;0)*((F9*OFFSET(I$2,0,0,COUNTA('Mii List'!A$2:A$200),1)+G9*OFFSET(J$2,0,0,COUNTA('Mii List'!A$2:A$200),1)+H9*OFFSET(K$2,0,0,COUNTA('Mii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9" s="46" cm="1">
        <f t="array" aca="1" ref="O9" ca="1">IF(A9="","",IF(L9=0,0,SUMPRODUCT(((OFFSET(F$2,0,0,COUNTA('Mii List'!A$2:A$200),1)*I9+OFFSET(G$2,0,0,COUNTA('Mii List'!A$2:A$200),1)*J9+OFFSET(H$2,0,0,COUNTA('Mii List'!A$2:A$200),1)*K9)&gt;0)*((F9*OFFSET(I$2,0,0,COUNTA('Mii List'!A$2:A$200),1)+G9*OFFSET(J$2,0,0,COUNTA('Mii List'!A$2:A$200),1)+H9*OFFSET(K$2,0,0,COUNTA('Mii List'!A$2:A$200),1))&gt;0)*(ROW(OFFSET($A$2,0,0,COUNTA('Mii List'!A$2:A$200),1))&lt;&gt;ROW())*OFFSET(L$2,0,0,COUNTA('Mii List'!A$2:A$200),1))/L9))</f>
        <v>34.5</v>
      </c>
      <c r="P9" s="46">
        <f t="shared" ca="1" si="6"/>
        <v>0.40579710144927539</v>
      </c>
    </row>
    <row r="10" spans="1:16" x14ac:dyDescent="0.35">
      <c r="A10" s="46" t="str" cm="1">
        <f t="array" ref="A10">IF(ROW()-1&gt;COUNTA('Mii List'!A$2:A$200),"",INDEX('Mii List'!A$2:A$200,ROW()-1))</f>
        <v>Bea</v>
      </c>
      <c r="B10" s="46" t="str">
        <f>IF(A10="","",INDEX('Mii List'!B$2:B$200,MATCH(A10,'Mii List'!A$2:A$200,0)))</f>
        <v>Female</v>
      </c>
      <c r="C10" s="46" t="str">
        <f>IF(A10="","",INDEX('Mii List'!C$2:C$200,MATCH(A10,'Mii List'!A$2:A$200,0)))</f>
        <v>✓</v>
      </c>
      <c r="D10" s="46" t="str">
        <f>IF(A10="","",INDEX('Mii List'!D$2:D$200,MATCH(A10,'Mii List'!A$2:A$200,0)))</f>
        <v>✗</v>
      </c>
      <c r="E10" s="46" t="str">
        <f>IF(A10="","",INDEX('Mii List'!E$2:E$200,MATCH(A10,'Mii List'!A$2:A$200,0)))</f>
        <v>✗</v>
      </c>
      <c r="F10" s="46">
        <f t="shared" si="0"/>
        <v>1</v>
      </c>
      <c r="G10" s="46">
        <f t="shared" si="1"/>
        <v>0</v>
      </c>
      <c r="H10" s="46">
        <f t="shared" si="2"/>
        <v>0</v>
      </c>
      <c r="I10" s="46">
        <f t="shared" si="3"/>
        <v>0</v>
      </c>
      <c r="J10" s="46">
        <f t="shared" si="4"/>
        <v>1</v>
      </c>
      <c r="K10" s="46">
        <f t="shared" si="5"/>
        <v>0</v>
      </c>
      <c r="L10" s="46" cm="1">
        <f t="array" ref="L10">IF(A10="",0,SUMPRODUCT((A$2:A$201&lt;&gt;"")*((F$2:F$201*I10+G$2:G$201*J10+H$2:H$201*K10)&gt;0)*((F10*I$2:I$201+G10*J$2:J$201+H10*K$2:K$201)&gt;0))-IF(F10*I10+G10*J10+H10*K10&gt;0,1,0))</f>
        <v>26</v>
      </c>
      <c r="M10" s="46" cm="1">
        <f t="array" ref="M10">IF(A10="","",SUMPRODUCT((A$2:A$201&lt;&gt;"")*(L$2:L$201&lt;L10))+SUMPRODUCT((A$2:A$201&lt;&gt;"")*(L$2:L$201=L10)*(A$2:A$201&lt;A10))+1)</f>
        <v>25</v>
      </c>
      <c r="N10" s="46" cm="1">
        <f t="array" aca="1" ref="N10" ca="1">IF(A10="","",SUMPRODUCT(((OFFSET(F$2,0,0,COUNTA('Mii List'!A$2:A$200),1)*I10+OFFSET(G$2,0,0,COUNTA('Mii List'!A$2:A$200),1)*J10+OFFSET(H$2,0,0,COUNTA('Mii List'!A$2:A$200),1)*K10)&gt;0)*((F10*OFFSET(I$2,0,0,COUNTA('Mii List'!A$2:A$200),1)+G10*OFFSET(J$2,0,0,COUNTA('Mii List'!A$2:A$200),1)+H10*OFFSET(K$2,0,0,COUNTA('Mii List'!A$2:A$200),1))&gt;0)*(ROW(OFFSET($A$2,0,0,COUNTA('Mii List'!A$2:A$200),1))&lt;&gt;ROW())*IF(OFFSET(L$2,0,0,COUNTA('Mii List'!A$2:A$200),1)&gt;0,1/OFFSET(L$2,0,0,COUNTA('Mii List'!A$2:A$200),1),0)))</f>
        <v>1.3702380952380948</v>
      </c>
      <c r="O10" s="46" cm="1">
        <f t="array" aca="1" ref="O10" ca="1">IF(A10="","",IF(L10=0,0,SUMPRODUCT(((OFFSET(F$2,0,0,COUNTA('Mii List'!A$2:A$200),1)*I10+OFFSET(G$2,0,0,COUNTA('Mii List'!A$2:A$200),1)*J10+OFFSET(H$2,0,0,COUNTA('Mii List'!A$2:A$200),1)*K10)&gt;0)*((F10*OFFSET(I$2,0,0,COUNTA('Mii List'!A$2:A$200),1)+G10*OFFSET(J$2,0,0,COUNTA('Mii List'!A$2:A$200),1)+H10*OFFSET(K$2,0,0,COUNTA('Mii List'!A$2:A$200),1))&gt;0)*(ROW(OFFSET($A$2,0,0,COUNTA('Mii List'!A$2:A$200),1))&lt;&gt;ROW())*OFFSET(L$2,0,0,COUNTA('Mii List'!A$2:A$200),1))/L10))</f>
        <v>22.346153846153847</v>
      </c>
      <c r="P10" s="46">
        <f t="shared" ca="1" si="6"/>
        <v>1</v>
      </c>
    </row>
    <row r="11" spans="1:16" x14ac:dyDescent="0.35">
      <c r="A11" s="46" t="str" cm="1">
        <f t="array" ref="A11">IF(ROW()-1&gt;COUNTA('Mii List'!A$2:A$200),"",INDEX('Mii List'!A$2:A$200,ROW()-1))</f>
        <v>Bill Nye</v>
      </c>
      <c r="B11" s="46" t="str">
        <f>IF(A11="","",INDEX('Mii List'!B$2:B$200,MATCH(A11,'Mii List'!A$2:A$200,0)))</f>
        <v>Male</v>
      </c>
      <c r="C11" s="46" t="str">
        <f>IF(A11="","",INDEX('Mii List'!C$2:C$200,MATCH(A11,'Mii List'!A$2:A$200,0)))</f>
        <v>✗</v>
      </c>
      <c r="D11" s="46" t="str">
        <f>IF(A11="","",INDEX('Mii List'!D$2:D$200,MATCH(A11,'Mii List'!A$2:A$200,0)))</f>
        <v>✓</v>
      </c>
      <c r="E11" s="46" t="str">
        <f>IF(A11="","",INDEX('Mii List'!E$2:E$200,MATCH(A11,'Mii List'!A$2:A$200,0)))</f>
        <v>✗</v>
      </c>
      <c r="F11" s="46">
        <f t="shared" si="0"/>
        <v>0</v>
      </c>
      <c r="G11" s="46">
        <f t="shared" si="1"/>
        <v>1</v>
      </c>
      <c r="H11" s="46">
        <f t="shared" si="2"/>
        <v>0</v>
      </c>
      <c r="I11" s="46">
        <f t="shared" si="3"/>
        <v>1</v>
      </c>
      <c r="J11" s="46">
        <f t="shared" si="4"/>
        <v>0</v>
      </c>
      <c r="K11" s="46">
        <f t="shared" si="5"/>
        <v>0</v>
      </c>
      <c r="L11" s="46" cm="1">
        <f t="array" ref="L11">IF(A11="",0,SUMPRODUCT((A$2:A$201&lt;&gt;"")*((F$2:F$201*I11+G$2:G$201*J11+H$2:H$201*K11)&gt;0)*((F11*I$2:I$201+G11*J$2:J$201+H11*K$2:K$201)&gt;0))-IF(F11*I11+G11*J11+H11*K11&gt;0,1,0))</f>
        <v>14</v>
      </c>
      <c r="M11" s="46" cm="1">
        <f t="array" ref="M11">IF(A11="","",SUMPRODUCT((A$2:A$201&lt;&gt;"")*(L$2:L$201&lt;L11))+SUMPRODUCT((A$2:A$201&lt;&gt;"")*(L$2:L$201=L11)*(A$2:A$201&lt;A11))+1)</f>
        <v>7</v>
      </c>
      <c r="N11" s="46" cm="1">
        <f t="array" aca="1" ref="N11" ca="1">IF(A11="","",SUMPRODUCT(((OFFSET(F$2,0,0,COUNTA('Mii List'!A$2:A$200),1)*I11+OFFSET(G$2,0,0,COUNTA('Mii List'!A$2:A$200),1)*J11+OFFSET(H$2,0,0,COUNTA('Mii List'!A$2:A$200),1)*K11)&gt;0)*((F11*OFFSET(I$2,0,0,COUNTA('Mii List'!A$2:A$200),1)+G11*OFFSET(J$2,0,0,COUNTA('Mii List'!A$2:A$200),1)+H11*OFFSET(K$2,0,0,COUNTA('Mii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11" s="46" cm="1">
        <f t="array" aca="1" ref="O11" ca="1">IF(A11="","",IF(L11=0,0,SUMPRODUCT(((OFFSET(F$2,0,0,COUNTA('Mii List'!A$2:A$200),1)*I11+OFFSET(G$2,0,0,COUNTA('Mii List'!A$2:A$200),1)*J11+OFFSET(H$2,0,0,COUNTA('Mii List'!A$2:A$200),1)*K11)&gt;0)*((F11*OFFSET(I$2,0,0,COUNTA('Mii List'!A$2:A$200),1)+G11*OFFSET(J$2,0,0,COUNTA('Mii List'!A$2:A$200),1)+H11*OFFSET(K$2,0,0,COUNTA('Mii List'!A$2:A$200),1))&gt;0)*(ROW(OFFSET($A$2,0,0,COUNTA('Mii List'!A$2:A$200),1))&lt;&gt;ROW())*OFFSET(L$2,0,0,COUNTA('Mii List'!A$2:A$200),1))/L11))</f>
        <v>34.5</v>
      </c>
      <c r="P11" s="46">
        <f t="shared" ca="1" si="6"/>
        <v>0.40579710144927539</v>
      </c>
    </row>
    <row r="12" spans="1:16" x14ac:dyDescent="0.35">
      <c r="A12" s="46" t="str" cm="1">
        <f t="array" ref="A12">IF(ROW()-1&gt;COUNTA('Mii List'!A$2:A$200),"",INDEX('Mii List'!A$2:A$200,ROW()-1))</f>
        <v>Justin Trudeau</v>
      </c>
      <c r="B12" s="46" t="str">
        <f>IF(A12="","",INDEX('Mii List'!B$2:B$200,MATCH(A12,'Mii List'!A$2:A$200,0)))</f>
        <v>Male</v>
      </c>
      <c r="C12" s="46" t="str">
        <f>IF(A12="","",INDEX('Mii List'!C$2:C$200,MATCH(A12,'Mii List'!A$2:A$200,0)))</f>
        <v>✗</v>
      </c>
      <c r="D12" s="46" t="str">
        <f>IF(A12="","",INDEX('Mii List'!D$2:D$200,MATCH(A12,'Mii List'!A$2:A$200,0)))</f>
        <v>✓</v>
      </c>
      <c r="E12" s="46" t="str">
        <f>IF(A12="","",INDEX('Mii List'!E$2:E$200,MATCH(A12,'Mii List'!A$2:A$200,0)))</f>
        <v>✗</v>
      </c>
      <c r="F12" s="46">
        <f t="shared" si="0"/>
        <v>0</v>
      </c>
      <c r="G12" s="46">
        <f t="shared" si="1"/>
        <v>1</v>
      </c>
      <c r="H12" s="46">
        <f t="shared" si="2"/>
        <v>0</v>
      </c>
      <c r="I12" s="46">
        <f t="shared" si="3"/>
        <v>1</v>
      </c>
      <c r="J12" s="46">
        <f t="shared" si="4"/>
        <v>0</v>
      </c>
      <c r="K12" s="46">
        <f t="shared" si="5"/>
        <v>0</v>
      </c>
      <c r="L12" s="46" cm="1">
        <f t="array" ref="L12">IF(A12="",0,SUMPRODUCT((A$2:A$201&lt;&gt;"")*((F$2:F$201*I12+G$2:G$201*J12+H$2:H$201*K12)&gt;0)*((F12*I$2:I$201+G12*J$2:J$201+H12*K$2:K$201)&gt;0))-IF(F12*I12+G12*J12+H12*K12&gt;0,1,0))</f>
        <v>14</v>
      </c>
      <c r="M12" s="46" cm="1">
        <f t="array" ref="M12">IF(A12="","",SUMPRODUCT((A$2:A$201&lt;&gt;"")*(L$2:L$201&lt;L12))+SUMPRODUCT((A$2:A$201&lt;&gt;"")*(L$2:L$201=L12)*(A$2:A$201&lt;A12))+1)</f>
        <v>10</v>
      </c>
      <c r="N12" s="46" cm="1">
        <f t="array" aca="1" ref="N12" ca="1">IF(A12="","",SUMPRODUCT(((OFFSET(F$2,0,0,COUNTA('Mii List'!A$2:A$200),1)*I12+OFFSET(G$2,0,0,COUNTA('Mii List'!A$2:A$200),1)*J12+OFFSET(H$2,0,0,COUNTA('Mii List'!A$2:A$200),1)*K12)&gt;0)*((F12*OFFSET(I$2,0,0,COUNTA('Mii List'!A$2:A$200),1)+G12*OFFSET(J$2,0,0,COUNTA('Mii List'!A$2:A$200),1)+H12*OFFSET(K$2,0,0,COUNTA('Mii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12" s="46" cm="1">
        <f t="array" aca="1" ref="O12" ca="1">IF(A12="","",IF(L12=0,0,SUMPRODUCT(((OFFSET(F$2,0,0,COUNTA('Mii List'!A$2:A$200),1)*I12+OFFSET(G$2,0,0,COUNTA('Mii List'!A$2:A$200),1)*J12+OFFSET(H$2,0,0,COUNTA('Mii List'!A$2:A$200),1)*K12)&gt;0)*((F12*OFFSET(I$2,0,0,COUNTA('Mii List'!A$2:A$200),1)+G12*OFFSET(J$2,0,0,COUNTA('Mii List'!A$2:A$200),1)+H12*OFFSET(K$2,0,0,COUNTA('Mii List'!A$2:A$200),1))&gt;0)*(ROW(OFFSET($A$2,0,0,COUNTA('Mii List'!A$2:A$200),1))&lt;&gt;ROW())*OFFSET(L$2,0,0,COUNTA('Mii List'!A$2:A$200),1))/L12))</f>
        <v>34.5</v>
      </c>
      <c r="P12" s="46">
        <f t="shared" ca="1" si="6"/>
        <v>0.40579710144927539</v>
      </c>
    </row>
    <row r="13" spans="1:16" x14ac:dyDescent="0.35">
      <c r="A13" s="46" t="str" cm="1">
        <f t="array" ref="A13">IF(ROW()-1&gt;COUNTA('Mii List'!A$2:A$200),"",INDEX('Mii List'!A$2:A$200,ROW()-1))</f>
        <v>Katy Perry</v>
      </c>
      <c r="B13" s="46" t="str">
        <f>IF(A13="","",INDEX('Mii List'!B$2:B$200,MATCH(A13,'Mii List'!A$2:A$200,0)))</f>
        <v>Female</v>
      </c>
      <c r="C13" s="46" t="str">
        <f>IF(A13="","",INDEX('Mii List'!C$2:C$200,MATCH(A13,'Mii List'!A$2:A$200,0)))</f>
        <v>✓</v>
      </c>
      <c r="D13" s="46" t="str">
        <f>IF(A13="","",INDEX('Mii List'!D$2:D$200,MATCH(A13,'Mii List'!A$2:A$200,0)))</f>
        <v>✗</v>
      </c>
      <c r="E13" s="46" t="str">
        <f>IF(A13="","",INDEX('Mii List'!E$2:E$200,MATCH(A13,'Mii List'!A$2:A$200,0)))</f>
        <v>✗</v>
      </c>
      <c r="F13" s="46">
        <f t="shared" si="0"/>
        <v>1</v>
      </c>
      <c r="G13" s="46">
        <f t="shared" si="1"/>
        <v>0</v>
      </c>
      <c r="H13" s="46">
        <f t="shared" si="2"/>
        <v>0</v>
      </c>
      <c r="I13" s="46">
        <f t="shared" si="3"/>
        <v>0</v>
      </c>
      <c r="J13" s="46">
        <f t="shared" si="4"/>
        <v>1</v>
      </c>
      <c r="K13" s="46">
        <f t="shared" si="5"/>
        <v>0</v>
      </c>
      <c r="L13" s="46" cm="1">
        <f t="array" ref="L13">IF(A13="",0,SUMPRODUCT((A$2:A$201&lt;&gt;"")*((F$2:F$201*I13+G$2:G$201*J13+H$2:H$201*K13)&gt;0)*((F13*I$2:I$201+G13*J$2:J$201+H13*K$2:K$201)&gt;0))-IF(F13*I13+G13*J13+H13*K13&gt;0,1,0))</f>
        <v>26</v>
      </c>
      <c r="M13" s="46" cm="1">
        <f t="array" ref="M13">IF(A13="","",SUMPRODUCT((A$2:A$201&lt;&gt;"")*(L$2:L$201&lt;L13))+SUMPRODUCT((A$2:A$201&lt;&gt;"")*(L$2:L$201=L13)*(A$2:A$201&lt;A13))+1)</f>
        <v>28</v>
      </c>
      <c r="N13" s="46" cm="1">
        <f t="array" aca="1" ref="N13" ca="1">IF(A13="","",SUMPRODUCT(((OFFSET(F$2,0,0,COUNTA('Mii List'!A$2:A$200),1)*I13+OFFSET(G$2,0,0,COUNTA('Mii List'!A$2:A$200),1)*J13+OFFSET(H$2,0,0,COUNTA('Mii List'!A$2:A$200),1)*K13)&gt;0)*((F13*OFFSET(I$2,0,0,COUNTA('Mii List'!A$2:A$200),1)+G13*OFFSET(J$2,0,0,COUNTA('Mii List'!A$2:A$200),1)+H13*OFFSET(K$2,0,0,COUNTA('Mii List'!A$2:A$200),1))&gt;0)*(ROW(OFFSET($A$2,0,0,COUNTA('Mii List'!A$2:A$200),1))&lt;&gt;ROW())*IF(OFFSET(L$2,0,0,COUNTA('Mii List'!A$2:A$200),1)&gt;0,1/OFFSET(L$2,0,0,COUNTA('Mii List'!A$2:A$200),1),0)))</f>
        <v>1.3702380952380948</v>
      </c>
      <c r="O13" s="46" cm="1">
        <f t="array" aca="1" ref="O13" ca="1">IF(A13="","",IF(L13=0,0,SUMPRODUCT(((OFFSET(F$2,0,0,COUNTA('Mii List'!A$2:A$200),1)*I13+OFFSET(G$2,0,0,COUNTA('Mii List'!A$2:A$200),1)*J13+OFFSET(H$2,0,0,COUNTA('Mii List'!A$2:A$200),1)*K13)&gt;0)*((F13*OFFSET(I$2,0,0,COUNTA('Mii List'!A$2:A$200),1)+G13*OFFSET(J$2,0,0,COUNTA('Mii List'!A$2:A$200),1)+H13*OFFSET(K$2,0,0,COUNTA('Mii List'!A$2:A$200),1))&gt;0)*(ROW(OFFSET($A$2,0,0,COUNTA('Mii List'!A$2:A$200),1))&lt;&gt;ROW())*OFFSET(L$2,0,0,COUNTA('Mii List'!A$2:A$200),1))/L13))</f>
        <v>22.346153846153847</v>
      </c>
      <c r="P13" s="46">
        <f t="shared" ca="1" si="6"/>
        <v>1</v>
      </c>
    </row>
    <row r="14" spans="1:16" x14ac:dyDescent="0.35">
      <c r="A14" s="46" t="str" cm="1">
        <f t="array" ref="A14">IF(ROW()-1&gt;COUNTA('Mii List'!A$2:A$200),"",INDEX('Mii List'!A$2:A$200,ROW()-1))</f>
        <v>House</v>
      </c>
      <c r="B14" s="46" t="str">
        <f>IF(A14="","",INDEX('Mii List'!B$2:B$200,MATCH(A14,'Mii List'!A$2:A$200,0)))</f>
        <v>Male</v>
      </c>
      <c r="C14" s="46" t="str">
        <f>IF(A14="","",INDEX('Mii List'!C$2:C$200,MATCH(A14,'Mii List'!A$2:A$200,0)))</f>
        <v>✓</v>
      </c>
      <c r="D14" s="46" t="str">
        <f>IF(A14="","",INDEX('Mii List'!D$2:D$200,MATCH(A14,'Mii List'!A$2:A$200,0)))</f>
        <v>✗</v>
      </c>
      <c r="E14" s="46" t="str">
        <f>IF(A14="","",INDEX('Mii List'!E$2:E$200,MATCH(A14,'Mii List'!A$2:A$200,0)))</f>
        <v>✗</v>
      </c>
      <c r="F14" s="46">
        <f t="shared" si="0"/>
        <v>1</v>
      </c>
      <c r="G14" s="46">
        <f t="shared" si="1"/>
        <v>0</v>
      </c>
      <c r="H14" s="46">
        <f t="shared" si="2"/>
        <v>0</v>
      </c>
      <c r="I14" s="46">
        <f t="shared" si="3"/>
        <v>1</v>
      </c>
      <c r="J14" s="46">
        <f t="shared" si="4"/>
        <v>0</v>
      </c>
      <c r="K14" s="46">
        <f t="shared" si="5"/>
        <v>0</v>
      </c>
      <c r="L14" s="46" cm="1">
        <f t="array" ref="L14">IF(A14="",0,SUMPRODUCT((A$2:A$201&lt;&gt;"")*((F$2:F$201*I14+G$2:G$201*J14+H$2:H$201*K14)&gt;0)*((F14*I$2:I$201+G14*J$2:J$201+H14*K$2:K$201)&gt;0))-IF(F14*I14+G14*J14+H14*K14&gt;0,1,0))</f>
        <v>17</v>
      </c>
      <c r="M14" s="46" cm="1">
        <f t="array" ref="M14">IF(A14="","",SUMPRODUCT((A$2:A$201&lt;&gt;"")*(L$2:L$201&lt;L14))+SUMPRODUCT((A$2:A$201&lt;&gt;"")*(L$2:L$201=L14)*(A$2:A$201&lt;A14))+1)</f>
        <v>19</v>
      </c>
      <c r="N14" s="46" cm="1">
        <f t="array" aca="1" ref="N14" ca="1">IF(A14="","",SUMPRODUCT(((OFFSET(F$2,0,0,COUNTA('Mii List'!A$2:A$200),1)*I14+OFFSET(G$2,0,0,COUNTA('Mii List'!A$2:A$200),1)*J14+OFFSET(H$2,0,0,COUNTA('Mii List'!A$2:A$200),1)*K14)&gt;0)*((F14*OFFSET(I$2,0,0,COUNTA('Mii List'!A$2:A$200),1)+G14*OFFSET(J$2,0,0,COUNTA('Mii List'!A$2:A$200),1)+H14*OFFSET(K$2,0,0,COUNTA('Mii List'!A$2:A$200),1))&gt;0)*(ROW(OFFSET($A$2,0,0,COUNTA('Mii List'!A$2:A$200),1))&lt;&gt;ROW())*IF(OFFSET(L$2,0,0,COUNTA('Mii List'!A$2:A$200),1)&gt;0,1/OFFSET(L$2,0,0,COUNTA('Mii List'!A$2:A$200),1),0)))</f>
        <v>0.66584967320261446</v>
      </c>
      <c r="O14" s="46" cm="1">
        <f t="array" aca="1" ref="O14" ca="1">IF(A14="","",IF(L14=0,0,SUMPRODUCT(((OFFSET(F$2,0,0,COUNTA('Mii List'!A$2:A$200),1)*I14+OFFSET(G$2,0,0,COUNTA('Mii List'!A$2:A$200),1)*J14+OFFSET(H$2,0,0,COUNTA('Mii List'!A$2:A$200),1)*K14)&gt;0)*((F14*OFFSET(I$2,0,0,COUNTA('Mii List'!A$2:A$200),1)+G14*OFFSET(J$2,0,0,COUNTA('Mii List'!A$2:A$200),1)+H14*OFFSET(K$2,0,0,COUNTA('Mii List'!A$2:A$200),1))&gt;0)*(ROW(OFFSET($A$2,0,0,COUNTA('Mii List'!A$2:A$200),1))&lt;&gt;ROW())*OFFSET(L$2,0,0,COUNTA('Mii List'!A$2:A$200),1))/L14))</f>
        <v>27.647058823529413</v>
      </c>
      <c r="P14" s="46">
        <f t="shared" ca="1" si="6"/>
        <v>0.61489361702127654</v>
      </c>
    </row>
    <row r="15" spans="1:16" x14ac:dyDescent="0.35">
      <c r="A15" s="46" t="str" cm="1">
        <f t="array" ref="A15">IF(ROW()-1&gt;COUNTA('Mii List'!A$2:A$200),"",INDEX('Mii List'!A$2:A$200,ROW()-1))</f>
        <v>Wilson</v>
      </c>
      <c r="B15" s="46" t="str">
        <f>IF(A15="","",INDEX('Mii List'!B$2:B$200,MATCH(A15,'Mii List'!A$2:A$200,0)))</f>
        <v>Male</v>
      </c>
      <c r="C15" s="46" t="str">
        <f>IF(A15="","",INDEX('Mii List'!C$2:C$200,MATCH(A15,'Mii List'!A$2:A$200,0)))</f>
        <v>✓</v>
      </c>
      <c r="D15" s="46" t="str">
        <f>IF(A15="","",INDEX('Mii List'!D$2:D$200,MATCH(A15,'Mii List'!A$2:A$200,0)))</f>
        <v>✗</v>
      </c>
      <c r="E15" s="46" t="str">
        <f>IF(A15="","",INDEX('Mii List'!E$2:E$200,MATCH(A15,'Mii List'!A$2:A$200,0)))</f>
        <v>✗</v>
      </c>
      <c r="F15" s="46">
        <f t="shared" si="0"/>
        <v>1</v>
      </c>
      <c r="G15" s="46">
        <f t="shared" si="1"/>
        <v>0</v>
      </c>
      <c r="H15" s="46">
        <f t="shared" si="2"/>
        <v>0</v>
      </c>
      <c r="I15" s="46">
        <f t="shared" si="3"/>
        <v>1</v>
      </c>
      <c r="J15" s="46">
        <f t="shared" si="4"/>
        <v>0</v>
      </c>
      <c r="K15" s="46">
        <f t="shared" si="5"/>
        <v>0</v>
      </c>
      <c r="L15" s="46" cm="1">
        <f t="array" ref="L15">IF(A15="",0,SUMPRODUCT((A$2:A$201&lt;&gt;"")*((F$2:F$201*I15+G$2:G$201*J15+H$2:H$201*K15)&gt;0)*((F15*I$2:I$201+G15*J$2:J$201+H15*K$2:K$201)&gt;0))-IF(F15*I15+G15*J15+H15*K15&gt;0,1,0))</f>
        <v>17</v>
      </c>
      <c r="M15" s="46" cm="1">
        <f t="array" ref="M15">IF(A15="","",SUMPRODUCT((A$2:A$201&lt;&gt;"")*(L$2:L$201&lt;L15))+SUMPRODUCT((A$2:A$201&lt;&gt;"")*(L$2:L$201=L15)*(A$2:A$201&lt;A15))+1)</f>
        <v>22</v>
      </c>
      <c r="N15" s="46" cm="1">
        <f t="array" aca="1" ref="N15" ca="1">IF(A15="","",SUMPRODUCT(((OFFSET(F$2,0,0,COUNTA('Mii List'!A$2:A$200),1)*I15+OFFSET(G$2,0,0,COUNTA('Mii List'!A$2:A$200),1)*J15+OFFSET(H$2,0,0,COUNTA('Mii List'!A$2:A$200),1)*K15)&gt;0)*((F15*OFFSET(I$2,0,0,COUNTA('Mii List'!A$2:A$200),1)+G15*OFFSET(J$2,0,0,COUNTA('Mii List'!A$2:A$200),1)+H15*OFFSET(K$2,0,0,COUNTA('Mii List'!A$2:A$200),1))&gt;0)*(ROW(OFFSET($A$2,0,0,COUNTA('Mii List'!A$2:A$200),1))&lt;&gt;ROW())*IF(OFFSET(L$2,0,0,COUNTA('Mii List'!A$2:A$200),1)&gt;0,1/OFFSET(L$2,0,0,COUNTA('Mii List'!A$2:A$200),1),0)))</f>
        <v>0.66584967320261446</v>
      </c>
      <c r="O15" s="46" cm="1">
        <f t="array" aca="1" ref="O15" ca="1">IF(A15="","",IF(L15=0,0,SUMPRODUCT(((OFFSET(F$2,0,0,COUNTA('Mii List'!A$2:A$200),1)*I15+OFFSET(G$2,0,0,COUNTA('Mii List'!A$2:A$200),1)*J15+OFFSET(H$2,0,0,COUNTA('Mii List'!A$2:A$200),1)*K15)&gt;0)*((F15*OFFSET(I$2,0,0,COUNTA('Mii List'!A$2:A$200),1)+G15*OFFSET(J$2,0,0,COUNTA('Mii List'!A$2:A$200),1)+H15*OFFSET(K$2,0,0,COUNTA('Mii List'!A$2:A$200),1))&gt;0)*(ROW(OFFSET($A$2,0,0,COUNTA('Mii List'!A$2:A$200),1))&lt;&gt;ROW())*OFFSET(L$2,0,0,COUNTA('Mii List'!A$2:A$200),1))/L15))</f>
        <v>27.647058823529413</v>
      </c>
      <c r="P15" s="46">
        <f t="shared" ca="1" si="6"/>
        <v>0.61489361702127654</v>
      </c>
    </row>
    <row r="16" spans="1:16" x14ac:dyDescent="0.35">
      <c r="A16" s="46" t="str" cm="1">
        <f t="array" ref="A16">IF(ROW()-1&gt;COUNTA('Mii List'!A$2:A$200),"",INDEX('Mii List'!A$2:A$200,ROW()-1))</f>
        <v>Cuddy</v>
      </c>
      <c r="B16" s="46" t="str">
        <f>IF(A16="","",INDEX('Mii List'!B$2:B$200,MATCH(A16,'Mii List'!A$2:A$200,0)))</f>
        <v>Female</v>
      </c>
      <c r="C16" s="46" t="str">
        <f>IF(A16="","",INDEX('Mii List'!C$2:C$200,MATCH(A16,'Mii List'!A$2:A$200,0)))</f>
        <v>✓</v>
      </c>
      <c r="D16" s="46" t="str">
        <f>IF(A16="","",INDEX('Mii List'!D$2:D$200,MATCH(A16,'Mii List'!A$2:A$200,0)))</f>
        <v>✗</v>
      </c>
      <c r="E16" s="46" t="str">
        <f>IF(A16="","",INDEX('Mii List'!E$2:E$200,MATCH(A16,'Mii List'!A$2:A$200,0)))</f>
        <v>✗</v>
      </c>
      <c r="F16" s="46">
        <f t="shared" si="0"/>
        <v>1</v>
      </c>
      <c r="G16" s="46">
        <f t="shared" si="1"/>
        <v>0</v>
      </c>
      <c r="H16" s="46">
        <f t="shared" si="2"/>
        <v>0</v>
      </c>
      <c r="I16" s="46">
        <f t="shared" si="3"/>
        <v>0</v>
      </c>
      <c r="J16" s="46">
        <f t="shared" si="4"/>
        <v>1</v>
      </c>
      <c r="K16" s="46">
        <f t="shared" si="5"/>
        <v>0</v>
      </c>
      <c r="L16" s="46" cm="1">
        <f t="array" ref="L16">IF(A16="",0,SUMPRODUCT((A$2:A$201&lt;&gt;"")*((F$2:F$201*I16+G$2:G$201*J16+H$2:H$201*K16)&gt;0)*((F16*I$2:I$201+G16*J$2:J$201+H16*K$2:K$201)&gt;0))-IF(F16*I16+G16*J16+H16*K16&gt;0,1,0))</f>
        <v>26</v>
      </c>
      <c r="M16" s="46" cm="1">
        <f t="array" ref="M16">IF(A16="","",SUMPRODUCT((A$2:A$201&lt;&gt;"")*(L$2:L$201&lt;L16))+SUMPRODUCT((A$2:A$201&lt;&gt;"")*(L$2:L$201=L16)*(A$2:A$201&lt;A16))+1)</f>
        <v>27</v>
      </c>
      <c r="N16" s="46" cm="1">
        <f t="array" aca="1" ref="N16" ca="1">IF(A16="","",SUMPRODUCT(((OFFSET(F$2,0,0,COUNTA('Mii List'!A$2:A$200),1)*I16+OFFSET(G$2,0,0,COUNTA('Mii List'!A$2:A$200),1)*J16+OFFSET(H$2,0,0,COUNTA('Mii List'!A$2:A$200),1)*K16)&gt;0)*((F16*OFFSET(I$2,0,0,COUNTA('Mii List'!A$2:A$200),1)+G16*OFFSET(J$2,0,0,COUNTA('Mii List'!A$2:A$200),1)+H16*OFFSET(K$2,0,0,COUNTA('Mii List'!A$2:A$200),1))&gt;0)*(ROW(OFFSET($A$2,0,0,COUNTA('Mii List'!A$2:A$200),1))&lt;&gt;ROW())*IF(OFFSET(L$2,0,0,COUNTA('Mii List'!A$2:A$200),1)&gt;0,1/OFFSET(L$2,0,0,COUNTA('Mii List'!A$2:A$200),1),0)))</f>
        <v>1.3702380952380948</v>
      </c>
      <c r="O16" s="46" cm="1">
        <f t="array" aca="1" ref="O16" ca="1">IF(A16="","",IF(L16=0,0,SUMPRODUCT(((OFFSET(F$2,0,0,COUNTA('Mii List'!A$2:A$200),1)*I16+OFFSET(G$2,0,0,COUNTA('Mii List'!A$2:A$200),1)*J16+OFFSET(H$2,0,0,COUNTA('Mii List'!A$2:A$200),1)*K16)&gt;0)*((F16*OFFSET(I$2,0,0,COUNTA('Mii List'!A$2:A$200),1)+G16*OFFSET(J$2,0,0,COUNTA('Mii List'!A$2:A$200),1)+H16*OFFSET(K$2,0,0,COUNTA('Mii List'!A$2:A$200),1))&gt;0)*(ROW(OFFSET($A$2,0,0,COUNTA('Mii List'!A$2:A$200),1))&lt;&gt;ROW())*OFFSET(L$2,0,0,COUNTA('Mii List'!A$2:A$200),1))/L16))</f>
        <v>22.346153846153847</v>
      </c>
      <c r="P16" s="46">
        <f t="shared" ca="1" si="6"/>
        <v>1</v>
      </c>
    </row>
    <row r="17" spans="1:16" x14ac:dyDescent="0.35">
      <c r="A17" s="46" t="str" cm="1">
        <f t="array" ref="A17">IF(ROW()-1&gt;COUNTA('Mii List'!A$2:A$200),"",INDEX('Mii List'!A$2:A$200,ROW()-1))</f>
        <v>Cameron</v>
      </c>
      <c r="B17" s="46" t="str">
        <f>IF(A17="","",INDEX('Mii List'!B$2:B$200,MATCH(A17,'Mii List'!A$2:A$200,0)))</f>
        <v>Female</v>
      </c>
      <c r="C17" s="46" t="str">
        <f>IF(A17="","",INDEX('Mii List'!C$2:C$200,MATCH(A17,'Mii List'!A$2:A$200,0)))</f>
        <v>✓</v>
      </c>
      <c r="D17" s="46" t="str">
        <f>IF(A17="","",INDEX('Mii List'!D$2:D$200,MATCH(A17,'Mii List'!A$2:A$200,0)))</f>
        <v>✗</v>
      </c>
      <c r="E17" s="46" t="str">
        <f>IF(A17="","",INDEX('Mii List'!E$2:E$200,MATCH(A17,'Mii List'!A$2:A$200,0)))</f>
        <v>✗</v>
      </c>
      <c r="F17" s="46">
        <f t="shared" si="0"/>
        <v>1</v>
      </c>
      <c r="G17" s="46">
        <f t="shared" si="1"/>
        <v>0</v>
      </c>
      <c r="H17" s="46">
        <f t="shared" si="2"/>
        <v>0</v>
      </c>
      <c r="I17" s="46">
        <f t="shared" si="3"/>
        <v>0</v>
      </c>
      <c r="J17" s="46">
        <f t="shared" si="4"/>
        <v>1</v>
      </c>
      <c r="K17" s="46">
        <f t="shared" si="5"/>
        <v>0</v>
      </c>
      <c r="L17" s="46" cm="1">
        <f t="array" ref="L17">IF(A17="",0,SUMPRODUCT((A$2:A$201&lt;&gt;"")*((F$2:F$201*I17+G$2:G$201*J17+H$2:H$201*K17)&gt;0)*((F17*I$2:I$201+G17*J$2:J$201+H17*K$2:K$201)&gt;0))-IF(F17*I17+G17*J17+H17*K17&gt;0,1,0))</f>
        <v>26</v>
      </c>
      <c r="M17" s="46" cm="1">
        <f t="array" ref="M17">IF(A17="","",SUMPRODUCT((A$2:A$201&lt;&gt;"")*(L$2:L$201&lt;L17))+SUMPRODUCT((A$2:A$201&lt;&gt;"")*(L$2:L$201=L17)*(A$2:A$201&lt;A17))+1)</f>
        <v>26</v>
      </c>
      <c r="N17" s="46" cm="1">
        <f t="array" aca="1" ref="N17" ca="1">IF(A17="","",SUMPRODUCT(((OFFSET(F$2,0,0,COUNTA('Mii List'!A$2:A$200),1)*I17+OFFSET(G$2,0,0,COUNTA('Mii List'!A$2:A$200),1)*J17+OFFSET(H$2,0,0,COUNTA('Mii List'!A$2:A$200),1)*K17)&gt;0)*((F17*OFFSET(I$2,0,0,COUNTA('Mii List'!A$2:A$200),1)+G17*OFFSET(J$2,0,0,COUNTA('Mii List'!A$2:A$200),1)+H17*OFFSET(K$2,0,0,COUNTA('Mii List'!A$2:A$200),1))&gt;0)*(ROW(OFFSET($A$2,0,0,COUNTA('Mii List'!A$2:A$200),1))&lt;&gt;ROW())*IF(OFFSET(L$2,0,0,COUNTA('Mii List'!A$2:A$200),1)&gt;0,1/OFFSET(L$2,0,0,COUNTA('Mii List'!A$2:A$200),1),0)))</f>
        <v>1.3702380952380948</v>
      </c>
      <c r="O17" s="46" cm="1">
        <f t="array" aca="1" ref="O17" ca="1">IF(A17="","",IF(L17=0,0,SUMPRODUCT(((OFFSET(F$2,0,0,COUNTA('Mii List'!A$2:A$200),1)*I17+OFFSET(G$2,0,0,COUNTA('Mii List'!A$2:A$200),1)*J17+OFFSET(H$2,0,0,COUNTA('Mii List'!A$2:A$200),1)*K17)&gt;0)*((F17*OFFSET(I$2,0,0,COUNTA('Mii List'!A$2:A$200),1)+G17*OFFSET(J$2,0,0,COUNTA('Mii List'!A$2:A$200),1)+H17*OFFSET(K$2,0,0,COUNTA('Mii List'!A$2:A$200),1))&gt;0)*(ROW(OFFSET($A$2,0,0,COUNTA('Mii List'!A$2:A$200),1))&lt;&gt;ROW())*OFFSET(L$2,0,0,COUNTA('Mii List'!A$2:A$200),1))/L17))</f>
        <v>22.346153846153847</v>
      </c>
      <c r="P17" s="46">
        <f t="shared" ca="1" si="6"/>
        <v>1</v>
      </c>
    </row>
    <row r="18" spans="1:16" x14ac:dyDescent="0.35">
      <c r="A18" s="46" t="str" cm="1">
        <f t="array" ref="A18">IF(ROW()-1&gt;COUNTA('Mii List'!A$2:A$200),"",INDEX('Mii List'!A$2:A$200,ROW()-1))</f>
        <v>Chase</v>
      </c>
      <c r="B18" s="46" t="str">
        <f>IF(A18="","",INDEX('Mii List'!B$2:B$200,MATCH(A18,'Mii List'!A$2:A$200,0)))</f>
        <v>Male</v>
      </c>
      <c r="C18" s="46" t="str">
        <f>IF(A18="","",INDEX('Mii List'!C$2:C$200,MATCH(A18,'Mii List'!A$2:A$200,0)))</f>
        <v>✓</v>
      </c>
      <c r="D18" s="46" t="str">
        <f>IF(A18="","",INDEX('Mii List'!D$2:D$200,MATCH(A18,'Mii List'!A$2:A$200,0)))</f>
        <v>✓</v>
      </c>
      <c r="E18" s="46" t="str">
        <f>IF(A18="","",INDEX('Mii List'!E$2:E$200,MATCH(A18,'Mii List'!A$2:A$200,0)))</f>
        <v>✓</v>
      </c>
      <c r="F18" s="46">
        <f t="shared" si="0"/>
        <v>1</v>
      </c>
      <c r="G18" s="46">
        <f t="shared" si="1"/>
        <v>1</v>
      </c>
      <c r="H18" s="46">
        <f t="shared" si="2"/>
        <v>1</v>
      </c>
      <c r="I18" s="46">
        <f t="shared" si="3"/>
        <v>1</v>
      </c>
      <c r="J18" s="46">
        <f t="shared" si="4"/>
        <v>0</v>
      </c>
      <c r="K18" s="46">
        <f t="shared" si="5"/>
        <v>0</v>
      </c>
      <c r="L18" s="46" cm="1">
        <f t="array" ref="L18">IF(A18="",0,SUMPRODUCT((A$2:A$201&lt;&gt;"")*((F$2:F$201*I18+G$2:G$201*J18+H$2:H$201*K18)&gt;0)*((F18*I$2:I$201+G18*J$2:J$201+H18*K$2:K$201)&gt;0))-IF(F18*I18+G18*J18+H18*K18&gt;0,1,0))</f>
        <v>32</v>
      </c>
      <c r="M18" s="46" cm="1">
        <f t="array" ref="M18">IF(A18="","",SUMPRODUCT((A$2:A$201&lt;&gt;"")*(L$2:L$201&lt;L18))+SUMPRODUCT((A$2:A$201&lt;&gt;"")*(L$2:L$201=L18)*(A$2:A$201&lt;A18))+1)</f>
        <v>29</v>
      </c>
      <c r="N18" s="46" cm="1">
        <f t="array" aca="1" ref="N18" ca="1">IF(A18="","",SUMPRODUCT(((OFFSET(F$2,0,0,COUNTA('Mii List'!A$2:A$200),1)*I18+OFFSET(G$2,0,0,COUNTA('Mii List'!A$2:A$200),1)*J18+OFFSET(H$2,0,0,COUNTA('Mii List'!A$2:A$200),1)*K18)&gt;0)*((F18*OFFSET(I$2,0,0,COUNTA('Mii List'!A$2:A$200),1)+G18*OFFSET(J$2,0,0,COUNTA('Mii List'!A$2:A$200),1)+H18*OFFSET(K$2,0,0,COUNTA('Mii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18" s="46" cm="1">
        <f t="array" aca="1" ref="O18" ca="1">IF(A18="","",IF(L18=0,0,SUMPRODUCT(((OFFSET(F$2,0,0,COUNTA('Mii List'!A$2:A$200),1)*I18+OFFSET(G$2,0,0,COUNTA('Mii List'!A$2:A$200),1)*J18+OFFSET(H$2,0,0,COUNTA('Mii List'!A$2:A$200),1)*K18)&gt;0)*((F18*OFFSET(I$2,0,0,COUNTA('Mii List'!A$2:A$200),1)+G18*OFFSET(J$2,0,0,COUNTA('Mii List'!A$2:A$200),1)+H18*OFFSET(K$2,0,0,COUNTA('Mii List'!A$2:A$200),1))&gt;0)*(ROW(OFFSET($A$2,0,0,COUNTA('Mii List'!A$2:A$200),1))&lt;&gt;ROW())*OFFSET(L$2,0,0,COUNTA('Mii List'!A$2:A$200),1))/L18))</f>
        <v>30.03125</v>
      </c>
      <c r="P18" s="46">
        <f t="shared" ca="1" si="6"/>
        <v>1</v>
      </c>
    </row>
    <row r="19" spans="1:16" x14ac:dyDescent="0.35">
      <c r="A19" s="46" t="str" cm="1">
        <f t="array" ref="A19">IF(ROW()-1&gt;COUNTA('Mii List'!A$2:A$200),"",INDEX('Mii List'!A$2:A$200,ROW()-1))</f>
        <v>Kutner</v>
      </c>
      <c r="B19" s="46" t="str">
        <f>IF(A19="","",INDEX('Mii List'!B$2:B$200,MATCH(A19,'Mii List'!A$2:A$200,0)))</f>
        <v>Male</v>
      </c>
      <c r="C19" s="46" t="str">
        <f>IF(A19="","",INDEX('Mii List'!C$2:C$200,MATCH(A19,'Mii List'!A$2:A$200,0)))</f>
        <v>✗</v>
      </c>
      <c r="D19" s="46" t="str">
        <f>IF(A19="","",INDEX('Mii List'!D$2:D$200,MATCH(A19,'Mii List'!A$2:A$200,0)))</f>
        <v>✓</v>
      </c>
      <c r="E19" s="46" t="str">
        <f>IF(A19="","",INDEX('Mii List'!E$2:E$200,MATCH(A19,'Mii List'!A$2:A$200,0)))</f>
        <v>✗</v>
      </c>
      <c r="F19" s="46">
        <f t="shared" si="0"/>
        <v>0</v>
      </c>
      <c r="G19" s="46">
        <f t="shared" si="1"/>
        <v>1</v>
      </c>
      <c r="H19" s="46">
        <f t="shared" si="2"/>
        <v>0</v>
      </c>
      <c r="I19" s="46">
        <f t="shared" si="3"/>
        <v>1</v>
      </c>
      <c r="J19" s="46">
        <f t="shared" si="4"/>
        <v>0</v>
      </c>
      <c r="K19" s="46">
        <f t="shared" si="5"/>
        <v>0</v>
      </c>
      <c r="L19" s="46" cm="1">
        <f t="array" ref="L19">IF(A19="",0,SUMPRODUCT((A$2:A$201&lt;&gt;"")*((F$2:F$201*I19+G$2:G$201*J19+H$2:H$201*K19)&gt;0)*((F19*I$2:I$201+G19*J$2:J$201+H19*K$2:K$201)&gt;0))-IF(F19*I19+G19*J19+H19*K19&gt;0,1,0))</f>
        <v>14</v>
      </c>
      <c r="M19" s="46" cm="1">
        <f t="array" ref="M19">IF(A19="","",SUMPRODUCT((A$2:A$201&lt;&gt;"")*(L$2:L$201&lt;L19))+SUMPRODUCT((A$2:A$201&lt;&gt;"")*(L$2:L$201=L19)*(A$2:A$201&lt;A19))+1)</f>
        <v>11</v>
      </c>
      <c r="N19" s="46" cm="1">
        <f t="array" aca="1" ref="N19" ca="1">IF(A19="","",SUMPRODUCT(((OFFSET(F$2,0,0,COUNTA('Mii List'!A$2:A$200),1)*I19+OFFSET(G$2,0,0,COUNTA('Mii List'!A$2:A$200),1)*J19+OFFSET(H$2,0,0,COUNTA('Mii List'!A$2:A$200),1)*K19)&gt;0)*((F19*OFFSET(I$2,0,0,COUNTA('Mii List'!A$2:A$200),1)+G19*OFFSET(J$2,0,0,COUNTA('Mii List'!A$2:A$200),1)+H19*OFFSET(K$2,0,0,COUNTA('Mii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19" s="46" cm="1">
        <f t="array" aca="1" ref="O19" ca="1">IF(A19="","",IF(L19=0,0,SUMPRODUCT(((OFFSET(F$2,0,0,COUNTA('Mii List'!A$2:A$200),1)*I19+OFFSET(G$2,0,0,COUNTA('Mii List'!A$2:A$200),1)*J19+OFFSET(H$2,0,0,COUNTA('Mii List'!A$2:A$200),1)*K19)&gt;0)*((F19*OFFSET(I$2,0,0,COUNTA('Mii List'!A$2:A$200),1)+G19*OFFSET(J$2,0,0,COUNTA('Mii List'!A$2:A$200),1)+H19*OFFSET(K$2,0,0,COUNTA('Mii List'!A$2:A$200),1))&gt;0)*(ROW(OFFSET($A$2,0,0,COUNTA('Mii List'!A$2:A$200),1))&lt;&gt;ROW())*OFFSET(L$2,0,0,COUNTA('Mii List'!A$2:A$200),1))/L19))</f>
        <v>34.5</v>
      </c>
      <c r="P19" s="46">
        <f t="shared" ca="1" si="6"/>
        <v>0.40579710144927539</v>
      </c>
    </row>
    <row r="20" spans="1:16" x14ac:dyDescent="0.35">
      <c r="A20" s="46" t="str" cm="1">
        <f t="array" ref="A20">IF(ROW()-1&gt;COUNTA('Mii List'!A$2:A$200),"",INDEX('Mii List'!A$2:A$200,ROW()-1))</f>
        <v>Thirteen</v>
      </c>
      <c r="B20" s="46" t="str">
        <f>IF(A20="","",INDEX('Mii List'!B$2:B$200,MATCH(A20,'Mii List'!A$2:A$200,0)))</f>
        <v>Female</v>
      </c>
      <c r="C20" s="46" t="str">
        <f>IF(A20="","",INDEX('Mii List'!C$2:C$200,MATCH(A20,'Mii List'!A$2:A$200,0)))</f>
        <v>✓</v>
      </c>
      <c r="D20" s="46" t="str">
        <f>IF(A20="","",INDEX('Mii List'!D$2:D$200,MATCH(A20,'Mii List'!A$2:A$200,0)))</f>
        <v>✓</v>
      </c>
      <c r="E20" s="46" t="str">
        <f>IF(A20="","",INDEX('Mii List'!E$2:E$200,MATCH(A20,'Mii List'!A$2:A$200,0)))</f>
        <v>✗</v>
      </c>
      <c r="F20" s="46">
        <f t="shared" si="0"/>
        <v>1</v>
      </c>
      <c r="G20" s="46">
        <f t="shared" si="1"/>
        <v>1</v>
      </c>
      <c r="H20" s="46">
        <f t="shared" si="2"/>
        <v>0</v>
      </c>
      <c r="I20" s="46">
        <f t="shared" si="3"/>
        <v>0</v>
      </c>
      <c r="J20" s="46">
        <f t="shared" si="4"/>
        <v>1</v>
      </c>
      <c r="K20" s="46">
        <f t="shared" si="5"/>
        <v>0</v>
      </c>
      <c r="L20" s="46" cm="1">
        <f t="array" ref="L20">IF(A20="",0,SUMPRODUCT((A$2:A$201&lt;&gt;"")*((F$2:F$201*I20+G$2:G$201*J20+H$2:H$201*K20)&gt;0)*((F20*I$2:I$201+G20*J$2:J$201+H20*K$2:K$201)&gt;0))-IF(F20*I20+G20*J20+H20*K20&gt;0,1,0))</f>
        <v>37</v>
      </c>
      <c r="M20" s="46" cm="1">
        <f t="array" ref="M20">IF(A20="","",SUMPRODUCT((A$2:A$201&lt;&gt;"")*(L$2:L$201&lt;L20))+SUMPRODUCT((A$2:A$201&lt;&gt;"")*(L$2:L$201=L20)*(A$2:A$201&lt;A20))+1)</f>
        <v>41</v>
      </c>
      <c r="N20" s="46" cm="1">
        <f t="array" aca="1" ref="N20" ca="1">IF(A20="","",SUMPRODUCT(((OFFSET(F$2,0,0,COUNTA('Mii List'!A$2:A$200),1)*I20+OFFSET(G$2,0,0,COUNTA('Mii List'!A$2:A$200),1)*J20+OFFSET(H$2,0,0,COUNTA('Mii List'!A$2:A$200),1)*K20)&gt;0)*((F20*OFFSET(I$2,0,0,COUNTA('Mii List'!A$2:A$200),1)+G20*OFFSET(J$2,0,0,COUNTA('Mii List'!A$2:A$200),1)+H20*OFFSET(K$2,0,0,COUNTA('Mii List'!A$2:A$200),1))&gt;0)*(ROW(OFFSET($A$2,0,0,COUNTA('Mii List'!A$2:A$200),1))&lt;&gt;ROW())*IF(OFFSET(L$2,0,0,COUNTA('Mii List'!A$2:A$200),1)&gt;0,1/OFFSET(L$2,0,0,COUNTA('Mii List'!A$2:A$200),1),0)))</f>
        <v>1.7888983823194351</v>
      </c>
      <c r="O20" s="46" cm="1">
        <f t="array" aca="1" ref="O20" ca="1">IF(A20="","",IF(L20=0,0,SUMPRODUCT(((OFFSET(F$2,0,0,COUNTA('Mii List'!A$2:A$200),1)*I20+OFFSET(G$2,0,0,COUNTA('Mii List'!A$2:A$200),1)*J20+OFFSET(H$2,0,0,COUNTA('Mii List'!A$2:A$200),1)*K20)&gt;0)*((F20*OFFSET(I$2,0,0,COUNTA('Mii List'!A$2:A$200),1)+G20*OFFSET(J$2,0,0,COUNTA('Mii List'!A$2:A$200),1)+H20*OFFSET(K$2,0,0,COUNTA('Mii List'!A$2:A$200),1))&gt;0)*(ROW(OFFSET($A$2,0,0,COUNTA('Mii List'!A$2:A$200),1))&lt;&gt;ROW())*OFFSET(L$2,0,0,COUNTA('Mii List'!A$2:A$200),1))/L20))</f>
        <v>25.54054054054054</v>
      </c>
      <c r="P20" s="46">
        <f t="shared" ca="1" si="6"/>
        <v>1</v>
      </c>
    </row>
    <row r="21" spans="1:16" x14ac:dyDescent="0.35">
      <c r="A21" s="46" t="str" cm="1">
        <f t="array" ref="A21">IF(ROW()-1&gt;COUNTA('Mii List'!A$2:A$200),"",INDEX('Mii List'!A$2:A$200,ROW()-1))</f>
        <v>Foreman</v>
      </c>
      <c r="B21" s="46" t="str">
        <f>IF(A21="","",INDEX('Mii List'!B$2:B$200,MATCH(A21,'Mii List'!A$2:A$200,0)))</f>
        <v>Male</v>
      </c>
      <c r="C21" s="46" t="str">
        <f>IF(A21="","",INDEX('Mii List'!C$2:C$200,MATCH(A21,'Mii List'!A$2:A$200,0)))</f>
        <v>✗</v>
      </c>
      <c r="D21" s="46" t="str">
        <f>IF(A21="","",INDEX('Mii List'!D$2:D$200,MATCH(A21,'Mii List'!A$2:A$200,0)))</f>
        <v>✓</v>
      </c>
      <c r="E21" s="46" t="str">
        <f>IF(A21="","",INDEX('Mii List'!E$2:E$200,MATCH(A21,'Mii List'!A$2:A$200,0)))</f>
        <v>✗</v>
      </c>
      <c r="F21" s="46">
        <f t="shared" si="0"/>
        <v>0</v>
      </c>
      <c r="G21" s="46">
        <f t="shared" si="1"/>
        <v>1</v>
      </c>
      <c r="H21" s="46">
        <f t="shared" si="2"/>
        <v>0</v>
      </c>
      <c r="I21" s="46">
        <f t="shared" si="3"/>
        <v>1</v>
      </c>
      <c r="J21" s="46">
        <f t="shared" si="4"/>
        <v>0</v>
      </c>
      <c r="K21" s="46">
        <f t="shared" si="5"/>
        <v>0</v>
      </c>
      <c r="L21" s="46" cm="1">
        <f t="array" ref="L21">IF(A21="",0,SUMPRODUCT((A$2:A$201&lt;&gt;"")*((F$2:F$201*I21+G$2:G$201*J21+H$2:H$201*K21)&gt;0)*((F21*I$2:I$201+G21*J$2:J$201+H21*K$2:K$201)&gt;0))-IF(F21*I21+G21*J21+H21*K21&gt;0,1,0))</f>
        <v>14</v>
      </c>
      <c r="M21" s="46" cm="1">
        <f t="array" ref="M21">IF(A21="","",SUMPRODUCT((A$2:A$201&lt;&gt;"")*(L$2:L$201&lt;L21))+SUMPRODUCT((A$2:A$201&lt;&gt;"")*(L$2:L$201=L21)*(A$2:A$201&lt;A21))+1)</f>
        <v>9</v>
      </c>
      <c r="N21" s="46" cm="1">
        <f t="array" aca="1" ref="N21" ca="1">IF(A21="","",SUMPRODUCT(((OFFSET(F$2,0,0,COUNTA('Mii List'!A$2:A$200),1)*I21+OFFSET(G$2,0,0,COUNTA('Mii List'!A$2:A$200),1)*J21+OFFSET(H$2,0,0,COUNTA('Mii List'!A$2:A$200),1)*K21)&gt;0)*((F21*OFFSET(I$2,0,0,COUNTA('Mii List'!A$2:A$200),1)+G21*OFFSET(J$2,0,0,COUNTA('Mii List'!A$2:A$200),1)+H21*OFFSET(K$2,0,0,COUNTA('Mii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21" s="46" cm="1">
        <f t="array" aca="1" ref="O21" ca="1">IF(A21="","",IF(L21=0,0,SUMPRODUCT(((OFFSET(F$2,0,0,COUNTA('Mii List'!A$2:A$200),1)*I21+OFFSET(G$2,0,0,COUNTA('Mii List'!A$2:A$200),1)*J21+OFFSET(H$2,0,0,COUNTA('Mii List'!A$2:A$200),1)*K21)&gt;0)*((F21*OFFSET(I$2,0,0,COUNTA('Mii List'!A$2:A$200),1)+G21*OFFSET(J$2,0,0,COUNTA('Mii List'!A$2:A$200),1)+H21*OFFSET(K$2,0,0,COUNTA('Mii List'!A$2:A$200),1))&gt;0)*(ROW(OFFSET($A$2,0,0,COUNTA('Mii List'!A$2:A$200),1))&lt;&gt;ROW())*OFFSET(L$2,0,0,COUNTA('Mii List'!A$2:A$200),1))/L21))</f>
        <v>34.5</v>
      </c>
      <c r="P21" s="46">
        <f t="shared" ca="1" si="6"/>
        <v>0.40579710144927539</v>
      </c>
    </row>
    <row r="22" spans="1:16" x14ac:dyDescent="0.35">
      <c r="A22" s="46" t="str" cm="1">
        <f t="array" ref="A22">IF(ROW()-1&gt;COUNTA('Mii List'!A$2:A$200),"",INDEX('Mii List'!A$2:A$200,ROW()-1))</f>
        <v>Taub</v>
      </c>
      <c r="B22" s="46" t="str">
        <f>IF(A22="","",INDEX('Mii List'!B$2:B$200,MATCH(A22,'Mii List'!A$2:A$200,0)))</f>
        <v>Male</v>
      </c>
      <c r="C22" s="46" t="str">
        <f>IF(A22="","",INDEX('Mii List'!C$2:C$200,MATCH(A22,'Mii List'!A$2:A$200,0)))</f>
        <v>✗</v>
      </c>
      <c r="D22" s="46" t="str">
        <f>IF(A22="","",INDEX('Mii List'!D$2:D$200,MATCH(A22,'Mii List'!A$2:A$200,0)))</f>
        <v>✓</v>
      </c>
      <c r="E22" s="46" t="str">
        <f>IF(A22="","",INDEX('Mii List'!E$2:E$200,MATCH(A22,'Mii List'!A$2:A$200,0)))</f>
        <v>✗</v>
      </c>
      <c r="F22" s="46">
        <f t="shared" si="0"/>
        <v>0</v>
      </c>
      <c r="G22" s="46">
        <f t="shared" si="1"/>
        <v>1</v>
      </c>
      <c r="H22" s="46">
        <f t="shared" si="2"/>
        <v>0</v>
      </c>
      <c r="I22" s="46">
        <f t="shared" si="3"/>
        <v>1</v>
      </c>
      <c r="J22" s="46">
        <f t="shared" si="4"/>
        <v>0</v>
      </c>
      <c r="K22" s="46">
        <f t="shared" si="5"/>
        <v>0</v>
      </c>
      <c r="L22" s="46" cm="1">
        <f t="array" ref="L22">IF(A22="",0,SUMPRODUCT((A$2:A$201&lt;&gt;"")*((F$2:F$201*I22+G$2:G$201*J22+H$2:H$201*K22)&gt;0)*((F22*I$2:I$201+G22*J$2:J$201+H22*K$2:K$201)&gt;0))-IF(F22*I22+G22*J22+H22*K22&gt;0,1,0))</f>
        <v>14</v>
      </c>
      <c r="M22" s="46" cm="1">
        <f t="array" ref="M22">IF(A22="","",SUMPRODUCT((A$2:A$201&lt;&gt;"")*(L$2:L$201&lt;L22))+SUMPRODUCT((A$2:A$201&lt;&gt;"")*(L$2:L$201=L22)*(A$2:A$201&lt;A22))+1)</f>
        <v>14</v>
      </c>
      <c r="N22" s="46" cm="1">
        <f t="array" aca="1" ref="N22" ca="1">IF(A22="","",SUMPRODUCT(((OFFSET(F$2,0,0,COUNTA('Mii List'!A$2:A$200),1)*I22+OFFSET(G$2,0,0,COUNTA('Mii List'!A$2:A$200),1)*J22+OFFSET(H$2,0,0,COUNTA('Mii List'!A$2:A$200),1)*K22)&gt;0)*((F22*OFFSET(I$2,0,0,COUNTA('Mii List'!A$2:A$200),1)+G22*OFFSET(J$2,0,0,COUNTA('Mii List'!A$2:A$200),1)+H22*OFFSET(K$2,0,0,COUNTA('Mii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22" s="46" cm="1">
        <f t="array" aca="1" ref="O22" ca="1">IF(A22="","",IF(L22=0,0,SUMPRODUCT(((OFFSET(F$2,0,0,COUNTA('Mii List'!A$2:A$200),1)*I22+OFFSET(G$2,0,0,COUNTA('Mii List'!A$2:A$200),1)*J22+OFFSET(H$2,0,0,COUNTA('Mii List'!A$2:A$200),1)*K22)&gt;0)*((F22*OFFSET(I$2,0,0,COUNTA('Mii List'!A$2:A$200),1)+G22*OFFSET(J$2,0,0,COUNTA('Mii List'!A$2:A$200),1)+H22*OFFSET(K$2,0,0,COUNTA('Mii List'!A$2:A$200),1))&gt;0)*(ROW(OFFSET($A$2,0,0,COUNTA('Mii List'!A$2:A$200),1))&lt;&gt;ROW())*OFFSET(L$2,0,0,COUNTA('Mii List'!A$2:A$200),1))/L22))</f>
        <v>34.5</v>
      </c>
      <c r="P22" s="46">
        <f t="shared" ca="1" si="6"/>
        <v>0.40579710144927539</v>
      </c>
    </row>
    <row r="23" spans="1:16" x14ac:dyDescent="0.35">
      <c r="A23" s="46" t="str" cm="1">
        <f t="array" ref="A23">IF(ROW()-1&gt;COUNTA('Mii List'!A$2:A$200),"",INDEX('Mii List'!A$2:A$200,ROW()-1))</f>
        <v>June Egbert</v>
      </c>
      <c r="B23" s="46" t="str">
        <f>IF(A23="","",INDEX('Mii List'!B$2:B$200,MATCH(A23,'Mii List'!A$2:A$200,0)))</f>
        <v>Female</v>
      </c>
      <c r="C23" s="46" t="str">
        <f>IF(A23="","",INDEX('Mii List'!C$2:C$200,MATCH(A23,'Mii List'!A$2:A$200,0)))</f>
        <v>✓</v>
      </c>
      <c r="D23" s="46" t="str">
        <f>IF(A23="","",INDEX('Mii List'!D$2:D$200,MATCH(A23,'Mii List'!A$2:A$200,0)))</f>
        <v>✓</v>
      </c>
      <c r="E23" s="46" t="str">
        <f>IF(A23="","",INDEX('Mii List'!E$2:E$200,MATCH(A23,'Mii List'!A$2:A$200,0)))</f>
        <v>✓</v>
      </c>
      <c r="F23" s="46">
        <f t="shared" si="0"/>
        <v>1</v>
      </c>
      <c r="G23" s="46">
        <f t="shared" si="1"/>
        <v>1</v>
      </c>
      <c r="H23" s="46">
        <f t="shared" si="2"/>
        <v>1</v>
      </c>
      <c r="I23" s="46">
        <f t="shared" si="3"/>
        <v>0</v>
      </c>
      <c r="J23" s="46">
        <f t="shared" si="4"/>
        <v>1</v>
      </c>
      <c r="K23" s="46">
        <f t="shared" si="5"/>
        <v>0</v>
      </c>
      <c r="L23" s="46" cm="1">
        <f t="array" ref="L23">IF(A23="",0,SUMPRODUCT((A$2:A$201&lt;&gt;"")*((F$2:F$201*I23+G$2:G$201*J23+H$2:H$201*K23)&gt;0)*((F23*I$2:I$201+G23*J$2:J$201+H23*K$2:K$201)&gt;0))-IF(F23*I23+G23*J23+H23*K23&gt;0,1,0))</f>
        <v>38</v>
      </c>
      <c r="M23" s="46" cm="1">
        <f t="array" ref="M23">IF(A23="","",SUMPRODUCT((A$2:A$201&lt;&gt;"")*(L$2:L$201&lt;L23))+SUMPRODUCT((A$2:A$201&lt;&gt;"")*(L$2:L$201=L23)*(A$2:A$201&lt;A23))+1)</f>
        <v>46</v>
      </c>
      <c r="N23" s="46" cm="1">
        <f t="array" aca="1" ref="N23" ca="1">IF(A23="","",SUMPRODUCT(((OFFSET(F$2,0,0,COUNTA('Mii List'!A$2:A$200),1)*I23+OFFSET(G$2,0,0,COUNTA('Mii List'!A$2:A$200),1)*J23+OFFSET(H$2,0,0,COUNTA('Mii List'!A$2:A$200),1)*K23)&gt;0)*((F23*OFFSET(I$2,0,0,COUNTA('Mii List'!A$2:A$200),1)+G23*OFFSET(J$2,0,0,COUNTA('Mii List'!A$2:A$200),1)+H23*OFFSET(K$2,0,0,COUNTA('Mii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23" s="46" cm="1">
        <f t="array" aca="1" ref="O23" ca="1">IF(A23="","",IF(L23=0,0,SUMPRODUCT(((OFFSET(F$2,0,0,COUNTA('Mii List'!A$2:A$200),1)*I23+OFFSET(G$2,0,0,COUNTA('Mii List'!A$2:A$200),1)*J23+OFFSET(H$2,0,0,COUNTA('Mii List'!A$2:A$200),1)*K23)&gt;0)*((F23*OFFSET(I$2,0,0,COUNTA('Mii List'!A$2:A$200),1)+G23*OFFSET(J$2,0,0,COUNTA('Mii List'!A$2:A$200),1)+H23*OFFSET(K$2,0,0,COUNTA('Mii List'!A$2:A$200),1))&gt;0)*(ROW(OFFSET($A$2,0,0,COUNTA('Mii List'!A$2:A$200),1))&lt;&gt;ROW())*OFFSET(L$2,0,0,COUNTA('Mii List'!A$2:A$200),1))/L23))</f>
        <v>25.44736842105263</v>
      </c>
      <c r="P23" s="46">
        <f t="shared" ca="1" si="6"/>
        <v>1</v>
      </c>
    </row>
    <row r="24" spans="1:16" x14ac:dyDescent="0.35">
      <c r="A24" s="46" t="str" cm="1">
        <f t="array" ref="A24">IF(ROW()-1&gt;COUNTA('Mii List'!A$2:A$200),"",INDEX('Mii List'!A$2:A$200,ROW()-1))</f>
        <v>Rose Lalonde</v>
      </c>
      <c r="B24" s="46" t="str">
        <f>IF(A24="","",INDEX('Mii List'!B$2:B$200,MATCH(A24,'Mii List'!A$2:A$200,0)))</f>
        <v>Female</v>
      </c>
      <c r="C24" s="46" t="str">
        <f>IF(A24="","",INDEX('Mii List'!C$2:C$200,MATCH(A24,'Mii List'!A$2:A$200,0)))</f>
        <v>✗</v>
      </c>
      <c r="D24" s="46" t="str">
        <f>IF(A24="","",INDEX('Mii List'!D$2:D$200,MATCH(A24,'Mii List'!A$2:A$200,0)))</f>
        <v>✓</v>
      </c>
      <c r="E24" s="46" t="str">
        <f>IF(A24="","",INDEX('Mii List'!E$2:E$200,MATCH(A24,'Mii List'!A$2:A$200,0)))</f>
        <v>✗</v>
      </c>
      <c r="F24" s="46">
        <f t="shared" si="0"/>
        <v>0</v>
      </c>
      <c r="G24" s="46">
        <f t="shared" si="1"/>
        <v>1</v>
      </c>
      <c r="H24" s="46">
        <f t="shared" si="2"/>
        <v>0</v>
      </c>
      <c r="I24" s="46">
        <f t="shared" si="3"/>
        <v>0</v>
      </c>
      <c r="J24" s="46">
        <f t="shared" si="4"/>
        <v>1</v>
      </c>
      <c r="K24" s="46">
        <f t="shared" si="5"/>
        <v>0</v>
      </c>
      <c r="L24" s="46" cm="1">
        <f t="array" ref="L24">IF(A24="",0,SUMPRODUCT((A$2:A$201&lt;&gt;"")*((F$2:F$201*I24+G$2:G$201*J24+H$2:H$201*K24)&gt;0)*((F24*I$2:I$201+G24*J$2:J$201+H24*K$2:K$201)&gt;0))-IF(F24*I24+G24*J24+H24*K24&gt;0,1,0))</f>
        <v>11</v>
      </c>
      <c r="M24" s="46" cm="1">
        <f t="array" ref="M24">IF(A24="","",SUMPRODUCT((A$2:A$201&lt;&gt;"")*(L$2:L$201&lt;L24))+SUMPRODUCT((A$2:A$201&lt;&gt;"")*(L$2:L$201=L24)*(A$2:A$201&lt;A24))+1)</f>
        <v>3</v>
      </c>
      <c r="N24" s="46" cm="1">
        <f t="array" aca="1" ref="N24" ca="1">IF(A24="","",SUMPRODUCT(((OFFSET(F$2,0,0,COUNTA('Mii List'!A$2:A$200),1)*I24+OFFSET(G$2,0,0,COUNTA('Mii List'!A$2:A$200),1)*J24+OFFSET(H$2,0,0,COUNTA('Mii List'!A$2:A$200),1)*K24)&gt;0)*((F24*OFFSET(I$2,0,0,COUNTA('Mii List'!A$2:A$200),1)+G24*OFFSET(J$2,0,0,COUNTA('Mii List'!A$2:A$200),1)+H24*OFFSET(K$2,0,0,COUNTA('Mii List'!A$2:A$200),1))&gt;0)*(ROW(OFFSET($A$2,0,0,COUNTA('Mii List'!A$2:A$200),1))&lt;&gt;ROW())*IF(OFFSET(L$2,0,0,COUNTA('Mii List'!A$2:A$200),1)&gt;0,1/OFFSET(L$2,0,0,COUNTA('Mii List'!A$2:A$200),1),0)))</f>
        <v>0.35477822319927577</v>
      </c>
      <c r="O24" s="46" cm="1">
        <f t="array" aca="1" ref="O24" ca="1">IF(A24="","",IF(L24=0,0,SUMPRODUCT(((OFFSET(F$2,0,0,COUNTA('Mii List'!A$2:A$200),1)*I24+OFFSET(G$2,0,0,COUNTA('Mii List'!A$2:A$200),1)*J24+OFFSET(H$2,0,0,COUNTA('Mii List'!A$2:A$200),1)*K24)&gt;0)*((F24*OFFSET(I$2,0,0,COUNTA('Mii List'!A$2:A$200),1)+G24*OFFSET(J$2,0,0,COUNTA('Mii List'!A$2:A$200),1)+H24*OFFSET(K$2,0,0,COUNTA('Mii List'!A$2:A$200),1))&gt;0)*(ROW(OFFSET($A$2,0,0,COUNTA('Mii List'!A$2:A$200),1))&lt;&gt;ROW())*OFFSET(L$2,0,0,COUNTA('Mii List'!A$2:A$200),1))/L24))</f>
        <v>35.454545454545453</v>
      </c>
      <c r="P24" s="46">
        <f t="shared" ca="1" si="6"/>
        <v>0.31025641025641026</v>
      </c>
    </row>
    <row r="25" spans="1:16" x14ac:dyDescent="0.35">
      <c r="A25" s="46" t="str" cm="1">
        <f t="array" ref="A25">IF(ROW()-1&gt;COUNTA('Mii List'!A$2:A$200),"",INDEX('Mii List'!A$2:A$200,ROW()-1))</f>
        <v>Jade Harley</v>
      </c>
      <c r="B25" s="46" t="str">
        <f>IF(A25="","",INDEX('Mii List'!B$2:B$200,MATCH(A25,'Mii List'!A$2:A$200,0)))</f>
        <v>Female</v>
      </c>
      <c r="C25" s="46" t="str">
        <f>IF(A25="","",INDEX('Mii List'!C$2:C$200,MATCH(A25,'Mii List'!A$2:A$200,0)))</f>
        <v>✓</v>
      </c>
      <c r="D25" s="46" t="str">
        <f>IF(A25="","",INDEX('Mii List'!D$2:D$200,MATCH(A25,'Mii List'!A$2:A$200,0)))</f>
        <v>✓</v>
      </c>
      <c r="E25" s="46" t="str">
        <f>IF(A25="","",INDEX('Mii List'!E$2:E$200,MATCH(A25,'Mii List'!A$2:A$200,0)))</f>
        <v>✓</v>
      </c>
      <c r="F25" s="46">
        <f t="shared" si="0"/>
        <v>1</v>
      </c>
      <c r="G25" s="46">
        <f t="shared" si="1"/>
        <v>1</v>
      </c>
      <c r="H25" s="46">
        <f t="shared" si="2"/>
        <v>1</v>
      </c>
      <c r="I25" s="46">
        <f t="shared" si="3"/>
        <v>0</v>
      </c>
      <c r="J25" s="46">
        <f t="shared" si="4"/>
        <v>1</v>
      </c>
      <c r="K25" s="46">
        <f t="shared" si="5"/>
        <v>0</v>
      </c>
      <c r="L25" s="46" cm="1">
        <f t="array" ref="L25">IF(A25="",0,SUMPRODUCT((A$2:A$201&lt;&gt;"")*((F$2:F$201*I25+G$2:G$201*J25+H$2:H$201*K25)&gt;0)*((F25*I$2:I$201+G25*J$2:J$201+H25*K$2:K$201)&gt;0))-IF(F25*I25+G25*J25+H25*K25&gt;0,1,0))</f>
        <v>38</v>
      </c>
      <c r="M25" s="46" cm="1">
        <f t="array" ref="M25">IF(A25="","",SUMPRODUCT((A$2:A$201&lt;&gt;"")*(L$2:L$201&lt;L25))+SUMPRODUCT((A$2:A$201&lt;&gt;"")*(L$2:L$201=L25)*(A$2:A$201&lt;A25))+1)</f>
        <v>45</v>
      </c>
      <c r="N25" s="46" cm="1">
        <f t="array" aca="1" ref="N25" ca="1">IF(A25="","",SUMPRODUCT(((OFFSET(F$2,0,0,COUNTA('Mii List'!A$2:A$200),1)*I25+OFFSET(G$2,0,0,COUNTA('Mii List'!A$2:A$200),1)*J25+OFFSET(H$2,0,0,COUNTA('Mii List'!A$2:A$200),1)*K25)&gt;0)*((F25*OFFSET(I$2,0,0,COUNTA('Mii List'!A$2:A$200),1)+G25*OFFSET(J$2,0,0,COUNTA('Mii List'!A$2:A$200),1)+H25*OFFSET(K$2,0,0,COUNTA('Mii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25" s="46" cm="1">
        <f t="array" aca="1" ref="O25" ca="1">IF(A25="","",IF(L25=0,0,SUMPRODUCT(((OFFSET(F$2,0,0,COUNTA('Mii List'!A$2:A$200),1)*I25+OFFSET(G$2,0,0,COUNTA('Mii List'!A$2:A$200),1)*J25+OFFSET(H$2,0,0,COUNTA('Mii List'!A$2:A$200),1)*K25)&gt;0)*((F25*OFFSET(I$2,0,0,COUNTA('Mii List'!A$2:A$200),1)+G25*OFFSET(J$2,0,0,COUNTA('Mii List'!A$2:A$200),1)+H25*OFFSET(K$2,0,0,COUNTA('Mii List'!A$2:A$200),1))&gt;0)*(ROW(OFFSET($A$2,0,0,COUNTA('Mii List'!A$2:A$200),1))&lt;&gt;ROW())*OFFSET(L$2,0,0,COUNTA('Mii List'!A$2:A$200),1))/L25))</f>
        <v>25.44736842105263</v>
      </c>
      <c r="P25" s="46">
        <f t="shared" ca="1" si="6"/>
        <v>1</v>
      </c>
    </row>
    <row r="26" spans="1:16" x14ac:dyDescent="0.35">
      <c r="A26" s="46" t="str" cm="1">
        <f t="array" ref="A26">IF(ROW()-1&gt;COUNTA('Mii List'!A$2:A$200),"",INDEX('Mii List'!A$2:A$200,ROW()-1))</f>
        <v>Dave Strider</v>
      </c>
      <c r="B26" s="46" t="str">
        <f>IF(A26="","",INDEX('Mii List'!B$2:B$200,MATCH(A26,'Mii List'!A$2:A$200,0)))</f>
        <v>Male</v>
      </c>
      <c r="C26" s="46" t="str">
        <f>IF(A26="","",INDEX('Mii List'!C$2:C$200,MATCH(A26,'Mii List'!A$2:A$200,0)))</f>
        <v>✓</v>
      </c>
      <c r="D26" s="46" t="str">
        <f>IF(A26="","",INDEX('Mii List'!D$2:D$200,MATCH(A26,'Mii List'!A$2:A$200,0)))</f>
        <v>✓</v>
      </c>
      <c r="E26" s="46" t="str">
        <f>IF(A26="","",INDEX('Mii List'!E$2:E$200,MATCH(A26,'Mii List'!A$2:A$200,0)))</f>
        <v>✓</v>
      </c>
      <c r="F26" s="46">
        <f t="shared" si="0"/>
        <v>1</v>
      </c>
      <c r="G26" s="46">
        <f t="shared" si="1"/>
        <v>1</v>
      </c>
      <c r="H26" s="46">
        <f t="shared" si="2"/>
        <v>1</v>
      </c>
      <c r="I26" s="46">
        <f t="shared" si="3"/>
        <v>1</v>
      </c>
      <c r="J26" s="46">
        <f t="shared" si="4"/>
        <v>0</v>
      </c>
      <c r="K26" s="46">
        <f t="shared" si="5"/>
        <v>0</v>
      </c>
      <c r="L26" s="46" cm="1">
        <f t="array" ref="L26">IF(A26="",0,SUMPRODUCT((A$2:A$201&lt;&gt;"")*((F$2:F$201*I26+G$2:G$201*J26+H$2:H$201*K26)&gt;0)*((F26*I$2:I$201+G26*J$2:J$201+H26*K$2:K$201)&gt;0))-IF(F26*I26+G26*J26+H26*K26&gt;0,1,0))</f>
        <v>32</v>
      </c>
      <c r="M26" s="46" cm="1">
        <f t="array" ref="M26">IF(A26="","",SUMPRODUCT((A$2:A$201&lt;&gt;"")*(L$2:L$201&lt;L26))+SUMPRODUCT((A$2:A$201&lt;&gt;"")*(L$2:L$201=L26)*(A$2:A$201&lt;A26))+1)</f>
        <v>30</v>
      </c>
      <c r="N26" s="46" cm="1">
        <f t="array" aca="1" ref="N26" ca="1">IF(A26="","",SUMPRODUCT(((OFFSET(F$2,0,0,COUNTA('Mii List'!A$2:A$200),1)*I26+OFFSET(G$2,0,0,COUNTA('Mii List'!A$2:A$200),1)*J26+OFFSET(H$2,0,0,COUNTA('Mii List'!A$2:A$200),1)*K26)&gt;0)*((F26*OFFSET(I$2,0,0,COUNTA('Mii List'!A$2:A$200),1)+G26*OFFSET(J$2,0,0,COUNTA('Mii List'!A$2:A$200),1)+H26*OFFSET(K$2,0,0,COUNTA('Mii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26" s="46" cm="1">
        <f t="array" aca="1" ref="O26" ca="1">IF(A26="","",IF(L26=0,0,SUMPRODUCT(((OFFSET(F$2,0,0,COUNTA('Mii List'!A$2:A$200),1)*I26+OFFSET(G$2,0,0,COUNTA('Mii List'!A$2:A$200),1)*J26+OFFSET(H$2,0,0,COUNTA('Mii List'!A$2:A$200),1)*K26)&gt;0)*((F26*OFFSET(I$2,0,0,COUNTA('Mii List'!A$2:A$200),1)+G26*OFFSET(J$2,0,0,COUNTA('Mii List'!A$2:A$200),1)+H26*OFFSET(K$2,0,0,COUNTA('Mii List'!A$2:A$200),1))&gt;0)*(ROW(OFFSET($A$2,0,0,COUNTA('Mii List'!A$2:A$200),1))&lt;&gt;ROW())*OFFSET(L$2,0,0,COUNTA('Mii List'!A$2:A$200),1))/L26))</f>
        <v>30.03125</v>
      </c>
      <c r="P26" s="46">
        <f t="shared" ca="1" si="6"/>
        <v>1</v>
      </c>
    </row>
    <row r="27" spans="1:16" x14ac:dyDescent="0.35">
      <c r="A27" s="46" t="str" cm="1">
        <f t="array" ref="A27">IF(ROW()-1&gt;COUNTA('Mii List'!A$2:A$200),"",INDEX('Mii List'!A$2:A$200,ROW()-1))</f>
        <v>Robert Freeman</v>
      </c>
      <c r="B27" s="46" t="str">
        <f>IF(A27="","",INDEX('Mii List'!B$2:B$200,MATCH(A27,'Mii List'!A$2:A$200,0)))</f>
        <v>Male</v>
      </c>
      <c r="C27" s="46" t="str">
        <f>IF(A27="","",INDEX('Mii List'!C$2:C$200,MATCH(A27,'Mii List'!A$2:A$200,0)))</f>
        <v>✗</v>
      </c>
      <c r="D27" s="46" t="str">
        <f>IF(A27="","",INDEX('Mii List'!D$2:D$200,MATCH(A27,'Mii List'!A$2:A$200,0)))</f>
        <v>✓</v>
      </c>
      <c r="E27" s="46" t="str">
        <f>IF(A27="","",INDEX('Mii List'!E$2:E$200,MATCH(A27,'Mii List'!A$2:A$200,0)))</f>
        <v>✗</v>
      </c>
      <c r="F27" s="46">
        <f t="shared" si="0"/>
        <v>0</v>
      </c>
      <c r="G27" s="46">
        <f t="shared" si="1"/>
        <v>1</v>
      </c>
      <c r="H27" s="46">
        <f t="shared" si="2"/>
        <v>0</v>
      </c>
      <c r="I27" s="46">
        <f t="shared" si="3"/>
        <v>1</v>
      </c>
      <c r="J27" s="46">
        <f t="shared" si="4"/>
        <v>0</v>
      </c>
      <c r="K27" s="46">
        <f t="shared" si="5"/>
        <v>0</v>
      </c>
      <c r="L27" s="46" cm="1">
        <f t="array" ref="L27">IF(A27="",0,SUMPRODUCT((A$2:A$201&lt;&gt;"")*((F$2:F$201*I27+G$2:G$201*J27+H$2:H$201*K27)&gt;0)*((F27*I$2:I$201+G27*J$2:J$201+H27*K$2:K$201)&gt;0))-IF(F27*I27+G27*J27+H27*K27&gt;0,1,0))</f>
        <v>14</v>
      </c>
      <c r="M27" s="46" cm="1">
        <f t="array" ref="M27">IF(A27="","",SUMPRODUCT((A$2:A$201&lt;&gt;"")*(L$2:L$201&lt;L27))+SUMPRODUCT((A$2:A$201&lt;&gt;"")*(L$2:L$201=L27)*(A$2:A$201&lt;A27))+1)</f>
        <v>13</v>
      </c>
      <c r="N27" s="46" cm="1">
        <f t="array" aca="1" ref="N27" ca="1">IF(A27="","",SUMPRODUCT(((OFFSET(F$2,0,0,COUNTA('Mii List'!A$2:A$200),1)*I27+OFFSET(G$2,0,0,COUNTA('Mii List'!A$2:A$200),1)*J27+OFFSET(H$2,0,0,COUNTA('Mii List'!A$2:A$200),1)*K27)&gt;0)*((F27*OFFSET(I$2,0,0,COUNTA('Mii List'!A$2:A$200),1)+G27*OFFSET(J$2,0,0,COUNTA('Mii List'!A$2:A$200),1)+H27*OFFSET(K$2,0,0,COUNTA('Mii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27" s="46" cm="1">
        <f t="array" aca="1" ref="O27" ca="1">IF(A27="","",IF(L27=0,0,SUMPRODUCT(((OFFSET(F$2,0,0,COUNTA('Mii List'!A$2:A$200),1)*I27+OFFSET(G$2,0,0,COUNTA('Mii List'!A$2:A$200),1)*J27+OFFSET(H$2,0,0,COUNTA('Mii List'!A$2:A$200),1)*K27)&gt;0)*((F27*OFFSET(I$2,0,0,COUNTA('Mii List'!A$2:A$200),1)+G27*OFFSET(J$2,0,0,COUNTA('Mii List'!A$2:A$200),1)+H27*OFFSET(K$2,0,0,COUNTA('Mii List'!A$2:A$200),1))&gt;0)*(ROW(OFFSET($A$2,0,0,COUNTA('Mii List'!A$2:A$200),1))&lt;&gt;ROW())*OFFSET(L$2,0,0,COUNTA('Mii List'!A$2:A$200),1))/L27))</f>
        <v>34.5</v>
      </c>
      <c r="P27" s="46">
        <f t="shared" ca="1" si="6"/>
        <v>0.40579710144927539</v>
      </c>
    </row>
    <row r="28" spans="1:16" x14ac:dyDescent="0.35">
      <c r="A28" s="46" t="str" cm="1">
        <f t="array" ref="A28">IF(ROW()-1&gt;COUNTA('Mii List'!A$2:A$200),"",INDEX('Mii List'!A$2:A$200,ROW()-1))</f>
        <v>Riley Freeman</v>
      </c>
      <c r="B28" s="46" t="str">
        <f>IF(A28="","",INDEX('Mii List'!B$2:B$200,MATCH(A28,'Mii List'!A$2:A$200,0)))</f>
        <v>Male</v>
      </c>
      <c r="C28" s="46" t="str">
        <f>IF(A28="","",INDEX('Mii List'!C$2:C$200,MATCH(A28,'Mii List'!A$2:A$200,0)))</f>
        <v>✗</v>
      </c>
      <c r="D28" s="46" t="str">
        <f>IF(A28="","",INDEX('Mii List'!D$2:D$200,MATCH(A28,'Mii List'!A$2:A$200,0)))</f>
        <v>✓</v>
      </c>
      <c r="E28" s="46" t="str">
        <f>IF(A28="","",INDEX('Mii List'!E$2:E$200,MATCH(A28,'Mii List'!A$2:A$200,0)))</f>
        <v>✗</v>
      </c>
      <c r="F28" s="46">
        <f t="shared" si="0"/>
        <v>0</v>
      </c>
      <c r="G28" s="46">
        <f t="shared" si="1"/>
        <v>1</v>
      </c>
      <c r="H28" s="46">
        <f t="shared" si="2"/>
        <v>0</v>
      </c>
      <c r="I28" s="46">
        <f t="shared" si="3"/>
        <v>1</v>
      </c>
      <c r="J28" s="46">
        <f t="shared" si="4"/>
        <v>0</v>
      </c>
      <c r="K28" s="46">
        <f t="shared" si="5"/>
        <v>0</v>
      </c>
      <c r="L28" s="46" cm="1">
        <f t="array" ref="L28">IF(A28="",0,SUMPRODUCT((A$2:A$201&lt;&gt;"")*((F$2:F$201*I28+G$2:G$201*J28+H$2:H$201*K28)&gt;0)*((F28*I$2:I$201+G28*J$2:J$201+H28*K$2:K$201)&gt;0))-IF(F28*I28+G28*J28+H28*K28&gt;0,1,0))</f>
        <v>14</v>
      </c>
      <c r="M28" s="46" cm="1">
        <f t="array" ref="M28">IF(A28="","",SUMPRODUCT((A$2:A$201&lt;&gt;"")*(L$2:L$201&lt;L28))+SUMPRODUCT((A$2:A$201&lt;&gt;"")*(L$2:L$201=L28)*(A$2:A$201&lt;A28))+1)</f>
        <v>12</v>
      </c>
      <c r="N28" s="46" cm="1">
        <f t="array" aca="1" ref="N28" ca="1">IF(A28="","",SUMPRODUCT(((OFFSET(F$2,0,0,COUNTA('Mii List'!A$2:A$200),1)*I28+OFFSET(G$2,0,0,COUNTA('Mii List'!A$2:A$200),1)*J28+OFFSET(H$2,0,0,COUNTA('Mii List'!A$2:A$200),1)*K28)&gt;0)*((F28*OFFSET(I$2,0,0,COUNTA('Mii List'!A$2:A$200),1)+G28*OFFSET(J$2,0,0,COUNTA('Mii List'!A$2:A$200),1)+H28*OFFSET(K$2,0,0,COUNTA('Mii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28" s="46" cm="1">
        <f t="array" aca="1" ref="O28" ca="1">IF(A28="","",IF(L28=0,0,SUMPRODUCT(((OFFSET(F$2,0,0,COUNTA('Mii List'!A$2:A$200),1)*I28+OFFSET(G$2,0,0,COUNTA('Mii List'!A$2:A$200),1)*J28+OFFSET(H$2,0,0,COUNTA('Mii List'!A$2:A$200),1)*K28)&gt;0)*((F28*OFFSET(I$2,0,0,COUNTA('Mii List'!A$2:A$200),1)+G28*OFFSET(J$2,0,0,COUNTA('Mii List'!A$2:A$200),1)+H28*OFFSET(K$2,0,0,COUNTA('Mii List'!A$2:A$200),1))&gt;0)*(ROW(OFFSET($A$2,0,0,COUNTA('Mii List'!A$2:A$200),1))&lt;&gt;ROW())*OFFSET(L$2,0,0,COUNTA('Mii List'!A$2:A$200),1))/L28))</f>
        <v>34.5</v>
      </c>
      <c r="P28" s="46">
        <f t="shared" ca="1" si="6"/>
        <v>0.40579710144927539</v>
      </c>
    </row>
    <row r="29" spans="1:16" x14ac:dyDescent="0.35">
      <c r="A29" s="46" t="str" cm="1">
        <f t="array" ref="A29">IF(ROW()-1&gt;COUNTA('Mii List'!A$2:A$200),"",INDEX('Mii List'!A$2:A$200,ROW()-1))</f>
        <v>Huey Freeman</v>
      </c>
      <c r="B29" s="46" t="str">
        <f>IF(A29="","",INDEX('Mii List'!B$2:B$200,MATCH(A29,'Mii List'!A$2:A$200,0)))</f>
        <v>Male</v>
      </c>
      <c r="C29" s="46" t="str">
        <f>IF(A29="","",INDEX('Mii List'!C$2:C$200,MATCH(A29,'Mii List'!A$2:A$200,0)))</f>
        <v>✗</v>
      </c>
      <c r="D29" s="46" t="str">
        <f>IF(A29="","",INDEX('Mii List'!D$2:D$200,MATCH(A29,'Mii List'!A$2:A$200,0)))</f>
        <v>✓</v>
      </c>
      <c r="E29" s="46" t="str">
        <f>IF(A29="","",INDEX('Mii List'!E$2:E$200,MATCH(A29,'Mii List'!A$2:A$200,0)))</f>
        <v>✓</v>
      </c>
      <c r="F29" s="46">
        <f t="shared" si="0"/>
        <v>0</v>
      </c>
      <c r="G29" s="46">
        <f t="shared" si="1"/>
        <v>1</v>
      </c>
      <c r="H29" s="46">
        <f t="shared" si="2"/>
        <v>1</v>
      </c>
      <c r="I29" s="46">
        <f t="shared" si="3"/>
        <v>1</v>
      </c>
      <c r="J29" s="46">
        <f t="shared" si="4"/>
        <v>0</v>
      </c>
      <c r="K29" s="46">
        <f t="shared" si="5"/>
        <v>0</v>
      </c>
      <c r="L29" s="46" cm="1">
        <f t="array" ref="L29">IF(A29="",0,SUMPRODUCT((A$2:A$201&lt;&gt;"")*((F$2:F$201*I29+G$2:G$201*J29+H$2:H$201*K29)&gt;0)*((F29*I$2:I$201+G29*J$2:J$201+H29*K$2:K$201)&gt;0))-IF(F29*I29+G29*J29+H29*K29&gt;0,1,0))</f>
        <v>15</v>
      </c>
      <c r="M29" s="46" cm="1">
        <f t="array" ref="M29">IF(A29="","",SUMPRODUCT((A$2:A$201&lt;&gt;"")*(L$2:L$201&lt;L29))+SUMPRODUCT((A$2:A$201&lt;&gt;"")*(L$2:L$201=L29)*(A$2:A$201&lt;A29))+1)</f>
        <v>17</v>
      </c>
      <c r="N29" s="46" cm="1">
        <f t="array" aca="1" ref="N29" ca="1">IF(A29="","",SUMPRODUCT(((OFFSET(F$2,0,0,COUNTA('Mii List'!A$2:A$200),1)*I29+OFFSET(G$2,0,0,COUNTA('Mii List'!A$2:A$200),1)*J29+OFFSET(H$2,0,0,COUNTA('Mii List'!A$2:A$200),1)*K29)&gt;0)*((F29*OFFSET(I$2,0,0,COUNTA('Mii List'!A$2:A$200),1)+G29*OFFSET(J$2,0,0,COUNTA('Mii List'!A$2:A$200),1)+H29*OFFSET(K$2,0,0,COUNTA('Mii List'!A$2:A$200),1))&gt;0)*(ROW(OFFSET($A$2,0,0,COUNTA('Mii List'!A$2:A$200),1))&lt;&gt;ROW())*IF(OFFSET(L$2,0,0,COUNTA('Mii List'!A$2:A$200),1)&gt;0,1/OFFSET(L$2,0,0,COUNTA('Mii List'!A$2:A$200),1),0)))</f>
        <v>0.46119354700590376</v>
      </c>
      <c r="O29" s="46" cm="1">
        <f t="array" aca="1" ref="O29" ca="1">IF(A29="","",IF(L29=0,0,SUMPRODUCT(((OFFSET(F$2,0,0,COUNTA('Mii List'!A$2:A$200),1)*I29+OFFSET(G$2,0,0,COUNTA('Mii List'!A$2:A$200),1)*J29+OFFSET(H$2,0,0,COUNTA('Mii List'!A$2:A$200),1)*K29)&gt;0)*((F29*OFFSET(I$2,0,0,COUNTA('Mii List'!A$2:A$200),1)+G29*OFFSET(J$2,0,0,COUNTA('Mii List'!A$2:A$200),1)+H29*OFFSET(K$2,0,0,COUNTA('Mii List'!A$2:A$200),1))&gt;0)*(ROW(OFFSET($A$2,0,0,COUNTA('Mii List'!A$2:A$200),1))&lt;&gt;ROW())*OFFSET(L$2,0,0,COUNTA('Mii List'!A$2:A$200),1))/L29))</f>
        <v>33.733333333333334</v>
      </c>
      <c r="P29" s="46">
        <f t="shared" ca="1" si="6"/>
        <v>0.44466403162055335</v>
      </c>
    </row>
    <row r="30" spans="1:16" x14ac:dyDescent="0.35">
      <c r="A30" s="46" t="str" cm="1">
        <f t="array" ref="A30">IF(ROW()-1&gt;COUNTA('Mii List'!A$2:A$200),"",INDEX('Mii List'!A$2:A$200,ROW()-1))</f>
        <v>Uncle Ruckus</v>
      </c>
      <c r="B30" s="46" t="str">
        <f>IF(A30="","",INDEX('Mii List'!B$2:B$200,MATCH(A30,'Mii List'!A$2:A$200,0)))</f>
        <v>Male</v>
      </c>
      <c r="C30" s="46" t="str">
        <f>IF(A30="","",INDEX('Mii List'!C$2:C$200,MATCH(A30,'Mii List'!A$2:A$200,0)))</f>
        <v>✗</v>
      </c>
      <c r="D30" s="46" t="str">
        <f>IF(A30="","",INDEX('Mii List'!D$2:D$200,MATCH(A30,'Mii List'!A$2:A$200,0)))</f>
        <v>✓</v>
      </c>
      <c r="E30" s="46" t="str">
        <f>IF(A30="","",INDEX('Mii List'!E$2:E$200,MATCH(A30,'Mii List'!A$2:A$200,0)))</f>
        <v>✗</v>
      </c>
      <c r="F30" s="46">
        <f t="shared" si="0"/>
        <v>0</v>
      </c>
      <c r="G30" s="46">
        <f t="shared" si="1"/>
        <v>1</v>
      </c>
      <c r="H30" s="46">
        <f t="shared" si="2"/>
        <v>0</v>
      </c>
      <c r="I30" s="46">
        <f t="shared" si="3"/>
        <v>1</v>
      </c>
      <c r="J30" s="46">
        <f t="shared" si="4"/>
        <v>0</v>
      </c>
      <c r="K30" s="46">
        <f t="shared" si="5"/>
        <v>0</v>
      </c>
      <c r="L30" s="46" cm="1">
        <f t="array" ref="L30">IF(A30="",0,SUMPRODUCT((A$2:A$201&lt;&gt;"")*((F$2:F$201*I30+G$2:G$201*J30+H$2:H$201*K30)&gt;0)*((F30*I$2:I$201+G30*J$2:J$201+H30*K$2:K$201)&gt;0))-IF(F30*I30+G30*J30+H30*K30&gt;0,1,0))</f>
        <v>14</v>
      </c>
      <c r="M30" s="46" cm="1">
        <f t="array" ref="M30">IF(A30="","",SUMPRODUCT((A$2:A$201&lt;&gt;"")*(L$2:L$201&lt;L30))+SUMPRODUCT((A$2:A$201&lt;&gt;"")*(L$2:L$201=L30)*(A$2:A$201&lt;A30))+1)</f>
        <v>15</v>
      </c>
      <c r="N30" s="46" cm="1">
        <f t="array" aca="1" ref="N30" ca="1">IF(A30="","",SUMPRODUCT(((OFFSET(F$2,0,0,COUNTA('Mii List'!A$2:A$200),1)*I30+OFFSET(G$2,0,0,COUNTA('Mii List'!A$2:A$200),1)*J30+OFFSET(H$2,0,0,COUNTA('Mii List'!A$2:A$200),1)*K30)&gt;0)*((F30*OFFSET(I$2,0,0,COUNTA('Mii List'!A$2:A$200),1)+G30*OFFSET(J$2,0,0,COUNTA('Mii List'!A$2:A$200),1)+H30*OFFSET(K$2,0,0,COUNTA('Mii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30" s="46" cm="1">
        <f t="array" aca="1" ref="O30" ca="1">IF(A30="","",IF(L30=0,0,SUMPRODUCT(((OFFSET(F$2,0,0,COUNTA('Mii List'!A$2:A$200),1)*I30+OFFSET(G$2,0,0,COUNTA('Mii List'!A$2:A$200),1)*J30+OFFSET(H$2,0,0,COUNTA('Mii List'!A$2:A$200),1)*K30)&gt;0)*((F30*OFFSET(I$2,0,0,COUNTA('Mii List'!A$2:A$200),1)+G30*OFFSET(J$2,0,0,COUNTA('Mii List'!A$2:A$200),1)+H30*OFFSET(K$2,0,0,COUNTA('Mii List'!A$2:A$200),1))&gt;0)*(ROW(OFFSET($A$2,0,0,COUNTA('Mii List'!A$2:A$200),1))&lt;&gt;ROW())*OFFSET(L$2,0,0,COUNTA('Mii List'!A$2:A$200),1))/L30))</f>
        <v>34.5</v>
      </c>
      <c r="P30" s="46">
        <f t="shared" ca="1" si="6"/>
        <v>0.40579710144927539</v>
      </c>
    </row>
    <row r="31" spans="1:16" x14ac:dyDescent="0.35">
      <c r="A31" s="46" t="str" cm="1">
        <f t="array" ref="A31">IF(ROW()-1&gt;COUNTA('Mii List'!A$2:A$200),"",INDEX('Mii List'!A$2:A$200,ROW()-1))</f>
        <v>Chuck</v>
      </c>
      <c r="B31" s="46" t="str">
        <f>IF(A31="","",INDEX('Mii List'!B$2:B$200,MATCH(A31,'Mii List'!A$2:A$200,0)))</f>
        <v>Male</v>
      </c>
      <c r="C31" s="46" t="str">
        <f>IF(A31="","",INDEX('Mii List'!C$2:C$200,MATCH(A31,'Mii List'!A$2:A$200,0)))</f>
        <v>✓</v>
      </c>
      <c r="D31" s="46" t="str">
        <f>IF(A31="","",INDEX('Mii List'!D$2:D$200,MATCH(A31,'Mii List'!A$2:A$200,0)))</f>
        <v>✗</v>
      </c>
      <c r="E31" s="46" t="str">
        <f>IF(A31="","",INDEX('Mii List'!E$2:E$200,MATCH(A31,'Mii List'!A$2:A$200,0)))</f>
        <v>✗</v>
      </c>
      <c r="F31" s="46">
        <f t="shared" si="0"/>
        <v>1</v>
      </c>
      <c r="G31" s="46">
        <f t="shared" si="1"/>
        <v>0</v>
      </c>
      <c r="H31" s="46">
        <f t="shared" si="2"/>
        <v>0</v>
      </c>
      <c r="I31" s="46">
        <f t="shared" si="3"/>
        <v>1</v>
      </c>
      <c r="J31" s="46">
        <f t="shared" si="4"/>
        <v>0</v>
      </c>
      <c r="K31" s="46">
        <f t="shared" si="5"/>
        <v>0</v>
      </c>
      <c r="L31" s="46" cm="1">
        <f t="array" ref="L31">IF(A31="",0,SUMPRODUCT((A$2:A$201&lt;&gt;"")*((F$2:F$201*I31+G$2:G$201*J31+H$2:H$201*K31)&gt;0)*((F31*I$2:I$201+G31*J$2:J$201+H31*K$2:K$201)&gt;0))-IF(F31*I31+G31*J31+H31*K31&gt;0,1,0))</f>
        <v>17</v>
      </c>
      <c r="M31" s="46" cm="1">
        <f t="array" ref="M31">IF(A31="","",SUMPRODUCT((A$2:A$201&lt;&gt;"")*(L$2:L$201&lt;L31))+SUMPRODUCT((A$2:A$201&lt;&gt;"")*(L$2:L$201=L31)*(A$2:A$201&lt;A31))+1)</f>
        <v>18</v>
      </c>
      <c r="N31" s="46" cm="1">
        <f t="array" aca="1" ref="N31" ca="1">IF(A31="","",SUMPRODUCT(((OFFSET(F$2,0,0,COUNTA('Mii List'!A$2:A$200),1)*I31+OFFSET(G$2,0,0,COUNTA('Mii List'!A$2:A$200),1)*J31+OFFSET(H$2,0,0,COUNTA('Mii List'!A$2:A$200),1)*K31)&gt;0)*((F31*OFFSET(I$2,0,0,COUNTA('Mii List'!A$2:A$200),1)+G31*OFFSET(J$2,0,0,COUNTA('Mii List'!A$2:A$200),1)+H31*OFFSET(K$2,0,0,COUNTA('Mii List'!A$2:A$200),1))&gt;0)*(ROW(OFFSET($A$2,0,0,COUNTA('Mii List'!A$2:A$200),1))&lt;&gt;ROW())*IF(OFFSET(L$2,0,0,COUNTA('Mii List'!A$2:A$200),1)&gt;0,1/OFFSET(L$2,0,0,COUNTA('Mii List'!A$2:A$200),1),0)))</f>
        <v>0.66584967320261446</v>
      </c>
      <c r="O31" s="46" cm="1">
        <f t="array" aca="1" ref="O31" ca="1">IF(A31="","",IF(L31=0,0,SUMPRODUCT(((OFFSET(F$2,0,0,COUNTA('Mii List'!A$2:A$200),1)*I31+OFFSET(G$2,0,0,COUNTA('Mii List'!A$2:A$200),1)*J31+OFFSET(H$2,0,0,COUNTA('Mii List'!A$2:A$200),1)*K31)&gt;0)*((F31*OFFSET(I$2,0,0,COUNTA('Mii List'!A$2:A$200),1)+G31*OFFSET(J$2,0,0,COUNTA('Mii List'!A$2:A$200),1)+H31*OFFSET(K$2,0,0,COUNTA('Mii List'!A$2:A$200),1))&gt;0)*(ROW(OFFSET($A$2,0,0,COUNTA('Mii List'!A$2:A$200),1))&lt;&gt;ROW())*OFFSET(L$2,0,0,COUNTA('Mii List'!A$2:A$200),1))/L31))</f>
        <v>27.647058823529413</v>
      </c>
      <c r="P31" s="46">
        <f t="shared" ca="1" si="6"/>
        <v>0.61489361702127654</v>
      </c>
    </row>
    <row r="32" spans="1:16" x14ac:dyDescent="0.35">
      <c r="A32" s="46" t="str" cm="1">
        <f t="array" ref="A32">IF(ROW()-1&gt;COUNTA('Mii List'!A$2:A$200),"",INDEX('Mii List'!A$2:A$200,ROW()-1))</f>
        <v>Larry</v>
      </c>
      <c r="B32" s="46" t="str">
        <f>IF(A32="","",INDEX('Mii List'!B$2:B$200,MATCH(A32,'Mii List'!A$2:A$200,0)))</f>
        <v>Male</v>
      </c>
      <c r="C32" s="46" t="str">
        <f>IF(A32="","",INDEX('Mii List'!C$2:C$200,MATCH(A32,'Mii List'!A$2:A$200,0)))</f>
        <v>✓</v>
      </c>
      <c r="D32" s="46" t="str">
        <f>IF(A32="","",INDEX('Mii List'!D$2:D$200,MATCH(A32,'Mii List'!A$2:A$200,0)))</f>
        <v>✗</v>
      </c>
      <c r="E32" s="46" t="str">
        <f>IF(A32="","",INDEX('Mii List'!E$2:E$200,MATCH(A32,'Mii List'!A$2:A$200,0)))</f>
        <v>✗</v>
      </c>
      <c r="F32" s="46">
        <f t="shared" si="0"/>
        <v>1</v>
      </c>
      <c r="G32" s="46">
        <f t="shared" si="1"/>
        <v>0</v>
      </c>
      <c r="H32" s="46">
        <f t="shared" si="2"/>
        <v>0</v>
      </c>
      <c r="I32" s="46">
        <f t="shared" si="3"/>
        <v>1</v>
      </c>
      <c r="J32" s="46">
        <f t="shared" si="4"/>
        <v>0</v>
      </c>
      <c r="K32" s="46">
        <f t="shared" si="5"/>
        <v>0</v>
      </c>
      <c r="L32" s="46" cm="1">
        <f t="array" ref="L32">IF(A32="",0,SUMPRODUCT((A$2:A$201&lt;&gt;"")*((F$2:F$201*I32+G$2:G$201*J32+H$2:H$201*K32)&gt;0)*((F32*I$2:I$201+G32*J$2:J$201+H32*K$2:K$201)&gt;0))-IF(F32*I32+G32*J32+H32*K32&gt;0,1,0))</f>
        <v>17</v>
      </c>
      <c r="M32" s="46" cm="1">
        <f t="array" ref="M32">IF(A32="","",SUMPRODUCT((A$2:A$201&lt;&gt;"")*(L$2:L$201&lt;L32))+SUMPRODUCT((A$2:A$201&lt;&gt;"")*(L$2:L$201=L32)*(A$2:A$201&lt;A32))+1)</f>
        <v>20</v>
      </c>
      <c r="N32" s="46" cm="1">
        <f t="array" aca="1" ref="N32" ca="1">IF(A32="","",SUMPRODUCT(((OFFSET(F$2,0,0,COUNTA('Mii List'!A$2:A$200),1)*I32+OFFSET(G$2,0,0,COUNTA('Mii List'!A$2:A$200),1)*J32+OFFSET(H$2,0,0,COUNTA('Mii List'!A$2:A$200),1)*K32)&gt;0)*((F32*OFFSET(I$2,0,0,COUNTA('Mii List'!A$2:A$200),1)+G32*OFFSET(J$2,0,0,COUNTA('Mii List'!A$2:A$200),1)+H32*OFFSET(K$2,0,0,COUNTA('Mii List'!A$2:A$200),1))&gt;0)*(ROW(OFFSET($A$2,0,0,COUNTA('Mii List'!A$2:A$200),1))&lt;&gt;ROW())*IF(OFFSET(L$2,0,0,COUNTA('Mii List'!A$2:A$200),1)&gt;0,1/OFFSET(L$2,0,0,COUNTA('Mii List'!A$2:A$200),1),0)))</f>
        <v>0.66584967320261446</v>
      </c>
      <c r="O32" s="46" cm="1">
        <f t="array" aca="1" ref="O32" ca="1">IF(A32="","",IF(L32=0,0,SUMPRODUCT(((OFFSET(F$2,0,0,COUNTA('Mii List'!A$2:A$200),1)*I32+OFFSET(G$2,0,0,COUNTA('Mii List'!A$2:A$200),1)*J32+OFFSET(H$2,0,0,COUNTA('Mii List'!A$2:A$200),1)*K32)&gt;0)*((F32*OFFSET(I$2,0,0,COUNTA('Mii List'!A$2:A$200),1)+G32*OFFSET(J$2,0,0,COUNTA('Mii List'!A$2:A$200),1)+H32*OFFSET(K$2,0,0,COUNTA('Mii List'!A$2:A$200),1))&gt;0)*(ROW(OFFSET($A$2,0,0,COUNTA('Mii List'!A$2:A$200),1))&lt;&gt;ROW())*OFFSET(L$2,0,0,COUNTA('Mii List'!A$2:A$200),1))/L32))</f>
        <v>27.647058823529413</v>
      </c>
      <c r="P32" s="46">
        <f t="shared" ca="1" si="6"/>
        <v>0.61489361702127654</v>
      </c>
    </row>
    <row r="33" spans="1:16" x14ac:dyDescent="0.35">
      <c r="A33" s="46" t="str" cm="1">
        <f t="array" ref="A33">IF(ROW()-1&gt;COUNTA('Mii List'!A$2:A$200),"",INDEX('Mii List'!A$2:A$200,ROW()-1))</f>
        <v>Hugh Morris</v>
      </c>
      <c r="B33" s="46" t="str">
        <f>IF(A33="","",INDEX('Mii List'!B$2:B$200,MATCH(A33,'Mii List'!A$2:A$200,0)))</f>
        <v>Male</v>
      </c>
      <c r="C33" s="46" t="str">
        <f>IF(A33="","",INDEX('Mii List'!C$2:C$200,MATCH(A33,'Mii List'!A$2:A$200,0)))</f>
        <v>✓</v>
      </c>
      <c r="D33" s="46" t="str">
        <f>IF(A33="","",INDEX('Mii List'!D$2:D$200,MATCH(A33,'Mii List'!A$2:A$200,0)))</f>
        <v>✓</v>
      </c>
      <c r="E33" s="46" t="str">
        <f>IF(A33="","",INDEX('Mii List'!E$2:E$200,MATCH(A33,'Mii List'!A$2:A$200,0)))</f>
        <v>✓</v>
      </c>
      <c r="F33" s="46">
        <f t="shared" si="0"/>
        <v>1</v>
      </c>
      <c r="G33" s="46">
        <f t="shared" si="1"/>
        <v>1</v>
      </c>
      <c r="H33" s="46">
        <f t="shared" si="2"/>
        <v>1</v>
      </c>
      <c r="I33" s="46">
        <f t="shared" si="3"/>
        <v>1</v>
      </c>
      <c r="J33" s="46">
        <f t="shared" si="4"/>
        <v>0</v>
      </c>
      <c r="K33" s="46">
        <f t="shared" si="5"/>
        <v>0</v>
      </c>
      <c r="L33" s="46" cm="1">
        <f t="array" ref="L33">IF(A33="",0,SUMPRODUCT((A$2:A$201&lt;&gt;"")*((F$2:F$201*I33+G$2:G$201*J33+H$2:H$201*K33)&gt;0)*((F33*I$2:I$201+G33*J$2:J$201+H33*K$2:K$201)&gt;0))-IF(F33*I33+G33*J33+H33*K33&gt;0,1,0))</f>
        <v>32</v>
      </c>
      <c r="M33" s="46" cm="1">
        <f t="array" ref="M33">IF(A33="","",SUMPRODUCT((A$2:A$201&lt;&gt;"")*(L$2:L$201&lt;L33))+SUMPRODUCT((A$2:A$201&lt;&gt;"")*(L$2:L$201=L33)*(A$2:A$201&lt;A33))+1)</f>
        <v>34</v>
      </c>
      <c r="N33" s="46" cm="1">
        <f t="array" aca="1" ref="N33" ca="1">IF(A33="","",SUMPRODUCT(((OFFSET(F$2,0,0,COUNTA('Mii List'!A$2:A$200),1)*I33+OFFSET(G$2,0,0,COUNTA('Mii List'!A$2:A$200),1)*J33+OFFSET(H$2,0,0,COUNTA('Mii List'!A$2:A$200),1)*K33)&gt;0)*((F33*OFFSET(I$2,0,0,COUNTA('Mii List'!A$2:A$200),1)+G33*OFFSET(J$2,0,0,COUNTA('Mii List'!A$2:A$200),1)+H33*OFFSET(K$2,0,0,COUNTA('Mii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33" s="46" cm="1">
        <f t="array" aca="1" ref="O33" ca="1">IF(A33="","",IF(L33=0,0,SUMPRODUCT(((OFFSET(F$2,0,0,COUNTA('Mii List'!A$2:A$200),1)*I33+OFFSET(G$2,0,0,COUNTA('Mii List'!A$2:A$200),1)*J33+OFFSET(H$2,0,0,COUNTA('Mii List'!A$2:A$200),1)*K33)&gt;0)*((F33*OFFSET(I$2,0,0,COUNTA('Mii List'!A$2:A$200),1)+G33*OFFSET(J$2,0,0,COUNTA('Mii List'!A$2:A$200),1)+H33*OFFSET(K$2,0,0,COUNTA('Mii List'!A$2:A$200),1))&gt;0)*(ROW(OFFSET($A$2,0,0,COUNTA('Mii List'!A$2:A$200),1))&lt;&gt;ROW())*OFFSET(L$2,0,0,COUNTA('Mii List'!A$2:A$200),1))/L33))</f>
        <v>30.03125</v>
      </c>
      <c r="P33" s="46">
        <f t="shared" ca="1" si="6"/>
        <v>1</v>
      </c>
    </row>
    <row r="34" spans="1:16" x14ac:dyDescent="0.35">
      <c r="A34" s="46" t="str" cm="1">
        <f t="array" ref="A34">IF(ROW()-1&gt;COUNTA('Mii List'!A$2:A$200),"",INDEX('Mii List'!A$2:A$200,ROW()-1))</f>
        <v>Jason Speer</v>
      </c>
      <c r="B34" s="46" t="str">
        <f>IF(A34="","",INDEX('Mii List'!B$2:B$200,MATCH(A34,'Mii List'!A$2:A$200,0)))</f>
        <v>Male</v>
      </c>
      <c r="C34" s="46" t="str">
        <f>IF(A34="","",INDEX('Mii List'!C$2:C$200,MATCH(A34,'Mii List'!A$2:A$200,0)))</f>
        <v>✓</v>
      </c>
      <c r="D34" s="46" t="str">
        <f>IF(A34="","",INDEX('Mii List'!D$2:D$200,MATCH(A34,'Mii List'!A$2:A$200,0)))</f>
        <v>✓</v>
      </c>
      <c r="E34" s="46" t="str">
        <f>IF(A34="","",INDEX('Mii List'!E$2:E$200,MATCH(A34,'Mii List'!A$2:A$200,0)))</f>
        <v>✓</v>
      </c>
      <c r="F34" s="46">
        <f t="shared" si="0"/>
        <v>1</v>
      </c>
      <c r="G34" s="46">
        <f t="shared" si="1"/>
        <v>1</v>
      </c>
      <c r="H34" s="46">
        <f t="shared" si="2"/>
        <v>1</v>
      </c>
      <c r="I34" s="46">
        <f t="shared" si="3"/>
        <v>1</v>
      </c>
      <c r="J34" s="46">
        <f t="shared" si="4"/>
        <v>0</v>
      </c>
      <c r="K34" s="46">
        <f t="shared" si="5"/>
        <v>0</v>
      </c>
      <c r="L34" s="46" cm="1">
        <f t="array" ref="L34">IF(A34="",0,SUMPRODUCT((A$2:A$201&lt;&gt;"")*((F$2:F$201*I34+G$2:G$201*J34+H$2:H$201*K34)&gt;0)*((F34*I$2:I$201+G34*J$2:J$201+H34*K$2:K$201)&gt;0))-IF(F34*I34+G34*J34+H34*K34&gt;0,1,0))</f>
        <v>32</v>
      </c>
      <c r="M34" s="46" cm="1">
        <f t="array" ref="M34">IF(A34="","",SUMPRODUCT((A$2:A$201&lt;&gt;"")*(L$2:L$201&lt;L34))+SUMPRODUCT((A$2:A$201&lt;&gt;"")*(L$2:L$201=L34)*(A$2:A$201&lt;A34))+1)</f>
        <v>35</v>
      </c>
      <c r="N34" s="46" cm="1">
        <f t="array" aca="1" ref="N34" ca="1">IF(A34="","",SUMPRODUCT(((OFFSET(F$2,0,0,COUNTA('Mii List'!A$2:A$200),1)*I34+OFFSET(G$2,0,0,COUNTA('Mii List'!A$2:A$200),1)*J34+OFFSET(H$2,0,0,COUNTA('Mii List'!A$2:A$200),1)*K34)&gt;0)*((F34*OFFSET(I$2,0,0,COUNTA('Mii List'!A$2:A$200),1)+G34*OFFSET(J$2,0,0,COUNTA('Mii List'!A$2:A$200),1)+H34*OFFSET(K$2,0,0,COUNTA('Mii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34" s="46" cm="1">
        <f t="array" aca="1" ref="O34" ca="1">IF(A34="","",IF(L34=0,0,SUMPRODUCT(((OFFSET(F$2,0,0,COUNTA('Mii List'!A$2:A$200),1)*I34+OFFSET(G$2,0,0,COUNTA('Mii List'!A$2:A$200),1)*J34+OFFSET(H$2,0,0,COUNTA('Mii List'!A$2:A$200),1)*K34)&gt;0)*((F34*OFFSET(I$2,0,0,COUNTA('Mii List'!A$2:A$200),1)+G34*OFFSET(J$2,0,0,COUNTA('Mii List'!A$2:A$200),1)+H34*OFFSET(K$2,0,0,COUNTA('Mii List'!A$2:A$200),1))&gt;0)*(ROW(OFFSET($A$2,0,0,COUNTA('Mii List'!A$2:A$200),1))&lt;&gt;ROW())*OFFSET(L$2,0,0,COUNTA('Mii List'!A$2:A$200),1))/L34))</f>
        <v>30.03125</v>
      </c>
      <c r="P34" s="46">
        <f t="shared" ca="1" si="6"/>
        <v>1</v>
      </c>
    </row>
    <row r="35" spans="1:16" x14ac:dyDescent="0.35">
      <c r="A35" s="46" t="str" cm="1">
        <f t="array" ref="A35">IF(ROW()-1&gt;COUNTA('Mii List'!A$2:A$200),"",INDEX('Mii List'!A$2:A$200,ROW()-1))</f>
        <v>Dr. Winters</v>
      </c>
      <c r="B35" s="46" t="str">
        <f>IF(A35="","",INDEX('Mii List'!B$2:B$200,MATCH(A35,'Mii List'!A$2:A$200,0)))</f>
        <v>Female</v>
      </c>
      <c r="C35" s="46" t="str">
        <f>IF(A35="","",INDEX('Mii List'!C$2:C$200,MATCH(A35,'Mii List'!A$2:A$200,0)))</f>
        <v>✓</v>
      </c>
      <c r="D35" s="46" t="str">
        <f>IF(A35="","",INDEX('Mii List'!D$2:D$200,MATCH(A35,'Mii List'!A$2:A$200,0)))</f>
        <v>✓</v>
      </c>
      <c r="E35" s="46" t="str">
        <f>IF(A35="","",INDEX('Mii List'!E$2:E$200,MATCH(A35,'Mii List'!A$2:A$200,0)))</f>
        <v>✓</v>
      </c>
      <c r="F35" s="46">
        <f t="shared" si="0"/>
        <v>1</v>
      </c>
      <c r="G35" s="46">
        <f t="shared" si="1"/>
        <v>1</v>
      </c>
      <c r="H35" s="46">
        <f t="shared" si="2"/>
        <v>1</v>
      </c>
      <c r="I35" s="46">
        <f t="shared" si="3"/>
        <v>0</v>
      </c>
      <c r="J35" s="46">
        <f t="shared" si="4"/>
        <v>1</v>
      </c>
      <c r="K35" s="46">
        <f t="shared" si="5"/>
        <v>0</v>
      </c>
      <c r="L35" s="46" cm="1">
        <f t="array" ref="L35">IF(A35="",0,SUMPRODUCT((A$2:A$201&lt;&gt;"")*((F$2:F$201*I35+G$2:G$201*J35+H$2:H$201*K35)&gt;0)*((F35*I$2:I$201+G35*J$2:J$201+H35*K$2:K$201)&gt;0))-IF(F35*I35+G35*J35+H35*K35&gt;0,1,0))</f>
        <v>38</v>
      </c>
      <c r="M35" s="46" cm="1">
        <f t="array" ref="M35">IF(A35="","",SUMPRODUCT((A$2:A$201&lt;&gt;"")*(L$2:L$201&lt;L35))+SUMPRODUCT((A$2:A$201&lt;&gt;"")*(L$2:L$201=L35)*(A$2:A$201&lt;A35))+1)</f>
        <v>43</v>
      </c>
      <c r="N35" s="46" cm="1">
        <f t="array" aca="1" ref="N35" ca="1">IF(A35="","",SUMPRODUCT(((OFFSET(F$2,0,0,COUNTA('Mii List'!A$2:A$200),1)*I35+OFFSET(G$2,0,0,COUNTA('Mii List'!A$2:A$200),1)*J35+OFFSET(H$2,0,0,COUNTA('Mii List'!A$2:A$200),1)*K35)&gt;0)*((F35*OFFSET(I$2,0,0,COUNTA('Mii List'!A$2:A$200),1)+G35*OFFSET(J$2,0,0,COUNTA('Mii List'!A$2:A$200),1)+H35*OFFSET(K$2,0,0,COUNTA('Mii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35" s="46" cm="1">
        <f t="array" aca="1" ref="O35" ca="1">IF(A35="","",IF(L35=0,0,SUMPRODUCT(((OFFSET(F$2,0,0,COUNTA('Mii List'!A$2:A$200),1)*I35+OFFSET(G$2,0,0,COUNTA('Mii List'!A$2:A$200),1)*J35+OFFSET(H$2,0,0,COUNTA('Mii List'!A$2:A$200),1)*K35)&gt;0)*((F35*OFFSET(I$2,0,0,COUNTA('Mii List'!A$2:A$200),1)+G35*OFFSET(J$2,0,0,COUNTA('Mii List'!A$2:A$200),1)+H35*OFFSET(K$2,0,0,COUNTA('Mii List'!A$2:A$200),1))&gt;0)*(ROW(OFFSET($A$2,0,0,COUNTA('Mii List'!A$2:A$200),1))&lt;&gt;ROW())*OFFSET(L$2,0,0,COUNTA('Mii List'!A$2:A$200),1))/L35))</f>
        <v>25.44736842105263</v>
      </c>
      <c r="P35" s="46">
        <f t="shared" ca="1" si="6"/>
        <v>1</v>
      </c>
    </row>
    <row r="36" spans="1:16" x14ac:dyDescent="0.35">
      <c r="A36" s="46" t="str" cm="1">
        <f t="array" ref="A36">IF(ROW()-1&gt;COUNTA('Mii List'!A$2:A$200),"",INDEX('Mii List'!A$2:A$200,ROW()-1))</f>
        <v>Nikki</v>
      </c>
      <c r="B36" s="46" t="str">
        <f>IF(A36="","",INDEX('Mii List'!B$2:B$200,MATCH(A36,'Mii List'!A$2:A$200,0)))</f>
        <v>Female</v>
      </c>
      <c r="C36" s="46" t="str">
        <f>IF(A36="","",INDEX('Mii List'!C$2:C$200,MATCH(A36,'Mii List'!A$2:A$200,0)))</f>
        <v>✓</v>
      </c>
      <c r="D36" s="46" t="str">
        <f>IF(A36="","",INDEX('Mii List'!D$2:D$200,MATCH(A36,'Mii List'!A$2:A$200,0)))</f>
        <v>✓</v>
      </c>
      <c r="E36" s="46" t="str">
        <f>IF(A36="","",INDEX('Mii List'!E$2:E$200,MATCH(A36,'Mii List'!A$2:A$200,0)))</f>
        <v>✓</v>
      </c>
      <c r="F36" s="46">
        <f t="shared" si="0"/>
        <v>1</v>
      </c>
      <c r="G36" s="46">
        <f t="shared" si="1"/>
        <v>1</v>
      </c>
      <c r="H36" s="46">
        <f t="shared" si="2"/>
        <v>1</v>
      </c>
      <c r="I36" s="46">
        <f t="shared" si="3"/>
        <v>0</v>
      </c>
      <c r="J36" s="46">
        <f t="shared" si="4"/>
        <v>1</v>
      </c>
      <c r="K36" s="46">
        <f t="shared" si="5"/>
        <v>0</v>
      </c>
      <c r="L36" s="46" cm="1">
        <f t="array" ref="L36">IF(A36="",0,SUMPRODUCT((A$2:A$201&lt;&gt;"")*((F$2:F$201*I36+G$2:G$201*J36+H$2:H$201*K36)&gt;0)*((F36*I$2:I$201+G36*J$2:J$201+H36*K$2:K$201)&gt;0))-IF(F36*I36+G36*J36+H36*K36&gt;0,1,0))</f>
        <v>38</v>
      </c>
      <c r="M36" s="46" cm="1">
        <f t="array" ref="M36">IF(A36="","",SUMPRODUCT((A$2:A$201&lt;&gt;"")*(L$2:L$201&lt;L36))+SUMPRODUCT((A$2:A$201&lt;&gt;"")*(L$2:L$201=L36)*(A$2:A$201&lt;A36))+1)</f>
        <v>48</v>
      </c>
      <c r="N36" s="46" cm="1">
        <f t="array" aca="1" ref="N36" ca="1">IF(A36="","",SUMPRODUCT(((OFFSET(F$2,0,0,COUNTA('Mii List'!A$2:A$200),1)*I36+OFFSET(G$2,0,0,COUNTA('Mii List'!A$2:A$200),1)*J36+OFFSET(H$2,0,0,COUNTA('Mii List'!A$2:A$200),1)*K36)&gt;0)*((F36*OFFSET(I$2,0,0,COUNTA('Mii List'!A$2:A$200),1)+G36*OFFSET(J$2,0,0,COUNTA('Mii List'!A$2:A$200),1)+H36*OFFSET(K$2,0,0,COUNTA('Mii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36" s="46" cm="1">
        <f t="array" aca="1" ref="O36" ca="1">IF(A36="","",IF(L36=0,0,SUMPRODUCT(((OFFSET(F$2,0,0,COUNTA('Mii List'!A$2:A$200),1)*I36+OFFSET(G$2,0,0,COUNTA('Mii List'!A$2:A$200),1)*J36+OFFSET(H$2,0,0,COUNTA('Mii List'!A$2:A$200),1)*K36)&gt;0)*((F36*OFFSET(I$2,0,0,COUNTA('Mii List'!A$2:A$200),1)+G36*OFFSET(J$2,0,0,COUNTA('Mii List'!A$2:A$200),1)+H36*OFFSET(K$2,0,0,COUNTA('Mii List'!A$2:A$200),1))&gt;0)*(ROW(OFFSET($A$2,0,0,COUNTA('Mii List'!A$2:A$200),1))&lt;&gt;ROW())*OFFSET(L$2,0,0,COUNTA('Mii List'!A$2:A$200),1))/L36))</f>
        <v>25.44736842105263</v>
      </c>
      <c r="P36" s="46">
        <f t="shared" ca="1" si="6"/>
        <v>1</v>
      </c>
    </row>
    <row r="37" spans="1:16" x14ac:dyDescent="0.35">
      <c r="A37" s="46" t="str" cm="1">
        <f t="array" ref="A37">IF(ROW()-1&gt;COUNTA('Mii List'!A$2:A$200),"",INDEX('Mii List'!A$2:A$200,ROW()-1))</f>
        <v>Bill Trinnen</v>
      </c>
      <c r="B37" s="46" t="str">
        <f>IF(A37="","",INDEX('Mii List'!B$2:B$200,MATCH(A37,'Mii List'!A$2:A$200,0)))</f>
        <v>Male</v>
      </c>
      <c r="C37" s="46" t="str">
        <f>IF(A37="","",INDEX('Mii List'!C$2:C$200,MATCH(A37,'Mii List'!A$2:A$200,0)))</f>
        <v>✗</v>
      </c>
      <c r="D37" s="46" t="str">
        <f>IF(A37="","",INDEX('Mii List'!D$2:D$200,MATCH(A37,'Mii List'!A$2:A$200,0)))</f>
        <v>✓</v>
      </c>
      <c r="E37" s="46" t="str">
        <f>IF(A37="","",INDEX('Mii List'!E$2:E$200,MATCH(A37,'Mii List'!A$2:A$200,0)))</f>
        <v>✗</v>
      </c>
      <c r="F37" s="46">
        <f t="shared" si="0"/>
        <v>0</v>
      </c>
      <c r="G37" s="46">
        <f t="shared" si="1"/>
        <v>1</v>
      </c>
      <c r="H37" s="46">
        <f t="shared" si="2"/>
        <v>0</v>
      </c>
      <c r="I37" s="46">
        <f t="shared" si="3"/>
        <v>1</v>
      </c>
      <c r="J37" s="46">
        <f t="shared" si="4"/>
        <v>0</v>
      </c>
      <c r="K37" s="46">
        <f t="shared" si="5"/>
        <v>0</v>
      </c>
      <c r="L37" s="46" cm="1">
        <f t="array" ref="L37">IF(A37="",0,SUMPRODUCT((A$2:A$201&lt;&gt;"")*((F$2:F$201*I37+G$2:G$201*J37+H$2:H$201*K37)&gt;0)*((F37*I$2:I$201+G37*J$2:J$201+H37*K$2:K$201)&gt;0))-IF(F37*I37+G37*J37+H37*K37&gt;0,1,0))</f>
        <v>14</v>
      </c>
      <c r="M37" s="46" cm="1">
        <f t="array" ref="M37">IF(A37="","",SUMPRODUCT((A$2:A$201&lt;&gt;"")*(L$2:L$201&lt;L37))+SUMPRODUCT((A$2:A$201&lt;&gt;"")*(L$2:L$201=L37)*(A$2:A$201&lt;A37))+1)</f>
        <v>8</v>
      </c>
      <c r="N37" s="46" cm="1">
        <f t="array" aca="1" ref="N37" ca="1">IF(A37="","",SUMPRODUCT(((OFFSET(F$2,0,0,COUNTA('Mii List'!A$2:A$200),1)*I37+OFFSET(G$2,0,0,COUNTA('Mii List'!A$2:A$200),1)*J37+OFFSET(H$2,0,0,COUNTA('Mii List'!A$2:A$200),1)*K37)&gt;0)*((F37*OFFSET(I$2,0,0,COUNTA('Mii List'!A$2:A$200),1)+G37*OFFSET(J$2,0,0,COUNTA('Mii List'!A$2:A$200),1)+H37*OFFSET(K$2,0,0,COUNTA('Mii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37" s="46" cm="1">
        <f t="array" aca="1" ref="O37" ca="1">IF(A37="","",IF(L37=0,0,SUMPRODUCT(((OFFSET(F$2,0,0,COUNTA('Mii List'!A$2:A$200),1)*I37+OFFSET(G$2,0,0,COUNTA('Mii List'!A$2:A$200),1)*J37+OFFSET(H$2,0,0,COUNTA('Mii List'!A$2:A$200),1)*K37)&gt;0)*((F37*OFFSET(I$2,0,0,COUNTA('Mii List'!A$2:A$200),1)+G37*OFFSET(J$2,0,0,COUNTA('Mii List'!A$2:A$200),1)+H37*OFFSET(K$2,0,0,COUNTA('Mii List'!A$2:A$200),1))&gt;0)*(ROW(OFFSET($A$2,0,0,COUNTA('Mii List'!A$2:A$200),1))&lt;&gt;ROW())*OFFSET(L$2,0,0,COUNTA('Mii List'!A$2:A$200),1))/L37))</f>
        <v>34.5</v>
      </c>
      <c r="P37" s="46">
        <f t="shared" ca="1" si="6"/>
        <v>0.40579710144927539</v>
      </c>
    </row>
    <row r="38" spans="1:16" x14ac:dyDescent="0.35">
      <c r="A38" s="46" t="str" cm="1">
        <f t="array" ref="A38">IF(ROW()-1&gt;COUNTA('Mii List'!A$2:A$200),"",INDEX('Mii List'!A$2:A$200,ROW()-1))</f>
        <v>Yoshiaki Koizumi</v>
      </c>
      <c r="B38" s="46" t="str">
        <f>IF(A38="","",INDEX('Mii List'!B$2:B$200,MATCH(A38,'Mii List'!A$2:A$200,0)))</f>
        <v>Male</v>
      </c>
      <c r="C38" s="46" t="str">
        <f>IF(A38="","",INDEX('Mii List'!C$2:C$200,MATCH(A38,'Mii List'!A$2:A$200,0)))</f>
        <v>✗</v>
      </c>
      <c r="D38" s="46" t="str">
        <f>IF(A38="","",INDEX('Mii List'!D$2:D$200,MATCH(A38,'Mii List'!A$2:A$200,0)))</f>
        <v>✓</v>
      </c>
      <c r="E38" s="46" t="str">
        <f>IF(A38="","",INDEX('Mii List'!E$2:E$200,MATCH(A38,'Mii List'!A$2:A$200,0)))</f>
        <v>✗</v>
      </c>
      <c r="F38" s="46">
        <f t="shared" si="0"/>
        <v>0</v>
      </c>
      <c r="G38" s="46">
        <f t="shared" si="1"/>
        <v>1</v>
      </c>
      <c r="H38" s="46">
        <f t="shared" si="2"/>
        <v>0</v>
      </c>
      <c r="I38" s="46">
        <f t="shared" si="3"/>
        <v>1</v>
      </c>
      <c r="J38" s="46">
        <f t="shared" si="4"/>
        <v>0</v>
      </c>
      <c r="K38" s="46">
        <f t="shared" si="5"/>
        <v>0</v>
      </c>
      <c r="L38" s="46" cm="1">
        <f t="array" ref="L38">IF(A38="",0,SUMPRODUCT((A$2:A$201&lt;&gt;"")*((F$2:F$201*I38+G$2:G$201*J38+H$2:H$201*K38)&gt;0)*((F38*I$2:I$201+G38*J$2:J$201+H38*K$2:K$201)&gt;0))-IF(F38*I38+G38*J38+H38*K38&gt;0,1,0))</f>
        <v>14</v>
      </c>
      <c r="M38" s="46" cm="1">
        <f t="array" ref="M38">IF(A38="","",SUMPRODUCT((A$2:A$201&lt;&gt;"")*(L$2:L$201&lt;L38))+SUMPRODUCT((A$2:A$201&lt;&gt;"")*(L$2:L$201=L38)*(A$2:A$201&lt;A38))+1)</f>
        <v>16</v>
      </c>
      <c r="N38" s="46" cm="1">
        <f t="array" aca="1" ref="N38" ca="1">IF(A38="","",SUMPRODUCT(((OFFSET(F$2,0,0,COUNTA('Mii List'!A$2:A$200),1)*I38+OFFSET(G$2,0,0,COUNTA('Mii List'!A$2:A$200),1)*J38+OFFSET(H$2,0,0,COUNTA('Mii List'!A$2:A$200),1)*K38)&gt;0)*((F38*OFFSET(I$2,0,0,COUNTA('Mii List'!A$2:A$200),1)+G38*OFFSET(J$2,0,0,COUNTA('Mii List'!A$2:A$200),1)+H38*OFFSET(K$2,0,0,COUNTA('Mii List'!A$2:A$200),1))&gt;0)*(ROW(OFFSET($A$2,0,0,COUNTA('Mii List'!A$2:A$200),1))&lt;&gt;ROW())*IF(OFFSET(L$2,0,0,COUNTA('Mii List'!A$2:A$200),1)&gt;0,1/OFFSET(L$2,0,0,COUNTA('Mii List'!A$2:A$200),1),0)))</f>
        <v>0.41771528613633857</v>
      </c>
      <c r="O38" s="46" cm="1">
        <f t="array" aca="1" ref="O38" ca="1">IF(A38="","",IF(L38=0,0,SUMPRODUCT(((OFFSET(F$2,0,0,COUNTA('Mii List'!A$2:A$200),1)*I38+OFFSET(G$2,0,0,COUNTA('Mii List'!A$2:A$200),1)*J38+OFFSET(H$2,0,0,COUNTA('Mii List'!A$2:A$200),1)*K38)&gt;0)*((F38*OFFSET(I$2,0,0,COUNTA('Mii List'!A$2:A$200),1)+G38*OFFSET(J$2,0,0,COUNTA('Mii List'!A$2:A$200),1)+H38*OFFSET(K$2,0,0,COUNTA('Mii List'!A$2:A$200),1))&gt;0)*(ROW(OFFSET($A$2,0,0,COUNTA('Mii List'!A$2:A$200),1))&lt;&gt;ROW())*OFFSET(L$2,0,0,COUNTA('Mii List'!A$2:A$200),1))/L38))</f>
        <v>34.5</v>
      </c>
      <c r="P38" s="46">
        <f t="shared" ca="1" si="6"/>
        <v>0.40579710144927539</v>
      </c>
    </row>
    <row r="39" spans="1:16" x14ac:dyDescent="0.35">
      <c r="A39" s="46" t="str" cm="1">
        <f t="array" ref="A39">IF(ROW()-1&gt;COUNTA('Mii List'!A$2:A$200),"",INDEX('Mii List'!A$2:A$200,ROW()-1))</f>
        <v>Aradia Megido</v>
      </c>
      <c r="B39" s="46" t="str">
        <f>IF(A39="","",INDEX('Mii List'!B$2:B$200,MATCH(A39,'Mii List'!A$2:A$200,0)))</f>
        <v>Female</v>
      </c>
      <c r="C39" s="46" t="str">
        <f>IF(A39="","",INDEX('Mii List'!C$2:C$200,MATCH(A39,'Mii List'!A$2:A$200,0)))</f>
        <v>✓</v>
      </c>
      <c r="D39" s="46" t="str">
        <f>IF(A39="","",INDEX('Mii List'!D$2:D$200,MATCH(A39,'Mii List'!A$2:A$200,0)))</f>
        <v>✓</v>
      </c>
      <c r="E39" s="46" t="str">
        <f>IF(A39="","",INDEX('Mii List'!E$2:E$200,MATCH(A39,'Mii List'!A$2:A$200,0)))</f>
        <v>✓</v>
      </c>
      <c r="F39" s="46">
        <f t="shared" si="0"/>
        <v>1</v>
      </c>
      <c r="G39" s="46">
        <f t="shared" si="1"/>
        <v>1</v>
      </c>
      <c r="H39" s="46">
        <f t="shared" si="2"/>
        <v>1</v>
      </c>
      <c r="I39" s="46">
        <f t="shared" si="3"/>
        <v>0</v>
      </c>
      <c r="J39" s="46">
        <f t="shared" si="4"/>
        <v>1</v>
      </c>
      <c r="K39" s="46">
        <f t="shared" si="5"/>
        <v>0</v>
      </c>
      <c r="L39" s="46" cm="1">
        <f t="array" ref="L39">IF(A39="",0,SUMPRODUCT((A$2:A$201&lt;&gt;"")*((F$2:F$201*I39+G$2:G$201*J39+H$2:H$201*K39)&gt;0)*((F39*I$2:I$201+G39*J$2:J$201+H39*K$2:K$201)&gt;0))-IF(F39*I39+G39*J39+H39*K39&gt;0,1,0))</f>
        <v>38</v>
      </c>
      <c r="M39" s="46" cm="1">
        <f t="array" ref="M39">IF(A39="","",SUMPRODUCT((A$2:A$201&lt;&gt;"")*(L$2:L$201&lt;L39))+SUMPRODUCT((A$2:A$201&lt;&gt;"")*(L$2:L$201=L39)*(A$2:A$201&lt;A39))+1)</f>
        <v>42</v>
      </c>
      <c r="N39" s="46" cm="1">
        <f t="array" aca="1" ref="N39" ca="1">IF(A39="","",SUMPRODUCT(((OFFSET(F$2,0,0,COUNTA('Mii List'!A$2:A$200),1)*I39+OFFSET(G$2,0,0,COUNTA('Mii List'!A$2:A$200),1)*J39+OFFSET(H$2,0,0,COUNTA('Mii List'!A$2:A$200),1)*K39)&gt;0)*((F39*OFFSET(I$2,0,0,COUNTA('Mii List'!A$2:A$200),1)+G39*OFFSET(J$2,0,0,COUNTA('Mii List'!A$2:A$200),1)+H39*OFFSET(K$2,0,0,COUNTA('Mii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39" s="46" cm="1">
        <f t="array" aca="1" ref="O39" ca="1">IF(A39="","",IF(L39=0,0,SUMPRODUCT(((OFFSET(F$2,0,0,COUNTA('Mii List'!A$2:A$200),1)*I39+OFFSET(G$2,0,0,COUNTA('Mii List'!A$2:A$200),1)*J39+OFFSET(H$2,0,0,COUNTA('Mii List'!A$2:A$200),1)*K39)&gt;0)*((F39*OFFSET(I$2,0,0,COUNTA('Mii List'!A$2:A$200),1)+G39*OFFSET(J$2,0,0,COUNTA('Mii List'!A$2:A$200),1)+H39*OFFSET(K$2,0,0,COUNTA('Mii List'!A$2:A$200),1))&gt;0)*(ROW(OFFSET($A$2,0,0,COUNTA('Mii List'!A$2:A$200),1))&lt;&gt;ROW())*OFFSET(L$2,0,0,COUNTA('Mii List'!A$2:A$200),1))/L39))</f>
        <v>25.44736842105263</v>
      </c>
      <c r="P39" s="46">
        <f t="shared" ca="1" si="6"/>
        <v>1</v>
      </c>
    </row>
    <row r="40" spans="1:16" x14ac:dyDescent="0.35">
      <c r="A40" s="46" t="str" cm="1">
        <f t="array" ref="A40">IF(ROW()-1&gt;COUNTA('Mii List'!A$2:A$200),"",INDEX('Mii List'!A$2:A$200,ROW()-1))</f>
        <v>Tavros Nitram</v>
      </c>
      <c r="B40" s="46" t="str">
        <f>IF(A40="","",INDEX('Mii List'!B$2:B$200,MATCH(A40,'Mii List'!A$2:A$200,0)))</f>
        <v>Male</v>
      </c>
      <c r="C40" s="46" t="str">
        <f>IF(A40="","",INDEX('Mii List'!C$2:C$200,MATCH(A40,'Mii List'!A$2:A$200,0)))</f>
        <v>✓</v>
      </c>
      <c r="D40" s="46" t="str">
        <f>IF(A40="","",INDEX('Mii List'!D$2:D$200,MATCH(A40,'Mii List'!A$2:A$200,0)))</f>
        <v>✓</v>
      </c>
      <c r="E40" s="46" t="str">
        <f>IF(A40="","",INDEX('Mii List'!E$2:E$200,MATCH(A40,'Mii List'!A$2:A$200,0)))</f>
        <v>✓</v>
      </c>
      <c r="F40" s="46">
        <f t="shared" si="0"/>
        <v>1</v>
      </c>
      <c r="G40" s="46">
        <f t="shared" si="1"/>
        <v>1</v>
      </c>
      <c r="H40" s="46">
        <f t="shared" si="2"/>
        <v>1</v>
      </c>
      <c r="I40" s="46">
        <f t="shared" si="3"/>
        <v>1</v>
      </c>
      <c r="J40" s="46">
        <f t="shared" si="4"/>
        <v>0</v>
      </c>
      <c r="K40" s="46">
        <f t="shared" si="5"/>
        <v>0</v>
      </c>
      <c r="L40" s="46" cm="1">
        <f t="array" ref="L40">IF(A40="",0,SUMPRODUCT((A$2:A$201&lt;&gt;"")*((F$2:F$201*I40+G$2:G$201*J40+H$2:H$201*K40)&gt;0)*((F40*I$2:I$201+G40*J$2:J$201+H40*K$2:K$201)&gt;0))-IF(F40*I40+G40*J40+H40*K40&gt;0,1,0))</f>
        <v>32</v>
      </c>
      <c r="M40" s="46" cm="1">
        <f t="array" ref="M40">IF(A40="","",SUMPRODUCT((A$2:A$201&lt;&gt;"")*(L$2:L$201&lt;L40))+SUMPRODUCT((A$2:A$201&lt;&gt;"")*(L$2:L$201=L40)*(A$2:A$201&lt;A40))+1)</f>
        <v>40</v>
      </c>
      <c r="N40" s="46" cm="1">
        <f t="array" aca="1" ref="N40" ca="1">IF(A40="","",SUMPRODUCT(((OFFSET(F$2,0,0,COUNTA('Mii List'!A$2:A$200),1)*I40+OFFSET(G$2,0,0,COUNTA('Mii List'!A$2:A$200),1)*J40+OFFSET(H$2,0,0,COUNTA('Mii List'!A$2:A$200),1)*K40)&gt;0)*((F40*OFFSET(I$2,0,0,COUNTA('Mii List'!A$2:A$200),1)+G40*OFFSET(J$2,0,0,COUNTA('Mii List'!A$2:A$200),1)+H40*OFFSET(K$2,0,0,COUNTA('Mii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0" s="46" cm="1">
        <f t="array" aca="1" ref="O40" ca="1">IF(A40="","",IF(L40=0,0,SUMPRODUCT(((OFFSET(F$2,0,0,COUNTA('Mii List'!A$2:A$200),1)*I40+OFFSET(G$2,0,0,COUNTA('Mii List'!A$2:A$200),1)*J40+OFFSET(H$2,0,0,COUNTA('Mii List'!A$2:A$200),1)*K40)&gt;0)*((F40*OFFSET(I$2,0,0,COUNTA('Mii List'!A$2:A$200),1)+G40*OFFSET(J$2,0,0,COUNTA('Mii List'!A$2:A$200),1)+H40*OFFSET(K$2,0,0,COUNTA('Mii List'!A$2:A$200),1))&gt;0)*(ROW(OFFSET($A$2,0,0,COUNTA('Mii List'!A$2:A$200),1))&lt;&gt;ROW())*OFFSET(L$2,0,0,COUNTA('Mii List'!A$2:A$200),1))/L40))</f>
        <v>30.03125</v>
      </c>
      <c r="P40" s="46">
        <f t="shared" ca="1" si="6"/>
        <v>1</v>
      </c>
    </row>
    <row r="41" spans="1:16" x14ac:dyDescent="0.35">
      <c r="A41" s="46" t="str" cm="1">
        <f t="array" ref="A41">IF(ROW()-1&gt;COUNTA('Mii List'!A$2:A$200),"",INDEX('Mii List'!A$2:A$200,ROW()-1))</f>
        <v>Sollux Captor</v>
      </c>
      <c r="B41" s="46" t="str">
        <f>IF(A41="","",INDEX('Mii List'!B$2:B$200,MATCH(A41,'Mii List'!A$2:A$200,0)))</f>
        <v>Male</v>
      </c>
      <c r="C41" s="46" t="str">
        <f>IF(A41="","",INDEX('Mii List'!C$2:C$200,MATCH(A41,'Mii List'!A$2:A$200,0)))</f>
        <v>✓</v>
      </c>
      <c r="D41" s="46" t="str">
        <f>IF(A41="","",INDEX('Mii List'!D$2:D$200,MATCH(A41,'Mii List'!A$2:A$200,0)))</f>
        <v>✓</v>
      </c>
      <c r="E41" s="46" t="str">
        <f>IF(A41="","",INDEX('Mii List'!E$2:E$200,MATCH(A41,'Mii List'!A$2:A$200,0)))</f>
        <v>✓</v>
      </c>
      <c r="F41" s="46">
        <f t="shared" si="0"/>
        <v>1</v>
      </c>
      <c r="G41" s="46">
        <f t="shared" si="1"/>
        <v>1</v>
      </c>
      <c r="H41" s="46">
        <f t="shared" si="2"/>
        <v>1</v>
      </c>
      <c r="I41" s="46">
        <f t="shared" si="3"/>
        <v>1</v>
      </c>
      <c r="J41" s="46">
        <f t="shared" si="4"/>
        <v>0</v>
      </c>
      <c r="K41" s="46">
        <f t="shared" si="5"/>
        <v>0</v>
      </c>
      <c r="L41" s="46" cm="1">
        <f t="array" ref="L41">IF(A41="",0,SUMPRODUCT((A$2:A$201&lt;&gt;"")*((F$2:F$201*I41+G$2:G$201*J41+H$2:H$201*K41)&gt;0)*((F41*I$2:I$201+G41*J$2:J$201+H41*K$2:K$201)&gt;0))-IF(F41*I41+G41*J41+H41*K41&gt;0,1,0))</f>
        <v>32</v>
      </c>
      <c r="M41" s="46" cm="1">
        <f t="array" ref="M41">IF(A41="","",SUMPRODUCT((A$2:A$201&lt;&gt;"")*(L$2:L$201&lt;L41))+SUMPRODUCT((A$2:A$201&lt;&gt;"")*(L$2:L$201=L41)*(A$2:A$201&lt;A41))+1)</f>
        <v>39</v>
      </c>
      <c r="N41" s="46" cm="1">
        <f t="array" aca="1" ref="N41" ca="1">IF(A41="","",SUMPRODUCT(((OFFSET(F$2,0,0,COUNTA('Mii List'!A$2:A$200),1)*I41+OFFSET(G$2,0,0,COUNTA('Mii List'!A$2:A$200),1)*J41+OFFSET(H$2,0,0,COUNTA('Mii List'!A$2:A$200),1)*K41)&gt;0)*((F41*OFFSET(I$2,0,0,COUNTA('Mii List'!A$2:A$200),1)+G41*OFFSET(J$2,0,0,COUNTA('Mii List'!A$2:A$200),1)+H41*OFFSET(K$2,0,0,COUNTA('Mii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1" s="46" cm="1">
        <f t="array" aca="1" ref="O41" ca="1">IF(A41="","",IF(L41=0,0,SUMPRODUCT(((OFFSET(F$2,0,0,COUNTA('Mii List'!A$2:A$200),1)*I41+OFFSET(G$2,0,0,COUNTA('Mii List'!A$2:A$200),1)*J41+OFFSET(H$2,0,0,COUNTA('Mii List'!A$2:A$200),1)*K41)&gt;0)*((F41*OFFSET(I$2,0,0,COUNTA('Mii List'!A$2:A$200),1)+G41*OFFSET(J$2,0,0,COUNTA('Mii List'!A$2:A$200),1)+H41*OFFSET(K$2,0,0,COUNTA('Mii List'!A$2:A$200),1))&gt;0)*(ROW(OFFSET($A$2,0,0,COUNTA('Mii List'!A$2:A$200),1))&lt;&gt;ROW())*OFFSET(L$2,0,0,COUNTA('Mii List'!A$2:A$200),1))/L41))</f>
        <v>30.03125</v>
      </c>
      <c r="P41" s="46">
        <f t="shared" ca="1" si="6"/>
        <v>1</v>
      </c>
    </row>
    <row r="42" spans="1:16" x14ac:dyDescent="0.35">
      <c r="A42" s="46" t="str" cm="1">
        <f t="array" ref="A42">IF(ROW()-1&gt;COUNTA('Mii List'!A$2:A$200),"",INDEX('Mii List'!A$2:A$200,ROW()-1))</f>
        <v>Karkat Vantas</v>
      </c>
      <c r="B42" s="46" t="str">
        <f>IF(A42="","",INDEX('Mii List'!B$2:B$200,MATCH(A42,'Mii List'!A$2:A$200,0)))</f>
        <v>Male</v>
      </c>
      <c r="C42" s="46" t="str">
        <f>IF(A42="","",INDEX('Mii List'!C$2:C$200,MATCH(A42,'Mii List'!A$2:A$200,0)))</f>
        <v>✓</v>
      </c>
      <c r="D42" s="46" t="str">
        <f>IF(A42="","",INDEX('Mii List'!D$2:D$200,MATCH(A42,'Mii List'!A$2:A$200,0)))</f>
        <v>✓</v>
      </c>
      <c r="E42" s="46" t="str">
        <f>IF(A42="","",INDEX('Mii List'!E$2:E$200,MATCH(A42,'Mii List'!A$2:A$200,0)))</f>
        <v>✓</v>
      </c>
      <c r="F42" s="46">
        <f t="shared" si="0"/>
        <v>1</v>
      </c>
      <c r="G42" s="46">
        <f t="shared" si="1"/>
        <v>1</v>
      </c>
      <c r="H42" s="46">
        <f t="shared" si="2"/>
        <v>1</v>
      </c>
      <c r="I42" s="46">
        <f t="shared" si="3"/>
        <v>1</v>
      </c>
      <c r="J42" s="46">
        <f t="shared" si="4"/>
        <v>0</v>
      </c>
      <c r="K42" s="46">
        <f t="shared" si="5"/>
        <v>0</v>
      </c>
      <c r="L42" s="46" cm="1">
        <f t="array" ref="L42">IF(A42="",0,SUMPRODUCT((A$2:A$201&lt;&gt;"")*((F$2:F$201*I42+G$2:G$201*J42+H$2:H$201*K42)&gt;0)*((F42*I$2:I$201+G42*J$2:J$201+H42*K$2:K$201)&gt;0))-IF(F42*I42+G42*J42+H42*K42&gt;0,1,0))</f>
        <v>32</v>
      </c>
      <c r="M42" s="46" cm="1">
        <f t="array" ref="M42">IF(A42="","",SUMPRODUCT((A$2:A$201&lt;&gt;"")*(L$2:L$201&lt;L42))+SUMPRODUCT((A$2:A$201&lt;&gt;"")*(L$2:L$201=L42)*(A$2:A$201&lt;A42))+1)</f>
        <v>36</v>
      </c>
      <c r="N42" s="46" cm="1">
        <f t="array" aca="1" ref="N42" ca="1">IF(A42="","",SUMPRODUCT(((OFFSET(F$2,0,0,COUNTA('Mii List'!A$2:A$200),1)*I42+OFFSET(G$2,0,0,COUNTA('Mii List'!A$2:A$200),1)*J42+OFFSET(H$2,0,0,COUNTA('Mii List'!A$2:A$200),1)*K42)&gt;0)*((F42*OFFSET(I$2,0,0,COUNTA('Mii List'!A$2:A$200),1)+G42*OFFSET(J$2,0,0,COUNTA('Mii List'!A$2:A$200),1)+H42*OFFSET(K$2,0,0,COUNTA('Mii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2" s="46" cm="1">
        <f t="array" aca="1" ref="O42" ca="1">IF(A42="","",IF(L42=0,0,SUMPRODUCT(((OFFSET(F$2,0,0,COUNTA('Mii List'!A$2:A$200),1)*I42+OFFSET(G$2,0,0,COUNTA('Mii List'!A$2:A$200),1)*J42+OFFSET(H$2,0,0,COUNTA('Mii List'!A$2:A$200),1)*K42)&gt;0)*((F42*OFFSET(I$2,0,0,COUNTA('Mii List'!A$2:A$200),1)+G42*OFFSET(J$2,0,0,COUNTA('Mii List'!A$2:A$200),1)+H42*OFFSET(K$2,0,0,COUNTA('Mii List'!A$2:A$200),1))&gt;0)*(ROW(OFFSET($A$2,0,0,COUNTA('Mii List'!A$2:A$200),1))&lt;&gt;ROW())*OFFSET(L$2,0,0,COUNTA('Mii List'!A$2:A$200),1))/L42))</f>
        <v>30.03125</v>
      </c>
      <c r="P42" s="46">
        <f t="shared" ca="1" si="6"/>
        <v>1</v>
      </c>
    </row>
    <row r="43" spans="1:16" x14ac:dyDescent="0.35">
      <c r="A43" s="46" t="str" cm="1">
        <f t="array" ref="A43">IF(ROW()-1&gt;COUNTA('Mii List'!A$2:A$200),"",INDEX('Mii List'!A$2:A$200,ROW()-1))</f>
        <v>Nepeta Leijon</v>
      </c>
      <c r="B43" s="46" t="str">
        <f>IF(A43="","",INDEX('Mii List'!B$2:B$200,MATCH(A43,'Mii List'!A$2:A$200,0)))</f>
        <v>Female</v>
      </c>
      <c r="C43" s="46" t="str">
        <f>IF(A43="","",INDEX('Mii List'!C$2:C$200,MATCH(A43,'Mii List'!A$2:A$200,0)))</f>
        <v>✓</v>
      </c>
      <c r="D43" s="46" t="str">
        <f>IF(A43="","",INDEX('Mii List'!D$2:D$200,MATCH(A43,'Mii List'!A$2:A$200,0)))</f>
        <v>✓</v>
      </c>
      <c r="E43" s="46" t="str">
        <f>IF(A43="","",INDEX('Mii List'!E$2:E$200,MATCH(A43,'Mii List'!A$2:A$200,0)))</f>
        <v>✓</v>
      </c>
      <c r="F43" s="46">
        <f t="shared" si="0"/>
        <v>1</v>
      </c>
      <c r="G43" s="46">
        <f t="shared" si="1"/>
        <v>1</v>
      </c>
      <c r="H43" s="46">
        <f t="shared" si="2"/>
        <v>1</v>
      </c>
      <c r="I43" s="46">
        <f t="shared" si="3"/>
        <v>0</v>
      </c>
      <c r="J43" s="46">
        <f t="shared" si="4"/>
        <v>1</v>
      </c>
      <c r="K43" s="46">
        <f t="shared" si="5"/>
        <v>0</v>
      </c>
      <c r="L43" s="46" cm="1">
        <f t="array" ref="L43">IF(A43="",0,SUMPRODUCT((A$2:A$201&lt;&gt;"")*((F$2:F$201*I43+G$2:G$201*J43+H$2:H$201*K43)&gt;0)*((F43*I$2:I$201+G43*J$2:J$201+H43*K$2:K$201)&gt;0))-IF(F43*I43+G43*J43+H43*K43&gt;0,1,0))</f>
        <v>38</v>
      </c>
      <c r="M43" s="46" cm="1">
        <f t="array" ref="M43">IF(A43="","",SUMPRODUCT((A$2:A$201&lt;&gt;"")*(L$2:L$201&lt;L43))+SUMPRODUCT((A$2:A$201&lt;&gt;"")*(L$2:L$201=L43)*(A$2:A$201&lt;A43))+1)</f>
        <v>47</v>
      </c>
      <c r="N43" s="46" cm="1">
        <f t="array" aca="1" ref="N43" ca="1">IF(A43="","",SUMPRODUCT(((OFFSET(F$2,0,0,COUNTA('Mii List'!A$2:A$200),1)*I43+OFFSET(G$2,0,0,COUNTA('Mii List'!A$2:A$200),1)*J43+OFFSET(H$2,0,0,COUNTA('Mii List'!A$2:A$200),1)*K43)&gt;0)*((F43*OFFSET(I$2,0,0,COUNTA('Mii List'!A$2:A$200),1)+G43*OFFSET(J$2,0,0,COUNTA('Mii List'!A$2:A$200),1)+H43*OFFSET(K$2,0,0,COUNTA('Mii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43" s="46" cm="1">
        <f t="array" aca="1" ref="O43" ca="1">IF(A43="","",IF(L43=0,0,SUMPRODUCT(((OFFSET(F$2,0,0,COUNTA('Mii List'!A$2:A$200),1)*I43+OFFSET(G$2,0,0,COUNTA('Mii List'!A$2:A$200),1)*J43+OFFSET(H$2,0,0,COUNTA('Mii List'!A$2:A$200),1)*K43)&gt;0)*((F43*OFFSET(I$2,0,0,COUNTA('Mii List'!A$2:A$200),1)+G43*OFFSET(J$2,0,0,COUNTA('Mii List'!A$2:A$200),1)+H43*OFFSET(K$2,0,0,COUNTA('Mii List'!A$2:A$200),1))&gt;0)*(ROW(OFFSET($A$2,0,0,COUNTA('Mii List'!A$2:A$200),1))&lt;&gt;ROW())*OFFSET(L$2,0,0,COUNTA('Mii List'!A$2:A$200),1))/L43))</f>
        <v>25.44736842105263</v>
      </c>
      <c r="P43" s="46">
        <f t="shared" ca="1" si="6"/>
        <v>1</v>
      </c>
    </row>
    <row r="44" spans="1:16" x14ac:dyDescent="0.35">
      <c r="A44" s="46" t="str" cm="1">
        <f t="array" ref="A44">IF(ROW()-1&gt;COUNTA('Mii List'!A$2:A$200),"",INDEX('Mii List'!A$2:A$200,ROW()-1))</f>
        <v>Kanaya Maryam</v>
      </c>
      <c r="B44" s="46" t="str">
        <f>IF(A44="","",INDEX('Mii List'!B$2:B$200,MATCH(A44,'Mii List'!A$2:A$200,0)))</f>
        <v>Female</v>
      </c>
      <c r="C44" s="46" t="str">
        <f>IF(A44="","",INDEX('Mii List'!C$2:C$200,MATCH(A44,'Mii List'!A$2:A$200,0)))</f>
        <v>✗</v>
      </c>
      <c r="D44" s="46" t="str">
        <f>IF(A44="","",INDEX('Mii List'!D$2:D$200,MATCH(A44,'Mii List'!A$2:A$200,0)))</f>
        <v>✓</v>
      </c>
      <c r="E44" s="46" t="str">
        <f>IF(A44="","",INDEX('Mii List'!E$2:E$200,MATCH(A44,'Mii List'!A$2:A$200,0)))</f>
        <v>✗</v>
      </c>
      <c r="F44" s="46">
        <f t="shared" si="0"/>
        <v>0</v>
      </c>
      <c r="G44" s="46">
        <f t="shared" si="1"/>
        <v>1</v>
      </c>
      <c r="H44" s="46">
        <f t="shared" si="2"/>
        <v>0</v>
      </c>
      <c r="I44" s="46">
        <f t="shared" si="3"/>
        <v>0</v>
      </c>
      <c r="J44" s="46">
        <f t="shared" si="4"/>
        <v>1</v>
      </c>
      <c r="K44" s="46">
        <f t="shared" si="5"/>
        <v>0</v>
      </c>
      <c r="L44" s="46" cm="1">
        <f t="array" ref="L44">IF(A44="",0,SUMPRODUCT((A$2:A$201&lt;&gt;"")*((F$2:F$201*I44+G$2:G$201*J44+H$2:H$201*K44)&gt;0)*((F44*I$2:I$201+G44*J$2:J$201+H44*K$2:K$201)&gt;0))-IF(F44*I44+G44*J44+H44*K44&gt;0,1,0))</f>
        <v>11</v>
      </c>
      <c r="M44" s="46" cm="1">
        <f t="array" ref="M44">IF(A44="","",SUMPRODUCT((A$2:A$201&lt;&gt;"")*(L$2:L$201&lt;L44))+SUMPRODUCT((A$2:A$201&lt;&gt;"")*(L$2:L$201=L44)*(A$2:A$201&lt;A44))+1)</f>
        <v>2</v>
      </c>
      <c r="N44" s="46" cm="1">
        <f t="array" aca="1" ref="N44" ca="1">IF(A44="","",SUMPRODUCT(((OFFSET(F$2,0,0,COUNTA('Mii List'!A$2:A$200),1)*I44+OFFSET(G$2,0,0,COUNTA('Mii List'!A$2:A$200),1)*J44+OFFSET(H$2,0,0,COUNTA('Mii List'!A$2:A$200),1)*K44)&gt;0)*((F44*OFFSET(I$2,0,0,COUNTA('Mii List'!A$2:A$200),1)+G44*OFFSET(J$2,0,0,COUNTA('Mii List'!A$2:A$200),1)+H44*OFFSET(K$2,0,0,COUNTA('Mii List'!A$2:A$200),1))&gt;0)*(ROW(OFFSET($A$2,0,0,COUNTA('Mii List'!A$2:A$200),1))&lt;&gt;ROW())*IF(OFFSET(L$2,0,0,COUNTA('Mii List'!A$2:A$200),1)&gt;0,1/OFFSET(L$2,0,0,COUNTA('Mii List'!A$2:A$200),1),0)))</f>
        <v>0.35477822319927577</v>
      </c>
      <c r="O44" s="46" cm="1">
        <f t="array" aca="1" ref="O44" ca="1">IF(A44="","",IF(L44=0,0,SUMPRODUCT(((OFFSET(F$2,0,0,COUNTA('Mii List'!A$2:A$200),1)*I44+OFFSET(G$2,0,0,COUNTA('Mii List'!A$2:A$200),1)*J44+OFFSET(H$2,0,0,COUNTA('Mii List'!A$2:A$200),1)*K44)&gt;0)*((F44*OFFSET(I$2,0,0,COUNTA('Mii List'!A$2:A$200),1)+G44*OFFSET(J$2,0,0,COUNTA('Mii List'!A$2:A$200),1)+H44*OFFSET(K$2,0,0,COUNTA('Mii List'!A$2:A$200),1))&gt;0)*(ROW(OFFSET($A$2,0,0,COUNTA('Mii List'!A$2:A$200),1))&lt;&gt;ROW())*OFFSET(L$2,0,0,COUNTA('Mii List'!A$2:A$200),1))/L44))</f>
        <v>35.454545454545453</v>
      </c>
      <c r="P44" s="46">
        <f t="shared" ca="1" si="6"/>
        <v>0.31025641025641026</v>
      </c>
    </row>
    <row r="45" spans="1:16" x14ac:dyDescent="0.35">
      <c r="A45" s="46" t="str" cm="1">
        <f t="array" ref="A45">IF(ROW()-1&gt;COUNTA('Mii List'!A$2:A$200),"",INDEX('Mii List'!A$2:A$200,ROW()-1))</f>
        <v>Terezi Pyrope</v>
      </c>
      <c r="B45" s="46" t="str">
        <f>IF(A45="","",INDEX('Mii List'!B$2:B$200,MATCH(A45,'Mii List'!A$2:A$200,0)))</f>
        <v>Female</v>
      </c>
      <c r="C45" s="46" t="str">
        <f>IF(A45="","",INDEX('Mii List'!C$2:C$200,MATCH(A45,'Mii List'!A$2:A$200,0)))</f>
        <v>✓</v>
      </c>
      <c r="D45" s="46" t="str">
        <f>IF(A45="","",INDEX('Mii List'!D$2:D$200,MATCH(A45,'Mii List'!A$2:A$200,0)))</f>
        <v>✓</v>
      </c>
      <c r="E45" s="46" t="str">
        <f>IF(A45="","",INDEX('Mii List'!E$2:E$200,MATCH(A45,'Mii List'!A$2:A$200,0)))</f>
        <v>✓</v>
      </c>
      <c r="F45" s="46">
        <f t="shared" si="0"/>
        <v>1</v>
      </c>
      <c r="G45" s="46">
        <f t="shared" si="1"/>
        <v>1</v>
      </c>
      <c r="H45" s="46">
        <f t="shared" si="2"/>
        <v>1</v>
      </c>
      <c r="I45" s="46">
        <f t="shared" si="3"/>
        <v>0</v>
      </c>
      <c r="J45" s="46">
        <f t="shared" si="4"/>
        <v>1</v>
      </c>
      <c r="K45" s="46">
        <f t="shared" si="5"/>
        <v>0</v>
      </c>
      <c r="L45" s="46" cm="1">
        <f t="array" ref="L45">IF(A45="",0,SUMPRODUCT((A$2:A$201&lt;&gt;"")*((F$2:F$201*I45+G$2:G$201*J45+H$2:H$201*K45)&gt;0)*((F45*I$2:I$201+G45*J$2:J$201+H45*K$2:K$201)&gt;0))-IF(F45*I45+G45*J45+H45*K45&gt;0,1,0))</f>
        <v>38</v>
      </c>
      <c r="M45" s="46" cm="1">
        <f t="array" ref="M45">IF(A45="","",SUMPRODUCT((A$2:A$201&lt;&gt;"")*(L$2:L$201&lt;L45))+SUMPRODUCT((A$2:A$201&lt;&gt;"")*(L$2:L$201=L45)*(A$2:A$201&lt;A45))+1)</f>
        <v>49</v>
      </c>
      <c r="N45" s="46" cm="1">
        <f t="array" aca="1" ref="N45" ca="1">IF(A45="","",SUMPRODUCT(((OFFSET(F$2,0,0,COUNTA('Mii List'!A$2:A$200),1)*I45+OFFSET(G$2,0,0,COUNTA('Mii List'!A$2:A$200),1)*J45+OFFSET(H$2,0,0,COUNTA('Mii List'!A$2:A$200),1)*K45)&gt;0)*((F45*OFFSET(I$2,0,0,COUNTA('Mii List'!A$2:A$200),1)+G45*OFFSET(J$2,0,0,COUNTA('Mii List'!A$2:A$200),1)+H45*OFFSET(K$2,0,0,COUNTA('Mii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45" s="46" cm="1">
        <f t="array" aca="1" ref="O45" ca="1">IF(A45="","",IF(L45=0,0,SUMPRODUCT(((OFFSET(F$2,0,0,COUNTA('Mii List'!A$2:A$200),1)*I45+OFFSET(G$2,0,0,COUNTA('Mii List'!A$2:A$200),1)*J45+OFFSET(H$2,0,0,COUNTA('Mii List'!A$2:A$200),1)*K45)&gt;0)*((F45*OFFSET(I$2,0,0,COUNTA('Mii List'!A$2:A$200),1)+G45*OFFSET(J$2,0,0,COUNTA('Mii List'!A$2:A$200),1)+H45*OFFSET(K$2,0,0,COUNTA('Mii List'!A$2:A$200),1))&gt;0)*(ROW(OFFSET($A$2,0,0,COUNTA('Mii List'!A$2:A$200),1))&lt;&gt;ROW())*OFFSET(L$2,0,0,COUNTA('Mii List'!A$2:A$200),1))/L45))</f>
        <v>25.44736842105263</v>
      </c>
      <c r="P45" s="46">
        <f t="shared" ca="1" si="6"/>
        <v>1</v>
      </c>
    </row>
    <row r="46" spans="1:16" x14ac:dyDescent="0.35">
      <c r="A46" s="46" t="str" cm="1">
        <f t="array" ref="A46">IF(ROW()-1&gt;COUNTA('Mii List'!A$2:A$200),"",INDEX('Mii List'!A$2:A$200,ROW()-1))</f>
        <v>Vriska Serket</v>
      </c>
      <c r="B46" s="46" t="str">
        <f>IF(A46="","",INDEX('Mii List'!B$2:B$200,MATCH(A46,'Mii List'!A$2:A$200,0)))</f>
        <v>Female</v>
      </c>
      <c r="C46" s="46" t="str">
        <f>IF(A46="","",INDEX('Mii List'!C$2:C$200,MATCH(A46,'Mii List'!A$2:A$200,0)))</f>
        <v>✓</v>
      </c>
      <c r="D46" s="46" t="str">
        <f>IF(A46="","",INDEX('Mii List'!D$2:D$200,MATCH(A46,'Mii List'!A$2:A$200,0)))</f>
        <v>✓</v>
      </c>
      <c r="E46" s="46" t="str">
        <f>IF(A46="","",INDEX('Mii List'!E$2:E$200,MATCH(A46,'Mii List'!A$2:A$200,0)))</f>
        <v>✓</v>
      </c>
      <c r="F46" s="46">
        <f t="shared" si="0"/>
        <v>1</v>
      </c>
      <c r="G46" s="46">
        <f t="shared" si="1"/>
        <v>1</v>
      </c>
      <c r="H46" s="46">
        <f t="shared" si="2"/>
        <v>1</v>
      </c>
      <c r="I46" s="46">
        <f t="shared" si="3"/>
        <v>0</v>
      </c>
      <c r="J46" s="46">
        <f t="shared" si="4"/>
        <v>1</v>
      </c>
      <c r="K46" s="46">
        <f t="shared" si="5"/>
        <v>0</v>
      </c>
      <c r="L46" s="46" cm="1">
        <f t="array" ref="L46">IF(A46="",0,SUMPRODUCT((A$2:A$201&lt;&gt;"")*((F$2:F$201*I46+G$2:G$201*J46+H$2:H$201*K46)&gt;0)*((F46*I$2:I$201+G46*J$2:J$201+H46*K$2:K$201)&gt;0))-IF(F46*I46+G46*J46+H46*K46&gt;0,1,0))</f>
        <v>38</v>
      </c>
      <c r="M46" s="46" cm="1">
        <f t="array" ref="M46">IF(A46="","",SUMPRODUCT((A$2:A$201&lt;&gt;"")*(L$2:L$201&lt;L46))+SUMPRODUCT((A$2:A$201&lt;&gt;"")*(L$2:L$201=L46)*(A$2:A$201&lt;A46))+1)</f>
        <v>50</v>
      </c>
      <c r="N46" s="46" cm="1">
        <f t="array" aca="1" ref="N46" ca="1">IF(A46="","",SUMPRODUCT(((OFFSET(F$2,0,0,COUNTA('Mii List'!A$2:A$200),1)*I46+OFFSET(G$2,0,0,COUNTA('Mii List'!A$2:A$200),1)*J46+OFFSET(H$2,0,0,COUNTA('Mii List'!A$2:A$200),1)*K46)&gt;0)*((F46*OFFSET(I$2,0,0,COUNTA('Mii List'!A$2:A$200),1)+G46*OFFSET(J$2,0,0,COUNTA('Mii List'!A$2:A$200),1)+H46*OFFSET(K$2,0,0,COUNTA('Mii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46" s="46" cm="1">
        <f t="array" aca="1" ref="O46" ca="1">IF(A46="","",IF(L46=0,0,SUMPRODUCT(((OFFSET(F$2,0,0,COUNTA('Mii List'!A$2:A$200),1)*I46+OFFSET(G$2,0,0,COUNTA('Mii List'!A$2:A$200),1)*J46+OFFSET(H$2,0,0,COUNTA('Mii List'!A$2:A$200),1)*K46)&gt;0)*((F46*OFFSET(I$2,0,0,COUNTA('Mii List'!A$2:A$200),1)+G46*OFFSET(J$2,0,0,COUNTA('Mii List'!A$2:A$200),1)+H46*OFFSET(K$2,0,0,COUNTA('Mii List'!A$2:A$200),1))&gt;0)*(ROW(OFFSET($A$2,0,0,COUNTA('Mii List'!A$2:A$200),1))&lt;&gt;ROW())*OFFSET(L$2,0,0,COUNTA('Mii List'!A$2:A$200),1))/L46))</f>
        <v>25.44736842105263</v>
      </c>
      <c r="P46" s="46">
        <f t="shared" ca="1" si="6"/>
        <v>1</v>
      </c>
    </row>
    <row r="47" spans="1:16" x14ac:dyDescent="0.35">
      <c r="A47" s="46" t="str" cm="1">
        <f t="array" ref="A47">IF(ROW()-1&gt;COUNTA('Mii List'!A$2:A$200),"",INDEX('Mii List'!A$2:A$200,ROW()-1))</f>
        <v>Equius Zahhak</v>
      </c>
      <c r="B47" s="46" t="str">
        <f>IF(A47="","",INDEX('Mii List'!B$2:B$200,MATCH(A47,'Mii List'!A$2:A$200,0)))</f>
        <v>Male</v>
      </c>
      <c r="C47" s="46" t="str">
        <f>IF(A47="","",INDEX('Mii List'!C$2:C$200,MATCH(A47,'Mii List'!A$2:A$200,0)))</f>
        <v>✓</v>
      </c>
      <c r="D47" s="46" t="str">
        <f>IF(A47="","",INDEX('Mii List'!D$2:D$200,MATCH(A47,'Mii List'!A$2:A$200,0)))</f>
        <v>✓</v>
      </c>
      <c r="E47" s="46" t="str">
        <f>IF(A47="","",INDEX('Mii List'!E$2:E$200,MATCH(A47,'Mii List'!A$2:A$200,0)))</f>
        <v>✓</v>
      </c>
      <c r="F47" s="46">
        <f t="shared" si="0"/>
        <v>1</v>
      </c>
      <c r="G47" s="46">
        <f t="shared" si="1"/>
        <v>1</v>
      </c>
      <c r="H47" s="46">
        <f t="shared" si="2"/>
        <v>1</v>
      </c>
      <c r="I47" s="46">
        <f t="shared" si="3"/>
        <v>1</v>
      </c>
      <c r="J47" s="46">
        <f t="shared" si="4"/>
        <v>0</v>
      </c>
      <c r="K47" s="46">
        <f t="shared" si="5"/>
        <v>0</v>
      </c>
      <c r="L47" s="46" cm="1">
        <f t="array" ref="L47">IF(A47="",0,SUMPRODUCT((A$2:A$201&lt;&gt;"")*((F$2:F$201*I47+G$2:G$201*J47+H$2:H$201*K47)&gt;0)*((F47*I$2:I$201+G47*J$2:J$201+H47*K$2:K$201)&gt;0))-IF(F47*I47+G47*J47+H47*K47&gt;0,1,0))</f>
        <v>32</v>
      </c>
      <c r="M47" s="46" cm="1">
        <f t="array" ref="M47">IF(A47="","",SUMPRODUCT((A$2:A$201&lt;&gt;"")*(L$2:L$201&lt;L47))+SUMPRODUCT((A$2:A$201&lt;&gt;"")*(L$2:L$201=L47)*(A$2:A$201&lt;A47))+1)</f>
        <v>31</v>
      </c>
      <c r="N47" s="46" cm="1">
        <f t="array" aca="1" ref="N47" ca="1">IF(A47="","",SUMPRODUCT(((OFFSET(F$2,0,0,COUNTA('Mii List'!A$2:A$200),1)*I47+OFFSET(G$2,0,0,COUNTA('Mii List'!A$2:A$200),1)*J47+OFFSET(H$2,0,0,COUNTA('Mii List'!A$2:A$200),1)*K47)&gt;0)*((F47*OFFSET(I$2,0,0,COUNTA('Mii List'!A$2:A$200),1)+G47*OFFSET(J$2,0,0,COUNTA('Mii List'!A$2:A$200),1)+H47*OFFSET(K$2,0,0,COUNTA('Mii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7" s="46" cm="1">
        <f t="array" aca="1" ref="O47" ca="1">IF(A47="","",IF(L47=0,0,SUMPRODUCT(((OFFSET(F$2,0,0,COUNTA('Mii List'!A$2:A$200),1)*I47+OFFSET(G$2,0,0,COUNTA('Mii List'!A$2:A$200),1)*J47+OFFSET(H$2,0,0,COUNTA('Mii List'!A$2:A$200),1)*K47)&gt;0)*((F47*OFFSET(I$2,0,0,COUNTA('Mii List'!A$2:A$200),1)+G47*OFFSET(J$2,0,0,COUNTA('Mii List'!A$2:A$200),1)+H47*OFFSET(K$2,0,0,COUNTA('Mii List'!A$2:A$200),1))&gt;0)*(ROW(OFFSET($A$2,0,0,COUNTA('Mii List'!A$2:A$200),1))&lt;&gt;ROW())*OFFSET(L$2,0,0,COUNTA('Mii List'!A$2:A$200),1))/L47))</f>
        <v>30.03125</v>
      </c>
      <c r="P47" s="46">
        <f t="shared" ca="1" si="6"/>
        <v>1</v>
      </c>
    </row>
    <row r="48" spans="1:16" x14ac:dyDescent="0.35">
      <c r="A48" s="46" t="str" cm="1">
        <f t="array" ref="A48">IF(ROW()-1&gt;COUNTA('Mii List'!A$2:A$200),"",INDEX('Mii List'!A$2:A$200,ROW()-1))</f>
        <v>Gamzee Makara</v>
      </c>
      <c r="B48" s="46" t="str">
        <f>IF(A48="","",INDEX('Mii List'!B$2:B$200,MATCH(A48,'Mii List'!A$2:A$200,0)))</f>
        <v>Male</v>
      </c>
      <c r="C48" s="46" t="str">
        <f>IF(A48="","",INDEX('Mii List'!C$2:C$200,MATCH(A48,'Mii List'!A$2:A$200,0)))</f>
        <v>✓</v>
      </c>
      <c r="D48" s="46" t="str">
        <f>IF(A48="","",INDEX('Mii List'!D$2:D$200,MATCH(A48,'Mii List'!A$2:A$200,0)))</f>
        <v>✓</v>
      </c>
      <c r="E48" s="46" t="str">
        <f>IF(A48="","",INDEX('Mii List'!E$2:E$200,MATCH(A48,'Mii List'!A$2:A$200,0)))</f>
        <v>✓</v>
      </c>
      <c r="F48" s="46">
        <f t="shared" si="0"/>
        <v>1</v>
      </c>
      <c r="G48" s="46">
        <f t="shared" si="1"/>
        <v>1</v>
      </c>
      <c r="H48" s="46">
        <f t="shared" si="2"/>
        <v>1</v>
      </c>
      <c r="I48" s="46">
        <f t="shared" si="3"/>
        <v>1</v>
      </c>
      <c r="J48" s="46">
        <f t="shared" si="4"/>
        <v>0</v>
      </c>
      <c r="K48" s="46">
        <f t="shared" si="5"/>
        <v>0</v>
      </c>
      <c r="L48" s="46" cm="1">
        <f t="array" ref="L48">IF(A48="",0,SUMPRODUCT((A$2:A$201&lt;&gt;"")*((F$2:F$201*I48+G$2:G$201*J48+H$2:H$201*K48)&gt;0)*((F48*I$2:I$201+G48*J$2:J$201+H48*K$2:K$201)&gt;0))-IF(F48*I48+G48*J48+H48*K48&gt;0,1,0))</f>
        <v>32</v>
      </c>
      <c r="M48" s="46" cm="1">
        <f t="array" ref="M48">IF(A48="","",SUMPRODUCT((A$2:A$201&lt;&gt;"")*(L$2:L$201&lt;L48))+SUMPRODUCT((A$2:A$201&lt;&gt;"")*(L$2:L$201=L48)*(A$2:A$201&lt;A48))+1)</f>
        <v>33</v>
      </c>
      <c r="N48" s="46" cm="1">
        <f t="array" aca="1" ref="N48" ca="1">IF(A48="","",SUMPRODUCT(((OFFSET(F$2,0,0,COUNTA('Mii List'!A$2:A$200),1)*I48+OFFSET(G$2,0,0,COUNTA('Mii List'!A$2:A$200),1)*J48+OFFSET(H$2,0,0,COUNTA('Mii List'!A$2:A$200),1)*K48)&gt;0)*((F48*OFFSET(I$2,0,0,COUNTA('Mii List'!A$2:A$200),1)+G48*OFFSET(J$2,0,0,COUNTA('Mii List'!A$2:A$200),1)+H48*OFFSET(K$2,0,0,COUNTA('Mii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8" s="46" cm="1">
        <f t="array" aca="1" ref="O48" ca="1">IF(A48="","",IF(L48=0,0,SUMPRODUCT(((OFFSET(F$2,0,0,COUNTA('Mii List'!A$2:A$200),1)*I48+OFFSET(G$2,0,0,COUNTA('Mii List'!A$2:A$200),1)*J48+OFFSET(H$2,0,0,COUNTA('Mii List'!A$2:A$200),1)*K48)&gt;0)*((F48*OFFSET(I$2,0,0,COUNTA('Mii List'!A$2:A$200),1)+G48*OFFSET(J$2,0,0,COUNTA('Mii List'!A$2:A$200),1)+H48*OFFSET(K$2,0,0,COUNTA('Mii List'!A$2:A$200),1))&gt;0)*(ROW(OFFSET($A$2,0,0,COUNTA('Mii List'!A$2:A$200),1))&lt;&gt;ROW())*OFFSET(L$2,0,0,COUNTA('Mii List'!A$2:A$200),1))/L48))</f>
        <v>30.03125</v>
      </c>
      <c r="P48" s="46">
        <f t="shared" ca="1" si="6"/>
        <v>1</v>
      </c>
    </row>
    <row r="49" spans="1:16" x14ac:dyDescent="0.35">
      <c r="A49" s="46" t="str" cm="1">
        <f t="array" ref="A49">IF(ROW()-1&gt;COUNTA('Mii List'!A$2:A$200),"",INDEX('Mii List'!A$2:A$200,ROW()-1))</f>
        <v>Eridan Ampora</v>
      </c>
      <c r="B49" s="46" t="str">
        <f>IF(A49="","",INDEX('Mii List'!B$2:B$200,MATCH(A49,'Mii List'!A$2:A$200,0)))</f>
        <v>Male</v>
      </c>
      <c r="C49" s="46" t="str">
        <f>IF(A49="","",INDEX('Mii List'!C$2:C$200,MATCH(A49,'Mii List'!A$2:A$200,0)))</f>
        <v>✓</v>
      </c>
      <c r="D49" s="46" t="str">
        <f>IF(A49="","",INDEX('Mii List'!D$2:D$200,MATCH(A49,'Mii List'!A$2:A$200,0)))</f>
        <v>✓</v>
      </c>
      <c r="E49" s="46" t="str">
        <f>IF(A49="","",INDEX('Mii List'!E$2:E$200,MATCH(A49,'Mii List'!A$2:A$200,0)))</f>
        <v>✓</v>
      </c>
      <c r="F49" s="46">
        <f t="shared" si="0"/>
        <v>1</v>
      </c>
      <c r="G49" s="46">
        <f t="shared" si="1"/>
        <v>1</v>
      </c>
      <c r="H49" s="46">
        <f t="shared" si="2"/>
        <v>1</v>
      </c>
      <c r="I49" s="46">
        <f t="shared" si="3"/>
        <v>1</v>
      </c>
      <c r="J49" s="46">
        <f t="shared" si="4"/>
        <v>0</v>
      </c>
      <c r="K49" s="46">
        <f t="shared" si="5"/>
        <v>0</v>
      </c>
      <c r="L49" s="46" cm="1">
        <f t="array" ref="L49">IF(A49="",0,SUMPRODUCT((A$2:A$201&lt;&gt;"")*((F$2:F$201*I49+G$2:G$201*J49+H$2:H$201*K49)&gt;0)*((F49*I$2:I$201+G49*J$2:J$201+H49*K$2:K$201)&gt;0))-IF(F49*I49+G49*J49+H49*K49&gt;0,1,0))</f>
        <v>32</v>
      </c>
      <c r="M49" s="46" cm="1">
        <f t="array" ref="M49">IF(A49="","",SUMPRODUCT((A$2:A$201&lt;&gt;"")*(L$2:L$201&lt;L49))+SUMPRODUCT((A$2:A$201&lt;&gt;"")*(L$2:L$201=L49)*(A$2:A$201&lt;A49))+1)</f>
        <v>32</v>
      </c>
      <c r="N49" s="46" cm="1">
        <f t="array" aca="1" ref="N49" ca="1">IF(A49="","",SUMPRODUCT(((OFFSET(F$2,0,0,COUNTA('Mii List'!A$2:A$200),1)*I49+OFFSET(G$2,0,0,COUNTA('Mii List'!A$2:A$200),1)*J49+OFFSET(H$2,0,0,COUNTA('Mii List'!A$2:A$200),1)*K49)&gt;0)*((F49*OFFSET(I$2,0,0,COUNTA('Mii List'!A$2:A$200),1)+G49*OFFSET(J$2,0,0,COUNTA('Mii List'!A$2:A$200),1)+H49*OFFSET(K$2,0,0,COUNTA('Mii List'!A$2:A$200),1))&gt;0)*(ROW(OFFSET($A$2,0,0,COUNTA('Mii List'!A$2:A$200),1))&lt;&gt;ROW())*IF(OFFSET(L$2,0,0,COUNTA('Mii List'!A$2:A$200),1)&gt;0,1/OFFSET(L$2,0,0,COUNTA('Mii List'!A$2:A$200),1),0)))</f>
        <v>1.154616749620283</v>
      </c>
      <c r="O49" s="46" cm="1">
        <f t="array" aca="1" ref="O49" ca="1">IF(A49="","",IF(L49=0,0,SUMPRODUCT(((OFFSET(F$2,0,0,COUNTA('Mii List'!A$2:A$200),1)*I49+OFFSET(G$2,0,0,COUNTA('Mii List'!A$2:A$200),1)*J49+OFFSET(H$2,0,0,COUNTA('Mii List'!A$2:A$200),1)*K49)&gt;0)*((F49*OFFSET(I$2,0,0,COUNTA('Mii List'!A$2:A$200),1)+G49*OFFSET(J$2,0,0,COUNTA('Mii List'!A$2:A$200),1)+H49*OFFSET(K$2,0,0,COUNTA('Mii List'!A$2:A$200),1))&gt;0)*(ROW(OFFSET($A$2,0,0,COUNTA('Mii List'!A$2:A$200),1))&lt;&gt;ROW())*OFFSET(L$2,0,0,COUNTA('Mii List'!A$2:A$200),1))/L49))</f>
        <v>30.03125</v>
      </c>
      <c r="P49" s="46">
        <f t="shared" ca="1" si="6"/>
        <v>1</v>
      </c>
    </row>
    <row r="50" spans="1:16" x14ac:dyDescent="0.35">
      <c r="A50" s="46" t="str" cm="1">
        <f t="array" ref="A50">IF(ROW()-1&gt;COUNTA('Mii List'!A$2:A$200),"",INDEX('Mii List'!A$2:A$200,ROW()-1))</f>
        <v>Feferi Peixes</v>
      </c>
      <c r="B50" s="46" t="str">
        <f>IF(A50="","",INDEX('Mii List'!B$2:B$200,MATCH(A50,'Mii List'!A$2:A$200,0)))</f>
        <v>Female</v>
      </c>
      <c r="C50" s="46" t="str">
        <f>IF(A50="","",INDEX('Mii List'!C$2:C$200,MATCH(A50,'Mii List'!A$2:A$200,0)))</f>
        <v>✓</v>
      </c>
      <c r="D50" s="46" t="str">
        <f>IF(A50="","",INDEX('Mii List'!D$2:D$200,MATCH(A50,'Mii List'!A$2:A$200,0)))</f>
        <v>✓</v>
      </c>
      <c r="E50" s="46" t="str">
        <f>IF(A50="","",INDEX('Mii List'!E$2:E$200,MATCH(A50,'Mii List'!A$2:A$200,0)))</f>
        <v>✓</v>
      </c>
      <c r="F50" s="46">
        <f t="shared" si="0"/>
        <v>1</v>
      </c>
      <c r="G50" s="46">
        <f t="shared" si="1"/>
        <v>1</v>
      </c>
      <c r="H50" s="46">
        <f t="shared" si="2"/>
        <v>1</v>
      </c>
      <c r="I50" s="46">
        <f t="shared" si="3"/>
        <v>0</v>
      </c>
      <c r="J50" s="46">
        <f t="shared" si="4"/>
        <v>1</v>
      </c>
      <c r="K50" s="46">
        <f t="shared" si="5"/>
        <v>0</v>
      </c>
      <c r="L50" s="46" cm="1">
        <f t="array" ref="L50">IF(A50="",0,SUMPRODUCT((A$2:A$201&lt;&gt;"")*((F$2:F$201*I50+G$2:G$201*J50+H$2:H$201*K50)&gt;0)*((F50*I$2:I$201+G50*J$2:J$201+H50*K$2:K$201)&gt;0))-IF(F50*I50+G50*J50+H50*K50&gt;0,1,0))</f>
        <v>38</v>
      </c>
      <c r="M50" s="46" cm="1">
        <f t="array" ref="M50">IF(A50="","",SUMPRODUCT((A$2:A$201&lt;&gt;"")*(L$2:L$201&lt;L50))+SUMPRODUCT((A$2:A$201&lt;&gt;"")*(L$2:L$201=L50)*(A$2:A$201&lt;A50))+1)</f>
        <v>44</v>
      </c>
      <c r="N50" s="46" cm="1">
        <f t="array" aca="1" ref="N50" ca="1">IF(A50="","",SUMPRODUCT(((OFFSET(F$2,0,0,COUNTA('Mii List'!A$2:A$200),1)*I50+OFFSET(G$2,0,0,COUNTA('Mii List'!A$2:A$200),1)*J50+OFFSET(H$2,0,0,COUNTA('Mii List'!A$2:A$200),1)*K50)&gt;0)*((F50*OFFSET(I$2,0,0,COUNTA('Mii List'!A$2:A$200),1)+G50*OFFSET(J$2,0,0,COUNTA('Mii List'!A$2:A$200),1)+H50*OFFSET(K$2,0,0,COUNTA('Mii List'!A$2:A$200),1))&gt;0)*(ROW(OFFSET($A$2,0,0,COUNTA('Mii List'!A$2:A$200),1))&lt;&gt;ROW())*IF(OFFSET(L$2,0,0,COUNTA('Mii List'!A$2:A$200),1)&gt;0,1/OFFSET(L$2,0,0,COUNTA('Mii List'!A$2:A$200),1),0)))</f>
        <v>1.8330878807423432</v>
      </c>
      <c r="O50" s="46" cm="1">
        <f t="array" aca="1" ref="O50" ca="1">IF(A50="","",IF(L50=0,0,SUMPRODUCT(((OFFSET(F$2,0,0,COUNTA('Mii List'!A$2:A$200),1)*I50+OFFSET(G$2,0,0,COUNTA('Mii List'!A$2:A$200),1)*J50+OFFSET(H$2,0,0,COUNTA('Mii List'!A$2:A$200),1)*K50)&gt;0)*((F50*OFFSET(I$2,0,0,COUNTA('Mii List'!A$2:A$200),1)+G50*OFFSET(J$2,0,0,COUNTA('Mii List'!A$2:A$200),1)+H50*OFFSET(K$2,0,0,COUNTA('Mii List'!A$2:A$200),1))&gt;0)*(ROW(OFFSET($A$2,0,0,COUNTA('Mii List'!A$2:A$200),1))&lt;&gt;ROW())*OFFSET(L$2,0,0,COUNTA('Mii List'!A$2:A$200),1))/L50))</f>
        <v>25.44736842105263</v>
      </c>
      <c r="P50" s="46">
        <f t="shared" ca="1" si="6"/>
        <v>1</v>
      </c>
    </row>
    <row r="51" spans="1:16" x14ac:dyDescent="0.35">
      <c r="A51" s="46" t="str" cm="1">
        <f t="array" ref="A51">IF(ROW()-1&gt;COUNTA('Mii List'!A$2:A$200),"",INDEX('Mii List'!A$2:A$200,ROW()-1))</f>
        <v>Alvie</v>
      </c>
      <c r="B51" s="46" t="str">
        <f>IF(A51="","",INDEX('Mii List'!B$2:B$200,MATCH(A51,'Mii List'!A$2:A$200,0)))</f>
        <v>Male</v>
      </c>
      <c r="C51" s="46" t="str">
        <f>IF(A51="","",INDEX('Mii List'!C$2:C$200,MATCH(A51,'Mii List'!A$2:A$200,0)))</f>
        <v>✓</v>
      </c>
      <c r="D51" s="46" t="str">
        <f>IF(A51="","",INDEX('Mii List'!D$2:D$200,MATCH(A51,'Mii List'!A$2:A$200,0)))</f>
        <v>✗</v>
      </c>
      <c r="E51" s="46" t="str">
        <f>IF(A51="","",INDEX('Mii List'!E$2:E$200,MATCH(A51,'Mii List'!A$2:A$200,0)))</f>
        <v>✓</v>
      </c>
      <c r="F51" s="46">
        <f t="shared" si="0"/>
        <v>1</v>
      </c>
      <c r="G51" s="46">
        <f t="shared" si="1"/>
        <v>0</v>
      </c>
      <c r="H51" s="46">
        <f t="shared" si="2"/>
        <v>1</v>
      </c>
      <c r="I51" s="46">
        <f t="shared" si="3"/>
        <v>1</v>
      </c>
      <c r="J51" s="46">
        <f t="shared" si="4"/>
        <v>0</v>
      </c>
      <c r="K51" s="46">
        <f t="shared" si="5"/>
        <v>0</v>
      </c>
      <c r="L51" s="46" cm="1">
        <f t="array" ref="L51">IF(A51="",0,SUMPRODUCT((A$2:A$201&lt;&gt;"")*((F$2:F$201*I51+G$2:G$201*J51+H$2:H$201*K51)&gt;0)*((F51*I$2:I$201+G51*J$2:J$201+H51*K$2:K$201)&gt;0))-IF(F51*I51+G51*J51+H51*K51&gt;0,1,0))</f>
        <v>18</v>
      </c>
      <c r="M51" s="46" cm="1">
        <f t="array" ref="M51">IF(A51="","",SUMPRODUCT((A$2:A$201&lt;&gt;"")*(L$2:L$201&lt;L51))+SUMPRODUCT((A$2:A$201&lt;&gt;"")*(L$2:L$201=L51)*(A$2:A$201&lt;A51))+1)</f>
        <v>23</v>
      </c>
      <c r="N51" s="46" cm="1">
        <f t="array" aca="1" ref="N51" ca="1">IF(A51="","",SUMPRODUCT(((OFFSET(F$2,0,0,COUNTA('Mii List'!A$2:A$200),1)*I51+OFFSET(G$2,0,0,COUNTA('Mii List'!A$2:A$200),1)*J51+OFFSET(H$2,0,0,COUNTA('Mii List'!A$2:A$200),1)*K51)&gt;0)*((F51*OFFSET(I$2,0,0,COUNTA('Mii List'!A$2:A$200),1)+G51*OFFSET(J$2,0,0,COUNTA('Mii List'!A$2:A$200),1)+H51*OFFSET(K$2,0,0,COUNTA('Mii List'!A$2:A$200),1))&gt;0)*(ROW(OFFSET($A$2,0,0,COUNTA('Mii List'!A$2:A$200),1))&lt;&gt;ROW())*IF(OFFSET(L$2,0,0,COUNTA('Mii List'!A$2:A$200),1)&gt;0,1/OFFSET(L$2,0,0,COUNTA('Mii List'!A$2:A$200),1),0)))</f>
        <v>0.71259590792838878</v>
      </c>
      <c r="O51" s="46" cm="1">
        <f t="array" aca="1" ref="O51" ca="1">IF(A51="","",IF(L51=0,0,SUMPRODUCT(((OFFSET(F$2,0,0,COUNTA('Mii List'!A$2:A$200),1)*I51+OFFSET(G$2,0,0,COUNTA('Mii List'!A$2:A$200),1)*J51+OFFSET(H$2,0,0,COUNTA('Mii List'!A$2:A$200),1)*K51)&gt;0)*((F51*OFFSET(I$2,0,0,COUNTA('Mii List'!A$2:A$200),1)+G51*OFFSET(J$2,0,0,COUNTA('Mii List'!A$2:A$200),1)+H51*OFFSET(K$2,0,0,COUNTA('Mii List'!A$2:A$200),1))&gt;0)*(ROW(OFFSET($A$2,0,0,COUNTA('Mii List'!A$2:A$200),1))&lt;&gt;ROW())*OFFSET(L$2,0,0,COUNTA('Mii List'!A$2:A$200),1))/L51))</f>
        <v>27.333333333333332</v>
      </c>
      <c r="P51" s="46">
        <f t="shared" ca="1" si="6"/>
        <v>0.65853658536585369</v>
      </c>
    </row>
    <row r="52" spans="1:16" x14ac:dyDescent="0.35">
      <c r="A52" s="46" t="str" cm="1">
        <f t="array" ref="A52">IF(ROW()-1&gt;COUNTA('Mii List'!A$2:A$200),"",INDEX('Mii List'!A$2:A$200,ROW()-1))</f>
        <v/>
      </c>
      <c r="B52" s="46" t="str">
        <f>IF(A52="","",INDEX('Mii List'!B$2:B$200,MATCH(A52,'Mii List'!A$2:A$200,0)))</f>
        <v/>
      </c>
      <c r="C52" s="46" t="str">
        <f>IF(A52="","",INDEX('Mii List'!C$2:C$200,MATCH(A52,'Mii List'!A$2:A$200,0)))</f>
        <v/>
      </c>
      <c r="D52" s="46" t="str">
        <f>IF(A52="","",INDEX('Mii List'!D$2:D$200,MATCH(A52,'Mii List'!A$2:A$200,0)))</f>
        <v/>
      </c>
      <c r="E52" s="46" t="str">
        <f>IF(A52="","",INDEX('Mii List'!E$2:E$200,MATCH(A52,'Mii List'!A$2:A$200,0)))</f>
        <v/>
      </c>
      <c r="F52" s="46">
        <f t="shared" si="0"/>
        <v>0</v>
      </c>
      <c r="G52" s="46">
        <f t="shared" si="1"/>
        <v>0</v>
      </c>
      <c r="H52" s="46">
        <f t="shared" si="2"/>
        <v>0</v>
      </c>
      <c r="I52" s="46">
        <f t="shared" si="3"/>
        <v>0</v>
      </c>
      <c r="J52" s="46">
        <f t="shared" si="4"/>
        <v>0</v>
      </c>
      <c r="K52" s="46">
        <f t="shared" si="5"/>
        <v>0</v>
      </c>
      <c r="L52" s="46" cm="1">
        <f t="array" ref="L52">IF(A52="",0,SUMPRODUCT((A$2:A$201&lt;&gt;"")*((F$2:F$201*I52+G$2:G$201*J52+H$2:H$201*K52)&gt;0)*((F52*I$2:I$201+G52*J$2:J$201+H52*K$2:K$201)&gt;0))-IF(F52*I52+G52*J52+H52*K52&gt;0,1,0))</f>
        <v>0</v>
      </c>
      <c r="M52" s="46" t="str" cm="1">
        <f t="array" ref="M52">IF(A52="","",SUMPRODUCT((A$2:A$201&lt;&gt;"")*(L$2:L$201&lt;L52))+SUMPRODUCT((A$2:A$201&lt;&gt;"")*(L$2:L$201=L52)*(A$2:A$201&lt;A52))+1)</f>
        <v/>
      </c>
      <c r="N52" s="46" t="str" cm="1">
        <f t="array" aca="1" ref="N52" ca="1">IF(A52="","",SUMPRODUCT(((OFFSET(F$2,0,0,COUNTA('Mii List'!A$2:A$200),1)*I52+OFFSET(G$2,0,0,COUNTA('Mii List'!A$2:A$200),1)*J52+OFFSET(H$2,0,0,COUNTA('Mii List'!A$2:A$200),1)*K52)&gt;0)*((F52*OFFSET(I$2,0,0,COUNTA('Mii List'!A$2:A$200),1)+G52*OFFSET(J$2,0,0,COUNTA('Mii List'!A$2:A$200),1)+H52*OFFSET(K$2,0,0,COUNTA('Mii List'!A$2:A$200),1))&gt;0)*(ROW(OFFSET($A$2,0,0,COUNTA('Mii List'!A$2:A$200),1))&lt;&gt;ROW())*IF(OFFSET(L$2,0,0,COUNTA('Mii List'!A$2:A$200),1)&gt;0,1/OFFSET(L$2,0,0,COUNTA('Mii List'!A$2:A$200),1),0)))</f>
        <v/>
      </c>
      <c r="O52" s="46" t="str" cm="1">
        <f t="array" aca="1" ref="O52" ca="1">IF(A52="","",IF(L52=0,0,SUMPRODUCT(((OFFSET(F$2,0,0,COUNTA('Mii List'!A$2:A$200),1)*I52+OFFSET(G$2,0,0,COUNTA('Mii List'!A$2:A$200),1)*J52+OFFSET(H$2,0,0,COUNTA('Mii List'!A$2:A$200),1)*K52)&gt;0)*((F52*OFFSET(I$2,0,0,COUNTA('Mii List'!A$2:A$200),1)+G52*OFFSET(J$2,0,0,COUNTA('Mii List'!A$2:A$200),1)+H52*OFFSET(K$2,0,0,COUNTA('Mii List'!A$2:A$200),1))&gt;0)*(ROW(OFFSET($A$2,0,0,COUNTA('Mii List'!A$2:A$200),1))&lt;&gt;ROW())*OFFSET(L$2,0,0,COUNTA('Mii List'!A$2:A$200),1))/L52))</f>
        <v/>
      </c>
      <c r="P52" s="46" t="str">
        <f t="shared" si="6"/>
        <v/>
      </c>
    </row>
    <row r="53" spans="1:16" x14ac:dyDescent="0.35">
      <c r="A53" s="46" t="str" cm="1">
        <f t="array" ref="A53">IF(ROW()-1&gt;COUNTA('Mii List'!A$2:A$200),"",INDEX('Mii List'!A$2:A$200,ROW()-1))</f>
        <v/>
      </c>
      <c r="B53" s="46" t="str">
        <f>IF(A53="","",INDEX('Mii List'!B$2:B$200,MATCH(A53,'Mii List'!A$2:A$200,0)))</f>
        <v/>
      </c>
      <c r="C53" s="46" t="str">
        <f>IF(A53="","",INDEX('Mii List'!C$2:C$200,MATCH(A53,'Mii List'!A$2:A$200,0)))</f>
        <v/>
      </c>
      <c r="D53" s="46" t="str">
        <f>IF(A53="","",INDEX('Mii List'!D$2:D$200,MATCH(A53,'Mii List'!A$2:A$200,0)))</f>
        <v/>
      </c>
      <c r="E53" s="46" t="str">
        <f>IF(A53="","",INDEX('Mii List'!E$2:E$200,MATCH(A53,'Mii List'!A$2:A$200,0)))</f>
        <v/>
      </c>
      <c r="F53" s="46">
        <f t="shared" si="0"/>
        <v>0</v>
      </c>
      <c r="G53" s="46">
        <f t="shared" si="1"/>
        <v>0</v>
      </c>
      <c r="H53" s="46">
        <f t="shared" si="2"/>
        <v>0</v>
      </c>
      <c r="I53" s="46">
        <f t="shared" si="3"/>
        <v>0</v>
      </c>
      <c r="J53" s="46">
        <f t="shared" si="4"/>
        <v>0</v>
      </c>
      <c r="K53" s="46">
        <f t="shared" si="5"/>
        <v>0</v>
      </c>
      <c r="L53" s="46" cm="1">
        <f t="array" ref="L53">IF(A53="",0,SUMPRODUCT((A$2:A$201&lt;&gt;"")*((F$2:F$201*I53+G$2:G$201*J53+H$2:H$201*K53)&gt;0)*((F53*I$2:I$201+G53*J$2:J$201+H53*K$2:K$201)&gt;0))-IF(F53*I53+G53*J53+H53*K53&gt;0,1,0))</f>
        <v>0</v>
      </c>
      <c r="M53" s="46" t="str" cm="1">
        <f t="array" ref="M53">IF(A53="","",SUMPRODUCT((A$2:A$201&lt;&gt;"")*(L$2:L$201&lt;L53))+SUMPRODUCT((A$2:A$201&lt;&gt;"")*(L$2:L$201=L53)*(A$2:A$201&lt;A53))+1)</f>
        <v/>
      </c>
      <c r="N53" s="46" t="str" cm="1">
        <f t="array" aca="1" ref="N53" ca="1">IF(A53="","",SUMPRODUCT(((OFFSET(F$2,0,0,COUNTA('Mii List'!A$2:A$200),1)*I53+OFFSET(G$2,0,0,COUNTA('Mii List'!A$2:A$200),1)*J53+OFFSET(H$2,0,0,COUNTA('Mii List'!A$2:A$200),1)*K53)&gt;0)*((F53*OFFSET(I$2,0,0,COUNTA('Mii List'!A$2:A$200),1)+G53*OFFSET(J$2,0,0,COUNTA('Mii List'!A$2:A$200),1)+H53*OFFSET(K$2,0,0,COUNTA('Mii List'!A$2:A$200),1))&gt;0)*(ROW(OFFSET($A$2,0,0,COUNTA('Mii List'!A$2:A$200),1))&lt;&gt;ROW())*IF(OFFSET(L$2,0,0,COUNTA('Mii List'!A$2:A$200),1)&gt;0,1/OFFSET(L$2,0,0,COUNTA('Mii List'!A$2:A$200),1),0)))</f>
        <v/>
      </c>
      <c r="O53" s="46" t="str" cm="1">
        <f t="array" aca="1" ref="O53" ca="1">IF(A53="","",IF(L53=0,0,SUMPRODUCT(((OFFSET(F$2,0,0,COUNTA('Mii List'!A$2:A$200),1)*I53+OFFSET(G$2,0,0,COUNTA('Mii List'!A$2:A$200),1)*J53+OFFSET(H$2,0,0,COUNTA('Mii List'!A$2:A$200),1)*K53)&gt;0)*((F53*OFFSET(I$2,0,0,COUNTA('Mii List'!A$2:A$200),1)+G53*OFFSET(J$2,0,0,COUNTA('Mii List'!A$2:A$200),1)+H53*OFFSET(K$2,0,0,COUNTA('Mii List'!A$2:A$200),1))&gt;0)*(ROW(OFFSET($A$2,0,0,COUNTA('Mii List'!A$2:A$200),1))&lt;&gt;ROW())*OFFSET(L$2,0,0,COUNTA('Mii List'!A$2:A$200),1))/L53))</f>
        <v/>
      </c>
      <c r="P53" s="46" t="str">
        <f t="shared" si="6"/>
        <v/>
      </c>
    </row>
    <row r="54" spans="1:16" x14ac:dyDescent="0.35">
      <c r="A54" s="46" t="str" cm="1">
        <f t="array" ref="A54">IF(ROW()-1&gt;COUNTA('Mii List'!A$2:A$200),"",INDEX('Mii List'!A$2:A$200,ROW()-1))</f>
        <v/>
      </c>
      <c r="B54" s="46" t="str">
        <f>IF(A54="","",INDEX('Mii List'!B$2:B$200,MATCH(A54,'Mii List'!A$2:A$200,0)))</f>
        <v/>
      </c>
      <c r="C54" s="46" t="str">
        <f>IF(A54="","",INDEX('Mii List'!C$2:C$200,MATCH(A54,'Mii List'!A$2:A$200,0)))</f>
        <v/>
      </c>
      <c r="D54" s="46" t="str">
        <f>IF(A54="","",INDEX('Mii List'!D$2:D$200,MATCH(A54,'Mii List'!A$2:A$200,0)))</f>
        <v/>
      </c>
      <c r="E54" s="46" t="str">
        <f>IF(A54="","",INDEX('Mii List'!E$2:E$200,MATCH(A54,'Mii List'!A$2:A$200,0)))</f>
        <v/>
      </c>
      <c r="F54" s="46">
        <f t="shared" si="0"/>
        <v>0</v>
      </c>
      <c r="G54" s="46">
        <f t="shared" si="1"/>
        <v>0</v>
      </c>
      <c r="H54" s="46">
        <f t="shared" si="2"/>
        <v>0</v>
      </c>
      <c r="I54" s="46">
        <f t="shared" si="3"/>
        <v>0</v>
      </c>
      <c r="J54" s="46">
        <f t="shared" si="4"/>
        <v>0</v>
      </c>
      <c r="K54" s="46">
        <f t="shared" si="5"/>
        <v>0</v>
      </c>
      <c r="L54" s="46" cm="1">
        <f t="array" ref="L54">IF(A54="",0,SUMPRODUCT((A$2:A$201&lt;&gt;"")*((F$2:F$201*I54+G$2:G$201*J54+H$2:H$201*K54)&gt;0)*((F54*I$2:I$201+G54*J$2:J$201+H54*K$2:K$201)&gt;0))-IF(F54*I54+G54*J54+H54*K54&gt;0,1,0))</f>
        <v>0</v>
      </c>
      <c r="M54" s="46" t="str" cm="1">
        <f t="array" ref="M54">IF(A54="","",SUMPRODUCT((A$2:A$201&lt;&gt;"")*(L$2:L$201&lt;L54))+SUMPRODUCT((A$2:A$201&lt;&gt;"")*(L$2:L$201=L54)*(A$2:A$201&lt;A54))+1)</f>
        <v/>
      </c>
      <c r="N54" s="46" t="str" cm="1">
        <f t="array" aca="1" ref="N54" ca="1">IF(A54="","",SUMPRODUCT(((OFFSET(F$2,0,0,COUNTA('Mii List'!A$2:A$200),1)*I54+OFFSET(G$2,0,0,COUNTA('Mii List'!A$2:A$200),1)*J54+OFFSET(H$2,0,0,COUNTA('Mii List'!A$2:A$200),1)*K54)&gt;0)*((F54*OFFSET(I$2,0,0,COUNTA('Mii List'!A$2:A$200),1)+G54*OFFSET(J$2,0,0,COUNTA('Mii List'!A$2:A$200),1)+H54*OFFSET(K$2,0,0,COUNTA('Mii List'!A$2:A$200),1))&gt;0)*(ROW(OFFSET($A$2,0,0,COUNTA('Mii List'!A$2:A$200),1))&lt;&gt;ROW())*IF(OFFSET(L$2,0,0,COUNTA('Mii List'!A$2:A$200),1)&gt;0,1/OFFSET(L$2,0,0,COUNTA('Mii List'!A$2:A$200),1),0)))</f>
        <v/>
      </c>
      <c r="O54" s="46" t="str" cm="1">
        <f t="array" aca="1" ref="O54" ca="1">IF(A54="","",IF(L54=0,0,SUMPRODUCT(((OFFSET(F$2,0,0,COUNTA('Mii List'!A$2:A$200),1)*I54+OFFSET(G$2,0,0,COUNTA('Mii List'!A$2:A$200),1)*J54+OFFSET(H$2,0,0,COUNTA('Mii List'!A$2:A$200),1)*K54)&gt;0)*((F54*OFFSET(I$2,0,0,COUNTA('Mii List'!A$2:A$200),1)+G54*OFFSET(J$2,0,0,COUNTA('Mii List'!A$2:A$200),1)+H54*OFFSET(K$2,0,0,COUNTA('Mii List'!A$2:A$200),1))&gt;0)*(ROW(OFFSET($A$2,0,0,COUNTA('Mii List'!A$2:A$200),1))&lt;&gt;ROW())*OFFSET(L$2,0,0,COUNTA('Mii List'!A$2:A$200),1))/L54))</f>
        <v/>
      </c>
      <c r="P54" s="46" t="str">
        <f t="shared" si="6"/>
        <v/>
      </c>
    </row>
    <row r="55" spans="1:16" x14ac:dyDescent="0.35">
      <c r="A55" s="46" t="str" cm="1">
        <f t="array" ref="A55">IF(ROW()-1&gt;COUNTA('Mii List'!A$2:A$200),"",INDEX('Mii List'!A$2:A$200,ROW()-1))</f>
        <v/>
      </c>
      <c r="B55" s="46" t="str">
        <f>IF(A55="","",INDEX('Mii List'!B$2:B$200,MATCH(A55,'Mii List'!A$2:A$200,0)))</f>
        <v/>
      </c>
      <c r="C55" s="46" t="str">
        <f>IF(A55="","",INDEX('Mii List'!C$2:C$200,MATCH(A55,'Mii List'!A$2:A$200,0)))</f>
        <v/>
      </c>
      <c r="D55" s="46" t="str">
        <f>IF(A55="","",INDEX('Mii List'!D$2:D$200,MATCH(A55,'Mii List'!A$2:A$200,0)))</f>
        <v/>
      </c>
      <c r="E55" s="46" t="str">
        <f>IF(A55="","",INDEX('Mii List'!E$2:E$200,MATCH(A55,'Mii List'!A$2:A$200,0)))</f>
        <v/>
      </c>
      <c r="F55" s="46">
        <f t="shared" si="0"/>
        <v>0</v>
      </c>
      <c r="G55" s="46">
        <f t="shared" si="1"/>
        <v>0</v>
      </c>
      <c r="H55" s="46">
        <f t="shared" si="2"/>
        <v>0</v>
      </c>
      <c r="I55" s="46">
        <f t="shared" si="3"/>
        <v>0</v>
      </c>
      <c r="J55" s="46">
        <f t="shared" si="4"/>
        <v>0</v>
      </c>
      <c r="K55" s="46">
        <f t="shared" si="5"/>
        <v>0</v>
      </c>
      <c r="L55" s="46" cm="1">
        <f t="array" ref="L55">IF(A55="",0,SUMPRODUCT((A$2:A$201&lt;&gt;"")*((F$2:F$201*I55+G$2:G$201*J55+H$2:H$201*K55)&gt;0)*((F55*I$2:I$201+G55*J$2:J$201+H55*K$2:K$201)&gt;0))-IF(F55*I55+G55*J55+H55*K55&gt;0,1,0))</f>
        <v>0</v>
      </c>
      <c r="M55" s="46" t="str" cm="1">
        <f t="array" ref="M55">IF(A55="","",SUMPRODUCT((A$2:A$201&lt;&gt;"")*(L$2:L$201&lt;L55))+SUMPRODUCT((A$2:A$201&lt;&gt;"")*(L$2:L$201=L55)*(A$2:A$201&lt;A55))+1)</f>
        <v/>
      </c>
      <c r="N55" s="46" t="str" cm="1">
        <f t="array" aca="1" ref="N55" ca="1">IF(A55="","",SUMPRODUCT(((OFFSET(F$2,0,0,COUNTA('Mii List'!A$2:A$200),1)*I55+OFFSET(G$2,0,0,COUNTA('Mii List'!A$2:A$200),1)*J55+OFFSET(H$2,0,0,COUNTA('Mii List'!A$2:A$200),1)*K55)&gt;0)*((F55*OFFSET(I$2,0,0,COUNTA('Mii List'!A$2:A$200),1)+G55*OFFSET(J$2,0,0,COUNTA('Mii List'!A$2:A$200),1)+H55*OFFSET(K$2,0,0,COUNTA('Mii List'!A$2:A$200),1))&gt;0)*(ROW(OFFSET($A$2,0,0,COUNTA('Mii List'!A$2:A$200),1))&lt;&gt;ROW())*IF(OFFSET(L$2,0,0,COUNTA('Mii List'!A$2:A$200),1)&gt;0,1/OFFSET(L$2,0,0,COUNTA('Mii List'!A$2:A$200),1),0)))</f>
        <v/>
      </c>
      <c r="O55" s="46" t="str" cm="1">
        <f t="array" aca="1" ref="O55" ca="1">IF(A55="","",IF(L55=0,0,SUMPRODUCT(((OFFSET(F$2,0,0,COUNTA('Mii List'!A$2:A$200),1)*I55+OFFSET(G$2,0,0,COUNTA('Mii List'!A$2:A$200),1)*J55+OFFSET(H$2,0,0,COUNTA('Mii List'!A$2:A$200),1)*K55)&gt;0)*((F55*OFFSET(I$2,0,0,COUNTA('Mii List'!A$2:A$200),1)+G55*OFFSET(J$2,0,0,COUNTA('Mii List'!A$2:A$200),1)+H55*OFFSET(K$2,0,0,COUNTA('Mii List'!A$2:A$200),1))&gt;0)*(ROW(OFFSET($A$2,0,0,COUNTA('Mii List'!A$2:A$200),1))&lt;&gt;ROW())*OFFSET(L$2,0,0,COUNTA('Mii List'!A$2:A$200),1))/L55))</f>
        <v/>
      </c>
      <c r="P55" s="46" t="str">
        <f t="shared" si="6"/>
        <v/>
      </c>
    </row>
    <row r="56" spans="1:16" x14ac:dyDescent="0.35">
      <c r="A56" s="46" t="str" cm="1">
        <f t="array" ref="A56">IF(ROW()-1&gt;COUNTA('Mii List'!A$2:A$200),"",INDEX('Mii List'!A$2:A$200,ROW()-1))</f>
        <v/>
      </c>
      <c r="B56" s="46" t="str">
        <f>IF(A56="","",INDEX('Mii List'!B$2:B$200,MATCH(A56,'Mii List'!A$2:A$200,0)))</f>
        <v/>
      </c>
      <c r="C56" s="46" t="str">
        <f>IF(A56="","",INDEX('Mii List'!C$2:C$200,MATCH(A56,'Mii List'!A$2:A$200,0)))</f>
        <v/>
      </c>
      <c r="D56" s="46" t="str">
        <f>IF(A56="","",INDEX('Mii List'!D$2:D$200,MATCH(A56,'Mii List'!A$2:A$200,0)))</f>
        <v/>
      </c>
      <c r="E56" s="46" t="str">
        <f>IF(A56="","",INDEX('Mii List'!E$2:E$200,MATCH(A56,'Mii List'!A$2:A$200,0)))</f>
        <v/>
      </c>
      <c r="F56" s="46">
        <f t="shared" si="0"/>
        <v>0</v>
      </c>
      <c r="G56" s="46">
        <f t="shared" si="1"/>
        <v>0</v>
      </c>
      <c r="H56" s="46">
        <f t="shared" si="2"/>
        <v>0</v>
      </c>
      <c r="I56" s="46">
        <f t="shared" si="3"/>
        <v>0</v>
      </c>
      <c r="J56" s="46">
        <f t="shared" si="4"/>
        <v>0</v>
      </c>
      <c r="K56" s="46">
        <f t="shared" si="5"/>
        <v>0</v>
      </c>
      <c r="L56" s="46" cm="1">
        <f t="array" ref="L56">IF(A56="",0,SUMPRODUCT((A$2:A$201&lt;&gt;"")*((F$2:F$201*I56+G$2:G$201*J56+H$2:H$201*K56)&gt;0)*((F56*I$2:I$201+G56*J$2:J$201+H56*K$2:K$201)&gt;0))-IF(F56*I56+G56*J56+H56*K56&gt;0,1,0))</f>
        <v>0</v>
      </c>
      <c r="M56" s="46" t="str" cm="1">
        <f t="array" ref="M56">IF(A56="","",SUMPRODUCT((A$2:A$201&lt;&gt;"")*(L$2:L$201&lt;L56))+SUMPRODUCT((A$2:A$201&lt;&gt;"")*(L$2:L$201=L56)*(A$2:A$201&lt;A56))+1)</f>
        <v/>
      </c>
      <c r="N56" s="46" t="str" cm="1">
        <f t="array" aca="1" ref="N56" ca="1">IF(A56="","",SUMPRODUCT(((OFFSET(F$2,0,0,COUNTA('Mii List'!A$2:A$200),1)*I56+OFFSET(G$2,0,0,COUNTA('Mii List'!A$2:A$200),1)*J56+OFFSET(H$2,0,0,COUNTA('Mii List'!A$2:A$200),1)*K56)&gt;0)*((F56*OFFSET(I$2,0,0,COUNTA('Mii List'!A$2:A$200),1)+G56*OFFSET(J$2,0,0,COUNTA('Mii List'!A$2:A$200),1)+H56*OFFSET(K$2,0,0,COUNTA('Mii List'!A$2:A$200),1))&gt;0)*(ROW(OFFSET($A$2,0,0,COUNTA('Mii List'!A$2:A$200),1))&lt;&gt;ROW())*IF(OFFSET(L$2,0,0,COUNTA('Mii List'!A$2:A$200),1)&gt;0,1/OFFSET(L$2,0,0,COUNTA('Mii List'!A$2:A$200),1),0)))</f>
        <v/>
      </c>
      <c r="O56" s="46" t="str" cm="1">
        <f t="array" aca="1" ref="O56" ca="1">IF(A56="","",IF(L56=0,0,SUMPRODUCT(((OFFSET(F$2,0,0,COUNTA('Mii List'!A$2:A$200),1)*I56+OFFSET(G$2,0,0,COUNTA('Mii List'!A$2:A$200),1)*J56+OFFSET(H$2,0,0,COUNTA('Mii List'!A$2:A$200),1)*K56)&gt;0)*((F56*OFFSET(I$2,0,0,COUNTA('Mii List'!A$2:A$200),1)+G56*OFFSET(J$2,0,0,COUNTA('Mii List'!A$2:A$200),1)+H56*OFFSET(K$2,0,0,COUNTA('Mii List'!A$2:A$200),1))&gt;0)*(ROW(OFFSET($A$2,0,0,COUNTA('Mii List'!A$2:A$200),1))&lt;&gt;ROW())*OFFSET(L$2,0,0,COUNTA('Mii List'!A$2:A$200),1))/L56))</f>
        <v/>
      </c>
      <c r="P56" s="46" t="str">
        <f t="shared" si="6"/>
        <v/>
      </c>
    </row>
    <row r="57" spans="1:16" x14ac:dyDescent="0.35">
      <c r="A57" s="46" t="str" cm="1">
        <f t="array" ref="A57">IF(ROW()-1&gt;COUNTA('Mii List'!A$2:A$200),"",INDEX('Mii List'!A$2:A$200,ROW()-1))</f>
        <v/>
      </c>
      <c r="B57" s="46" t="str">
        <f>IF(A57="","",INDEX('Mii List'!B$2:B$200,MATCH(A57,'Mii List'!A$2:A$200,0)))</f>
        <v/>
      </c>
      <c r="C57" s="46" t="str">
        <f>IF(A57="","",INDEX('Mii List'!C$2:C$200,MATCH(A57,'Mii List'!A$2:A$200,0)))</f>
        <v/>
      </c>
      <c r="D57" s="46" t="str">
        <f>IF(A57="","",INDEX('Mii List'!D$2:D$200,MATCH(A57,'Mii List'!A$2:A$200,0)))</f>
        <v/>
      </c>
      <c r="E57" s="46" t="str">
        <f>IF(A57="","",INDEX('Mii List'!E$2:E$200,MATCH(A57,'Mii List'!A$2:A$200,0)))</f>
        <v/>
      </c>
      <c r="F57" s="46">
        <f t="shared" si="0"/>
        <v>0</v>
      </c>
      <c r="G57" s="46">
        <f t="shared" si="1"/>
        <v>0</v>
      </c>
      <c r="H57" s="46">
        <f t="shared" si="2"/>
        <v>0</v>
      </c>
      <c r="I57" s="46">
        <f t="shared" si="3"/>
        <v>0</v>
      </c>
      <c r="J57" s="46">
        <f t="shared" si="4"/>
        <v>0</v>
      </c>
      <c r="K57" s="46">
        <f t="shared" si="5"/>
        <v>0</v>
      </c>
      <c r="L57" s="46" cm="1">
        <f t="array" ref="L57">IF(A57="",0,SUMPRODUCT((A$2:A$201&lt;&gt;"")*((F$2:F$201*I57+G$2:G$201*J57+H$2:H$201*K57)&gt;0)*((F57*I$2:I$201+G57*J$2:J$201+H57*K$2:K$201)&gt;0))-IF(F57*I57+G57*J57+H57*K57&gt;0,1,0))</f>
        <v>0</v>
      </c>
      <c r="M57" s="46" t="str" cm="1">
        <f t="array" ref="M57">IF(A57="","",SUMPRODUCT((A$2:A$201&lt;&gt;"")*(L$2:L$201&lt;L57))+SUMPRODUCT((A$2:A$201&lt;&gt;"")*(L$2:L$201=L57)*(A$2:A$201&lt;A57))+1)</f>
        <v/>
      </c>
      <c r="N57" s="46" t="str" cm="1">
        <f t="array" aca="1" ref="N57" ca="1">IF(A57="","",SUMPRODUCT(((OFFSET(F$2,0,0,COUNTA('Mii List'!A$2:A$200),1)*I57+OFFSET(G$2,0,0,COUNTA('Mii List'!A$2:A$200),1)*J57+OFFSET(H$2,0,0,COUNTA('Mii List'!A$2:A$200),1)*K57)&gt;0)*((F57*OFFSET(I$2,0,0,COUNTA('Mii List'!A$2:A$200),1)+G57*OFFSET(J$2,0,0,COUNTA('Mii List'!A$2:A$200),1)+H57*OFFSET(K$2,0,0,COUNTA('Mii List'!A$2:A$200),1))&gt;0)*(ROW(OFFSET($A$2,0,0,COUNTA('Mii List'!A$2:A$200),1))&lt;&gt;ROW())*IF(OFFSET(L$2,0,0,COUNTA('Mii List'!A$2:A$200),1)&gt;0,1/OFFSET(L$2,0,0,COUNTA('Mii List'!A$2:A$200),1),0)))</f>
        <v/>
      </c>
      <c r="O57" s="46" t="str" cm="1">
        <f t="array" aca="1" ref="O57" ca="1">IF(A57="","",IF(L57=0,0,SUMPRODUCT(((OFFSET(F$2,0,0,COUNTA('Mii List'!A$2:A$200),1)*I57+OFFSET(G$2,0,0,COUNTA('Mii List'!A$2:A$200),1)*J57+OFFSET(H$2,0,0,COUNTA('Mii List'!A$2:A$200),1)*K57)&gt;0)*((F57*OFFSET(I$2,0,0,COUNTA('Mii List'!A$2:A$200),1)+G57*OFFSET(J$2,0,0,COUNTA('Mii List'!A$2:A$200),1)+H57*OFFSET(K$2,0,0,COUNTA('Mii List'!A$2:A$200),1))&gt;0)*(ROW(OFFSET($A$2,0,0,COUNTA('Mii List'!A$2:A$200),1))&lt;&gt;ROW())*OFFSET(L$2,0,0,COUNTA('Mii List'!A$2:A$200),1))/L57))</f>
        <v/>
      </c>
      <c r="P57" s="46" t="str">
        <f t="shared" si="6"/>
        <v/>
      </c>
    </row>
    <row r="58" spans="1:16" x14ac:dyDescent="0.35">
      <c r="A58" s="46" t="str" cm="1">
        <f t="array" ref="A58">IF(ROW()-1&gt;COUNTA('Mii List'!A$2:A$200),"",INDEX('Mii List'!A$2:A$200,ROW()-1))</f>
        <v/>
      </c>
      <c r="B58" s="46" t="str">
        <f>IF(A58="","",INDEX('Mii List'!B$2:B$200,MATCH(A58,'Mii List'!A$2:A$200,0)))</f>
        <v/>
      </c>
      <c r="C58" s="46" t="str">
        <f>IF(A58="","",INDEX('Mii List'!C$2:C$200,MATCH(A58,'Mii List'!A$2:A$200,0)))</f>
        <v/>
      </c>
      <c r="D58" s="46" t="str">
        <f>IF(A58="","",INDEX('Mii List'!D$2:D$200,MATCH(A58,'Mii List'!A$2:A$200,0)))</f>
        <v/>
      </c>
      <c r="E58" s="46" t="str">
        <f>IF(A58="","",INDEX('Mii List'!E$2:E$200,MATCH(A58,'Mii List'!A$2:A$200,0)))</f>
        <v/>
      </c>
      <c r="F58" s="46">
        <f t="shared" si="0"/>
        <v>0</v>
      </c>
      <c r="G58" s="46">
        <f t="shared" si="1"/>
        <v>0</v>
      </c>
      <c r="H58" s="46">
        <f t="shared" si="2"/>
        <v>0</v>
      </c>
      <c r="I58" s="46">
        <f t="shared" si="3"/>
        <v>0</v>
      </c>
      <c r="J58" s="46">
        <f t="shared" si="4"/>
        <v>0</v>
      </c>
      <c r="K58" s="46">
        <f t="shared" si="5"/>
        <v>0</v>
      </c>
      <c r="L58" s="46" cm="1">
        <f t="array" ref="L58">IF(A58="",0,SUMPRODUCT((A$2:A$201&lt;&gt;"")*((F$2:F$201*I58+G$2:G$201*J58+H$2:H$201*K58)&gt;0)*((F58*I$2:I$201+G58*J$2:J$201+H58*K$2:K$201)&gt;0))-IF(F58*I58+G58*J58+H58*K58&gt;0,1,0))</f>
        <v>0</v>
      </c>
      <c r="M58" s="46" t="str" cm="1">
        <f t="array" ref="M58">IF(A58="","",SUMPRODUCT((A$2:A$201&lt;&gt;"")*(L$2:L$201&lt;L58))+SUMPRODUCT((A$2:A$201&lt;&gt;"")*(L$2:L$201=L58)*(A$2:A$201&lt;A58))+1)</f>
        <v/>
      </c>
      <c r="N58" s="46" t="str" cm="1">
        <f t="array" aca="1" ref="N58" ca="1">IF(A58="","",SUMPRODUCT(((OFFSET(F$2,0,0,COUNTA('Mii List'!A$2:A$200),1)*I58+OFFSET(G$2,0,0,COUNTA('Mii List'!A$2:A$200),1)*J58+OFFSET(H$2,0,0,COUNTA('Mii List'!A$2:A$200),1)*K58)&gt;0)*((F58*OFFSET(I$2,0,0,COUNTA('Mii List'!A$2:A$200),1)+G58*OFFSET(J$2,0,0,COUNTA('Mii List'!A$2:A$200),1)+H58*OFFSET(K$2,0,0,COUNTA('Mii List'!A$2:A$200),1))&gt;0)*(ROW(OFFSET($A$2,0,0,COUNTA('Mii List'!A$2:A$200),1))&lt;&gt;ROW())*IF(OFFSET(L$2,0,0,COUNTA('Mii List'!A$2:A$200),1)&gt;0,1/OFFSET(L$2,0,0,COUNTA('Mii List'!A$2:A$200),1),0)))</f>
        <v/>
      </c>
      <c r="O58" s="46" t="str" cm="1">
        <f t="array" aca="1" ref="O58" ca="1">IF(A58="","",IF(L58=0,0,SUMPRODUCT(((OFFSET(F$2,0,0,COUNTA('Mii List'!A$2:A$200),1)*I58+OFFSET(G$2,0,0,COUNTA('Mii List'!A$2:A$200),1)*J58+OFFSET(H$2,0,0,COUNTA('Mii List'!A$2:A$200),1)*K58)&gt;0)*((F58*OFFSET(I$2,0,0,COUNTA('Mii List'!A$2:A$200),1)+G58*OFFSET(J$2,0,0,COUNTA('Mii List'!A$2:A$200),1)+H58*OFFSET(K$2,0,0,COUNTA('Mii List'!A$2:A$200),1))&gt;0)*(ROW(OFFSET($A$2,0,0,COUNTA('Mii List'!A$2:A$200),1))&lt;&gt;ROW())*OFFSET(L$2,0,0,COUNTA('Mii List'!A$2:A$200),1))/L58))</f>
        <v/>
      </c>
      <c r="P58" s="46" t="str">
        <f t="shared" si="6"/>
        <v/>
      </c>
    </row>
    <row r="59" spans="1:16" x14ac:dyDescent="0.35">
      <c r="A59" s="46" t="str" cm="1">
        <f t="array" ref="A59">IF(ROW()-1&gt;COUNTA('Mii List'!A$2:A$200),"",INDEX('Mii List'!A$2:A$200,ROW()-1))</f>
        <v/>
      </c>
      <c r="B59" s="46" t="str">
        <f>IF(A59="","",INDEX('Mii List'!B$2:B$200,MATCH(A59,'Mii List'!A$2:A$200,0)))</f>
        <v/>
      </c>
      <c r="C59" s="46" t="str">
        <f>IF(A59="","",INDEX('Mii List'!C$2:C$200,MATCH(A59,'Mii List'!A$2:A$200,0)))</f>
        <v/>
      </c>
      <c r="D59" s="46" t="str">
        <f>IF(A59="","",INDEX('Mii List'!D$2:D$200,MATCH(A59,'Mii List'!A$2:A$200,0)))</f>
        <v/>
      </c>
      <c r="E59" s="46" t="str">
        <f>IF(A59="","",INDEX('Mii List'!E$2:E$200,MATCH(A59,'Mii List'!A$2:A$200,0)))</f>
        <v/>
      </c>
      <c r="F59" s="46">
        <f t="shared" si="0"/>
        <v>0</v>
      </c>
      <c r="G59" s="46">
        <f t="shared" si="1"/>
        <v>0</v>
      </c>
      <c r="H59" s="46">
        <f t="shared" si="2"/>
        <v>0</v>
      </c>
      <c r="I59" s="46">
        <f t="shared" si="3"/>
        <v>0</v>
      </c>
      <c r="J59" s="46">
        <f t="shared" si="4"/>
        <v>0</v>
      </c>
      <c r="K59" s="46">
        <f t="shared" si="5"/>
        <v>0</v>
      </c>
      <c r="L59" s="46" cm="1">
        <f t="array" ref="L59">IF(A59="",0,SUMPRODUCT((A$2:A$201&lt;&gt;"")*((F$2:F$201*I59+G$2:G$201*J59+H$2:H$201*K59)&gt;0)*((F59*I$2:I$201+G59*J$2:J$201+H59*K$2:K$201)&gt;0))-IF(F59*I59+G59*J59+H59*K59&gt;0,1,0))</f>
        <v>0</v>
      </c>
      <c r="M59" s="46" t="str" cm="1">
        <f t="array" ref="M59">IF(A59="","",SUMPRODUCT((A$2:A$201&lt;&gt;"")*(L$2:L$201&lt;L59))+SUMPRODUCT((A$2:A$201&lt;&gt;"")*(L$2:L$201=L59)*(A$2:A$201&lt;A59))+1)</f>
        <v/>
      </c>
      <c r="N59" s="46" t="str" cm="1">
        <f t="array" aca="1" ref="N59" ca="1">IF(A59="","",SUMPRODUCT(((OFFSET(F$2,0,0,COUNTA('Mii List'!A$2:A$200),1)*I59+OFFSET(G$2,0,0,COUNTA('Mii List'!A$2:A$200),1)*J59+OFFSET(H$2,0,0,COUNTA('Mii List'!A$2:A$200),1)*K59)&gt;0)*((F59*OFFSET(I$2,0,0,COUNTA('Mii List'!A$2:A$200),1)+G59*OFFSET(J$2,0,0,COUNTA('Mii List'!A$2:A$200),1)+H59*OFFSET(K$2,0,0,COUNTA('Mii List'!A$2:A$200),1))&gt;0)*(ROW(OFFSET($A$2,0,0,COUNTA('Mii List'!A$2:A$200),1))&lt;&gt;ROW())*IF(OFFSET(L$2,0,0,COUNTA('Mii List'!A$2:A$200),1)&gt;0,1/OFFSET(L$2,0,0,COUNTA('Mii List'!A$2:A$200),1),0)))</f>
        <v/>
      </c>
      <c r="O59" s="46" t="str" cm="1">
        <f t="array" aca="1" ref="O59" ca="1">IF(A59="","",IF(L59=0,0,SUMPRODUCT(((OFFSET(F$2,0,0,COUNTA('Mii List'!A$2:A$200),1)*I59+OFFSET(G$2,0,0,COUNTA('Mii List'!A$2:A$200),1)*J59+OFFSET(H$2,0,0,COUNTA('Mii List'!A$2:A$200),1)*K59)&gt;0)*((F59*OFFSET(I$2,0,0,COUNTA('Mii List'!A$2:A$200),1)+G59*OFFSET(J$2,0,0,COUNTA('Mii List'!A$2:A$200),1)+H59*OFFSET(K$2,0,0,COUNTA('Mii List'!A$2:A$200),1))&gt;0)*(ROW(OFFSET($A$2,0,0,COUNTA('Mii List'!A$2:A$200),1))&lt;&gt;ROW())*OFFSET(L$2,0,0,COUNTA('Mii List'!A$2:A$200),1))/L59))</f>
        <v/>
      </c>
      <c r="P59" s="46" t="str">
        <f t="shared" si="6"/>
        <v/>
      </c>
    </row>
    <row r="60" spans="1:16" x14ac:dyDescent="0.35">
      <c r="A60" s="46" t="str" cm="1">
        <f t="array" ref="A60">IF(ROW()-1&gt;COUNTA('Mii List'!A$2:A$200),"",INDEX('Mii List'!A$2:A$200,ROW()-1))</f>
        <v/>
      </c>
      <c r="B60" s="46" t="str">
        <f>IF(A60="","",INDEX('Mii List'!B$2:B$200,MATCH(A60,'Mii List'!A$2:A$200,0)))</f>
        <v/>
      </c>
      <c r="C60" s="46" t="str">
        <f>IF(A60="","",INDEX('Mii List'!C$2:C$200,MATCH(A60,'Mii List'!A$2:A$200,0)))</f>
        <v/>
      </c>
      <c r="D60" s="46" t="str">
        <f>IF(A60="","",INDEX('Mii List'!D$2:D$200,MATCH(A60,'Mii List'!A$2:A$200,0)))</f>
        <v/>
      </c>
      <c r="E60" s="46" t="str">
        <f>IF(A60="","",INDEX('Mii List'!E$2:E$200,MATCH(A60,'Mii List'!A$2:A$200,0)))</f>
        <v/>
      </c>
      <c r="F60" s="46">
        <f t="shared" si="0"/>
        <v>0</v>
      </c>
      <c r="G60" s="46">
        <f t="shared" si="1"/>
        <v>0</v>
      </c>
      <c r="H60" s="46">
        <f t="shared" si="2"/>
        <v>0</v>
      </c>
      <c r="I60" s="46">
        <f t="shared" si="3"/>
        <v>0</v>
      </c>
      <c r="J60" s="46">
        <f t="shared" si="4"/>
        <v>0</v>
      </c>
      <c r="K60" s="46">
        <f t="shared" si="5"/>
        <v>0</v>
      </c>
      <c r="L60" s="46" cm="1">
        <f t="array" ref="L60">IF(A60="",0,SUMPRODUCT((A$2:A$201&lt;&gt;"")*((F$2:F$201*I60+G$2:G$201*J60+H$2:H$201*K60)&gt;0)*((F60*I$2:I$201+G60*J$2:J$201+H60*K$2:K$201)&gt;0))-IF(F60*I60+G60*J60+H60*K60&gt;0,1,0))</f>
        <v>0</v>
      </c>
      <c r="M60" s="46" t="str" cm="1">
        <f t="array" ref="M60">IF(A60="","",SUMPRODUCT((A$2:A$201&lt;&gt;"")*(L$2:L$201&lt;L60))+SUMPRODUCT((A$2:A$201&lt;&gt;"")*(L$2:L$201=L60)*(A$2:A$201&lt;A60))+1)</f>
        <v/>
      </c>
      <c r="N60" s="46" t="str" cm="1">
        <f t="array" aca="1" ref="N60" ca="1">IF(A60="","",SUMPRODUCT(((OFFSET(F$2,0,0,COUNTA('Mii List'!A$2:A$200),1)*I60+OFFSET(G$2,0,0,COUNTA('Mii List'!A$2:A$200),1)*J60+OFFSET(H$2,0,0,COUNTA('Mii List'!A$2:A$200),1)*K60)&gt;0)*((F60*OFFSET(I$2,0,0,COUNTA('Mii List'!A$2:A$200),1)+G60*OFFSET(J$2,0,0,COUNTA('Mii List'!A$2:A$200),1)+H60*OFFSET(K$2,0,0,COUNTA('Mii List'!A$2:A$200),1))&gt;0)*(ROW(OFFSET($A$2,0,0,COUNTA('Mii List'!A$2:A$200),1))&lt;&gt;ROW())*IF(OFFSET(L$2,0,0,COUNTA('Mii List'!A$2:A$200),1)&gt;0,1/OFFSET(L$2,0,0,COUNTA('Mii List'!A$2:A$200),1),0)))</f>
        <v/>
      </c>
      <c r="O60" s="46" t="str" cm="1">
        <f t="array" aca="1" ref="O60" ca="1">IF(A60="","",IF(L60=0,0,SUMPRODUCT(((OFFSET(F$2,0,0,COUNTA('Mii List'!A$2:A$200),1)*I60+OFFSET(G$2,0,0,COUNTA('Mii List'!A$2:A$200),1)*J60+OFFSET(H$2,0,0,COUNTA('Mii List'!A$2:A$200),1)*K60)&gt;0)*((F60*OFFSET(I$2,0,0,COUNTA('Mii List'!A$2:A$200),1)+G60*OFFSET(J$2,0,0,COUNTA('Mii List'!A$2:A$200),1)+H60*OFFSET(K$2,0,0,COUNTA('Mii List'!A$2:A$200),1))&gt;0)*(ROW(OFFSET($A$2,0,0,COUNTA('Mii List'!A$2:A$200),1))&lt;&gt;ROW())*OFFSET(L$2,0,0,COUNTA('Mii List'!A$2:A$200),1))/L60))</f>
        <v/>
      </c>
      <c r="P60" s="46" t="str">
        <f t="shared" si="6"/>
        <v/>
      </c>
    </row>
    <row r="61" spans="1:16" x14ac:dyDescent="0.35">
      <c r="A61" s="46" t="str" cm="1">
        <f t="array" ref="A61">IF(ROW()-1&gt;COUNTA('Mii List'!A$2:A$200),"",INDEX('Mii List'!A$2:A$200,ROW()-1))</f>
        <v/>
      </c>
      <c r="B61" s="46" t="str">
        <f>IF(A61="","",INDEX('Mii List'!B$2:B$200,MATCH(A61,'Mii List'!A$2:A$200,0)))</f>
        <v/>
      </c>
      <c r="C61" s="46" t="str">
        <f>IF(A61="","",INDEX('Mii List'!C$2:C$200,MATCH(A61,'Mii List'!A$2:A$200,0)))</f>
        <v/>
      </c>
      <c r="D61" s="46" t="str">
        <f>IF(A61="","",INDEX('Mii List'!D$2:D$200,MATCH(A61,'Mii List'!A$2:A$200,0)))</f>
        <v/>
      </c>
      <c r="E61" s="46" t="str">
        <f>IF(A61="","",INDEX('Mii List'!E$2:E$200,MATCH(A61,'Mii List'!A$2:A$200,0)))</f>
        <v/>
      </c>
      <c r="F61" s="46">
        <f t="shared" si="0"/>
        <v>0</v>
      </c>
      <c r="G61" s="46">
        <f t="shared" si="1"/>
        <v>0</v>
      </c>
      <c r="H61" s="46">
        <f t="shared" si="2"/>
        <v>0</v>
      </c>
      <c r="I61" s="46">
        <f t="shared" si="3"/>
        <v>0</v>
      </c>
      <c r="J61" s="46">
        <f t="shared" si="4"/>
        <v>0</v>
      </c>
      <c r="K61" s="46">
        <f t="shared" si="5"/>
        <v>0</v>
      </c>
      <c r="L61" s="46" cm="1">
        <f t="array" ref="L61">IF(A61="",0,SUMPRODUCT((A$2:A$201&lt;&gt;"")*((F$2:F$201*I61+G$2:G$201*J61+H$2:H$201*K61)&gt;0)*((F61*I$2:I$201+G61*J$2:J$201+H61*K$2:K$201)&gt;0))-IF(F61*I61+G61*J61+H61*K61&gt;0,1,0))</f>
        <v>0</v>
      </c>
      <c r="M61" s="46" t="str" cm="1">
        <f t="array" ref="M61">IF(A61="","",SUMPRODUCT((A$2:A$201&lt;&gt;"")*(L$2:L$201&lt;L61))+SUMPRODUCT((A$2:A$201&lt;&gt;"")*(L$2:L$201=L61)*(A$2:A$201&lt;A61))+1)</f>
        <v/>
      </c>
      <c r="N61" s="46" t="str" cm="1">
        <f t="array" aca="1" ref="N61" ca="1">IF(A61="","",SUMPRODUCT(((OFFSET(F$2,0,0,COUNTA('Mii List'!A$2:A$200),1)*I61+OFFSET(G$2,0,0,COUNTA('Mii List'!A$2:A$200),1)*J61+OFFSET(H$2,0,0,COUNTA('Mii List'!A$2:A$200),1)*K61)&gt;0)*((F61*OFFSET(I$2,0,0,COUNTA('Mii List'!A$2:A$200),1)+G61*OFFSET(J$2,0,0,COUNTA('Mii List'!A$2:A$200),1)+H61*OFFSET(K$2,0,0,COUNTA('Mii List'!A$2:A$200),1))&gt;0)*(ROW(OFFSET($A$2,0,0,COUNTA('Mii List'!A$2:A$200),1))&lt;&gt;ROW())*IF(OFFSET(L$2,0,0,COUNTA('Mii List'!A$2:A$200),1)&gt;0,1/OFFSET(L$2,0,0,COUNTA('Mii List'!A$2:A$200),1),0)))</f>
        <v/>
      </c>
      <c r="O61" s="46" t="str" cm="1">
        <f t="array" aca="1" ref="O61" ca="1">IF(A61="","",IF(L61=0,0,SUMPRODUCT(((OFFSET(F$2,0,0,COUNTA('Mii List'!A$2:A$200),1)*I61+OFFSET(G$2,0,0,COUNTA('Mii List'!A$2:A$200),1)*J61+OFFSET(H$2,0,0,COUNTA('Mii List'!A$2:A$200),1)*K61)&gt;0)*((F61*OFFSET(I$2,0,0,COUNTA('Mii List'!A$2:A$200),1)+G61*OFFSET(J$2,0,0,COUNTA('Mii List'!A$2:A$200),1)+H61*OFFSET(K$2,0,0,COUNTA('Mii List'!A$2:A$200),1))&gt;0)*(ROW(OFFSET($A$2,0,0,COUNTA('Mii List'!A$2:A$200),1))&lt;&gt;ROW())*OFFSET(L$2,0,0,COUNTA('Mii List'!A$2:A$200),1))/L61))</f>
        <v/>
      </c>
      <c r="P61" s="46" t="str">
        <f t="shared" si="6"/>
        <v/>
      </c>
    </row>
    <row r="62" spans="1:16" x14ac:dyDescent="0.35">
      <c r="A62" s="46" t="str" cm="1">
        <f t="array" ref="A62">IF(ROW()-1&gt;COUNTA('Mii List'!A$2:A$200),"",INDEX('Mii List'!A$2:A$200,ROW()-1))</f>
        <v/>
      </c>
      <c r="B62" s="46" t="str">
        <f>IF(A62="","",INDEX('Mii List'!B$2:B$200,MATCH(A62,'Mii List'!A$2:A$200,0)))</f>
        <v/>
      </c>
      <c r="C62" s="46" t="str">
        <f>IF(A62="","",INDEX('Mii List'!C$2:C$200,MATCH(A62,'Mii List'!A$2:A$200,0)))</f>
        <v/>
      </c>
      <c r="D62" s="46" t="str">
        <f>IF(A62="","",INDEX('Mii List'!D$2:D$200,MATCH(A62,'Mii List'!A$2:A$200,0)))</f>
        <v/>
      </c>
      <c r="E62" s="46" t="str">
        <f>IF(A62="","",INDEX('Mii List'!E$2:E$200,MATCH(A62,'Mii List'!A$2:A$200,0)))</f>
        <v/>
      </c>
      <c r="F62" s="46">
        <f t="shared" si="0"/>
        <v>0</v>
      </c>
      <c r="G62" s="46">
        <f t="shared" si="1"/>
        <v>0</v>
      </c>
      <c r="H62" s="46">
        <f t="shared" si="2"/>
        <v>0</v>
      </c>
      <c r="I62" s="46">
        <f t="shared" si="3"/>
        <v>0</v>
      </c>
      <c r="J62" s="46">
        <f t="shared" si="4"/>
        <v>0</v>
      </c>
      <c r="K62" s="46">
        <f t="shared" si="5"/>
        <v>0</v>
      </c>
      <c r="L62" s="46" cm="1">
        <f t="array" ref="L62">IF(A62="",0,SUMPRODUCT((A$2:A$201&lt;&gt;"")*((F$2:F$201*I62+G$2:G$201*J62+H$2:H$201*K62)&gt;0)*((F62*I$2:I$201+G62*J$2:J$201+H62*K$2:K$201)&gt;0))-IF(F62*I62+G62*J62+H62*K62&gt;0,1,0))</f>
        <v>0</v>
      </c>
      <c r="M62" s="46" t="str" cm="1">
        <f t="array" ref="M62">IF(A62="","",SUMPRODUCT((A$2:A$201&lt;&gt;"")*(L$2:L$201&lt;L62))+SUMPRODUCT((A$2:A$201&lt;&gt;"")*(L$2:L$201=L62)*(A$2:A$201&lt;A62))+1)</f>
        <v/>
      </c>
      <c r="N62" s="46" t="str" cm="1">
        <f t="array" aca="1" ref="N62" ca="1">IF(A62="","",SUMPRODUCT(((OFFSET(F$2,0,0,COUNTA('Mii List'!A$2:A$200),1)*I62+OFFSET(G$2,0,0,COUNTA('Mii List'!A$2:A$200),1)*J62+OFFSET(H$2,0,0,COUNTA('Mii List'!A$2:A$200),1)*K62)&gt;0)*((F62*OFFSET(I$2,0,0,COUNTA('Mii List'!A$2:A$200),1)+G62*OFFSET(J$2,0,0,COUNTA('Mii List'!A$2:A$200),1)+H62*OFFSET(K$2,0,0,COUNTA('Mii List'!A$2:A$200),1))&gt;0)*(ROW(OFFSET($A$2,0,0,COUNTA('Mii List'!A$2:A$200),1))&lt;&gt;ROW())*IF(OFFSET(L$2,0,0,COUNTA('Mii List'!A$2:A$200),1)&gt;0,1/OFFSET(L$2,0,0,COUNTA('Mii List'!A$2:A$200),1),0)))</f>
        <v/>
      </c>
      <c r="O62" s="46" t="str" cm="1">
        <f t="array" aca="1" ref="O62" ca="1">IF(A62="","",IF(L62=0,0,SUMPRODUCT(((OFFSET(F$2,0,0,COUNTA('Mii List'!A$2:A$200),1)*I62+OFFSET(G$2,0,0,COUNTA('Mii List'!A$2:A$200),1)*J62+OFFSET(H$2,0,0,COUNTA('Mii List'!A$2:A$200),1)*K62)&gt;0)*((F62*OFFSET(I$2,0,0,COUNTA('Mii List'!A$2:A$200),1)+G62*OFFSET(J$2,0,0,COUNTA('Mii List'!A$2:A$200),1)+H62*OFFSET(K$2,0,0,COUNTA('Mii List'!A$2:A$200),1))&gt;0)*(ROW(OFFSET($A$2,0,0,COUNTA('Mii List'!A$2:A$200),1))&lt;&gt;ROW())*OFFSET(L$2,0,0,COUNTA('Mii List'!A$2:A$200),1))/L62))</f>
        <v/>
      </c>
      <c r="P62" s="46" t="str">
        <f t="shared" si="6"/>
        <v/>
      </c>
    </row>
    <row r="63" spans="1:16" x14ac:dyDescent="0.35">
      <c r="A63" s="46" t="str" cm="1">
        <f t="array" ref="A63">IF(ROW()-1&gt;COUNTA('Mii List'!A$2:A$200),"",INDEX('Mii List'!A$2:A$200,ROW()-1))</f>
        <v/>
      </c>
      <c r="B63" s="46" t="str">
        <f>IF(A63="","",INDEX('Mii List'!B$2:B$200,MATCH(A63,'Mii List'!A$2:A$200,0)))</f>
        <v/>
      </c>
      <c r="C63" s="46" t="str">
        <f>IF(A63="","",INDEX('Mii List'!C$2:C$200,MATCH(A63,'Mii List'!A$2:A$200,0)))</f>
        <v/>
      </c>
      <c r="D63" s="46" t="str">
        <f>IF(A63="","",INDEX('Mii List'!D$2:D$200,MATCH(A63,'Mii List'!A$2:A$200,0)))</f>
        <v/>
      </c>
      <c r="E63" s="46" t="str">
        <f>IF(A63="","",INDEX('Mii List'!E$2:E$200,MATCH(A63,'Mii List'!A$2:A$200,0)))</f>
        <v/>
      </c>
      <c r="F63" s="46">
        <f t="shared" si="0"/>
        <v>0</v>
      </c>
      <c r="G63" s="46">
        <f t="shared" si="1"/>
        <v>0</v>
      </c>
      <c r="H63" s="46">
        <f t="shared" si="2"/>
        <v>0</v>
      </c>
      <c r="I63" s="46">
        <f t="shared" si="3"/>
        <v>0</v>
      </c>
      <c r="J63" s="46">
        <f t="shared" si="4"/>
        <v>0</v>
      </c>
      <c r="K63" s="46">
        <f t="shared" si="5"/>
        <v>0</v>
      </c>
      <c r="L63" s="46" cm="1">
        <f t="array" ref="L63">IF(A63="",0,SUMPRODUCT((A$2:A$201&lt;&gt;"")*((F$2:F$201*I63+G$2:G$201*J63+H$2:H$201*K63)&gt;0)*((F63*I$2:I$201+G63*J$2:J$201+H63*K$2:K$201)&gt;0))-IF(F63*I63+G63*J63+H63*K63&gt;0,1,0))</f>
        <v>0</v>
      </c>
      <c r="M63" s="46" t="str" cm="1">
        <f t="array" ref="M63">IF(A63="","",SUMPRODUCT((A$2:A$201&lt;&gt;"")*(L$2:L$201&lt;L63))+SUMPRODUCT((A$2:A$201&lt;&gt;"")*(L$2:L$201=L63)*(A$2:A$201&lt;A63))+1)</f>
        <v/>
      </c>
      <c r="N63" s="46" t="str" cm="1">
        <f t="array" aca="1" ref="N63" ca="1">IF(A63="","",SUMPRODUCT(((OFFSET(F$2,0,0,COUNTA('Mii List'!A$2:A$200),1)*I63+OFFSET(G$2,0,0,COUNTA('Mii List'!A$2:A$200),1)*J63+OFFSET(H$2,0,0,COUNTA('Mii List'!A$2:A$200),1)*K63)&gt;0)*((F63*OFFSET(I$2,0,0,COUNTA('Mii List'!A$2:A$200),1)+G63*OFFSET(J$2,0,0,COUNTA('Mii List'!A$2:A$200),1)+H63*OFFSET(K$2,0,0,COUNTA('Mii List'!A$2:A$200),1))&gt;0)*(ROW(OFFSET($A$2,0,0,COUNTA('Mii List'!A$2:A$200),1))&lt;&gt;ROW())*IF(OFFSET(L$2,0,0,COUNTA('Mii List'!A$2:A$200),1)&gt;0,1/OFFSET(L$2,0,0,COUNTA('Mii List'!A$2:A$200),1),0)))</f>
        <v/>
      </c>
      <c r="O63" s="46" t="str" cm="1">
        <f t="array" aca="1" ref="O63" ca="1">IF(A63="","",IF(L63=0,0,SUMPRODUCT(((OFFSET(F$2,0,0,COUNTA('Mii List'!A$2:A$200),1)*I63+OFFSET(G$2,0,0,COUNTA('Mii List'!A$2:A$200),1)*J63+OFFSET(H$2,0,0,COUNTA('Mii List'!A$2:A$200),1)*K63)&gt;0)*((F63*OFFSET(I$2,0,0,COUNTA('Mii List'!A$2:A$200),1)+G63*OFFSET(J$2,0,0,COUNTA('Mii List'!A$2:A$200),1)+H63*OFFSET(K$2,0,0,COUNTA('Mii List'!A$2:A$200),1))&gt;0)*(ROW(OFFSET($A$2,0,0,COUNTA('Mii List'!A$2:A$200),1))&lt;&gt;ROW())*OFFSET(L$2,0,0,COUNTA('Mii List'!A$2:A$200),1))/L63))</f>
        <v/>
      </c>
      <c r="P63" s="46" t="str">
        <f t="shared" si="6"/>
        <v/>
      </c>
    </row>
    <row r="64" spans="1:16" x14ac:dyDescent="0.35">
      <c r="A64" s="46" t="str" cm="1">
        <f t="array" ref="A64">IF(ROW()-1&gt;COUNTA('Mii List'!A$2:A$200),"",INDEX('Mii List'!A$2:A$200,ROW()-1))</f>
        <v/>
      </c>
      <c r="B64" s="46" t="str">
        <f>IF(A64="","",INDEX('Mii List'!B$2:B$200,MATCH(A64,'Mii List'!A$2:A$200,0)))</f>
        <v/>
      </c>
      <c r="C64" s="46" t="str">
        <f>IF(A64="","",INDEX('Mii List'!C$2:C$200,MATCH(A64,'Mii List'!A$2:A$200,0)))</f>
        <v/>
      </c>
      <c r="D64" s="46" t="str">
        <f>IF(A64="","",INDEX('Mii List'!D$2:D$200,MATCH(A64,'Mii List'!A$2:A$200,0)))</f>
        <v/>
      </c>
      <c r="E64" s="46" t="str">
        <f>IF(A64="","",INDEX('Mii List'!E$2:E$200,MATCH(A64,'Mii List'!A$2:A$200,0)))</f>
        <v/>
      </c>
      <c r="F64" s="46">
        <f t="shared" si="0"/>
        <v>0</v>
      </c>
      <c r="G64" s="46">
        <f t="shared" si="1"/>
        <v>0</v>
      </c>
      <c r="H64" s="46">
        <f t="shared" si="2"/>
        <v>0</v>
      </c>
      <c r="I64" s="46">
        <f t="shared" si="3"/>
        <v>0</v>
      </c>
      <c r="J64" s="46">
        <f t="shared" si="4"/>
        <v>0</v>
      </c>
      <c r="K64" s="46">
        <f t="shared" si="5"/>
        <v>0</v>
      </c>
      <c r="L64" s="46" cm="1">
        <f t="array" ref="L64">IF(A64="",0,SUMPRODUCT((A$2:A$201&lt;&gt;"")*((F$2:F$201*I64+G$2:G$201*J64+H$2:H$201*K64)&gt;0)*((F64*I$2:I$201+G64*J$2:J$201+H64*K$2:K$201)&gt;0))-IF(F64*I64+G64*J64+H64*K64&gt;0,1,0))</f>
        <v>0</v>
      </c>
      <c r="M64" s="46" t="str" cm="1">
        <f t="array" ref="M64">IF(A64="","",SUMPRODUCT((A$2:A$201&lt;&gt;"")*(L$2:L$201&lt;L64))+SUMPRODUCT((A$2:A$201&lt;&gt;"")*(L$2:L$201=L64)*(A$2:A$201&lt;A64))+1)</f>
        <v/>
      </c>
      <c r="N64" s="46" t="str" cm="1">
        <f t="array" aca="1" ref="N64" ca="1">IF(A64="","",SUMPRODUCT(((OFFSET(F$2,0,0,COUNTA('Mii List'!A$2:A$200),1)*I64+OFFSET(G$2,0,0,COUNTA('Mii List'!A$2:A$200),1)*J64+OFFSET(H$2,0,0,COUNTA('Mii List'!A$2:A$200),1)*K64)&gt;0)*((F64*OFFSET(I$2,0,0,COUNTA('Mii List'!A$2:A$200),1)+G64*OFFSET(J$2,0,0,COUNTA('Mii List'!A$2:A$200),1)+H64*OFFSET(K$2,0,0,COUNTA('Mii List'!A$2:A$200),1))&gt;0)*(ROW(OFFSET($A$2,0,0,COUNTA('Mii List'!A$2:A$200),1))&lt;&gt;ROW())*IF(OFFSET(L$2,0,0,COUNTA('Mii List'!A$2:A$200),1)&gt;0,1/OFFSET(L$2,0,0,COUNTA('Mii List'!A$2:A$200),1),0)))</f>
        <v/>
      </c>
      <c r="O64" s="46" t="str" cm="1">
        <f t="array" aca="1" ref="O64" ca="1">IF(A64="","",IF(L64=0,0,SUMPRODUCT(((OFFSET(F$2,0,0,COUNTA('Mii List'!A$2:A$200),1)*I64+OFFSET(G$2,0,0,COUNTA('Mii List'!A$2:A$200),1)*J64+OFFSET(H$2,0,0,COUNTA('Mii List'!A$2:A$200),1)*K64)&gt;0)*((F64*OFFSET(I$2,0,0,COUNTA('Mii List'!A$2:A$200),1)+G64*OFFSET(J$2,0,0,COUNTA('Mii List'!A$2:A$200),1)+H64*OFFSET(K$2,0,0,COUNTA('Mii List'!A$2:A$200),1))&gt;0)*(ROW(OFFSET($A$2,0,0,COUNTA('Mii List'!A$2:A$200),1))&lt;&gt;ROW())*OFFSET(L$2,0,0,COUNTA('Mii List'!A$2:A$200),1))/L64))</f>
        <v/>
      </c>
      <c r="P64" s="46" t="str">
        <f t="shared" si="6"/>
        <v/>
      </c>
    </row>
    <row r="65" spans="1:16" x14ac:dyDescent="0.35">
      <c r="A65" s="46" t="str" cm="1">
        <f t="array" ref="A65">IF(ROW()-1&gt;COUNTA('Mii List'!A$2:A$200),"",INDEX('Mii List'!A$2:A$200,ROW()-1))</f>
        <v/>
      </c>
      <c r="B65" s="46" t="str">
        <f>IF(A65="","",INDEX('Mii List'!B$2:B$200,MATCH(A65,'Mii List'!A$2:A$200,0)))</f>
        <v/>
      </c>
      <c r="C65" s="46" t="str">
        <f>IF(A65="","",INDEX('Mii List'!C$2:C$200,MATCH(A65,'Mii List'!A$2:A$200,0)))</f>
        <v/>
      </c>
      <c r="D65" s="46" t="str">
        <f>IF(A65="","",INDEX('Mii List'!D$2:D$200,MATCH(A65,'Mii List'!A$2:A$200,0)))</f>
        <v/>
      </c>
      <c r="E65" s="46" t="str">
        <f>IF(A65="","",INDEX('Mii List'!E$2:E$200,MATCH(A65,'Mii List'!A$2:A$200,0)))</f>
        <v/>
      </c>
      <c r="F65" s="46">
        <f t="shared" si="0"/>
        <v>0</v>
      </c>
      <c r="G65" s="46">
        <f t="shared" si="1"/>
        <v>0</v>
      </c>
      <c r="H65" s="46">
        <f t="shared" si="2"/>
        <v>0</v>
      </c>
      <c r="I65" s="46">
        <f t="shared" si="3"/>
        <v>0</v>
      </c>
      <c r="J65" s="46">
        <f t="shared" si="4"/>
        <v>0</v>
      </c>
      <c r="K65" s="46">
        <f t="shared" si="5"/>
        <v>0</v>
      </c>
      <c r="L65" s="46" cm="1">
        <f t="array" ref="L65">IF(A65="",0,SUMPRODUCT((A$2:A$201&lt;&gt;"")*((F$2:F$201*I65+G$2:G$201*J65+H$2:H$201*K65)&gt;0)*((F65*I$2:I$201+G65*J$2:J$201+H65*K$2:K$201)&gt;0))-IF(F65*I65+G65*J65+H65*K65&gt;0,1,0))</f>
        <v>0</v>
      </c>
      <c r="M65" s="46" t="str" cm="1">
        <f t="array" ref="M65">IF(A65="","",SUMPRODUCT((A$2:A$201&lt;&gt;"")*(L$2:L$201&lt;L65))+SUMPRODUCT((A$2:A$201&lt;&gt;"")*(L$2:L$201=L65)*(A$2:A$201&lt;A65))+1)</f>
        <v/>
      </c>
      <c r="N65" s="46" t="str" cm="1">
        <f t="array" aca="1" ref="N65" ca="1">IF(A65="","",SUMPRODUCT(((OFFSET(F$2,0,0,COUNTA('Mii List'!A$2:A$200),1)*I65+OFFSET(G$2,0,0,COUNTA('Mii List'!A$2:A$200),1)*J65+OFFSET(H$2,0,0,COUNTA('Mii List'!A$2:A$200),1)*K65)&gt;0)*((F65*OFFSET(I$2,0,0,COUNTA('Mii List'!A$2:A$200),1)+G65*OFFSET(J$2,0,0,COUNTA('Mii List'!A$2:A$200),1)+H65*OFFSET(K$2,0,0,COUNTA('Mii List'!A$2:A$200),1))&gt;0)*(ROW(OFFSET($A$2,0,0,COUNTA('Mii List'!A$2:A$200),1))&lt;&gt;ROW())*IF(OFFSET(L$2,0,0,COUNTA('Mii List'!A$2:A$200),1)&gt;0,1/OFFSET(L$2,0,0,COUNTA('Mii List'!A$2:A$200),1),0)))</f>
        <v/>
      </c>
      <c r="O65" s="46" t="str" cm="1">
        <f t="array" aca="1" ref="O65" ca="1">IF(A65="","",IF(L65=0,0,SUMPRODUCT(((OFFSET(F$2,0,0,COUNTA('Mii List'!A$2:A$200),1)*I65+OFFSET(G$2,0,0,COUNTA('Mii List'!A$2:A$200),1)*J65+OFFSET(H$2,0,0,COUNTA('Mii List'!A$2:A$200),1)*K65)&gt;0)*((F65*OFFSET(I$2,0,0,COUNTA('Mii List'!A$2:A$200),1)+G65*OFFSET(J$2,0,0,COUNTA('Mii List'!A$2:A$200),1)+H65*OFFSET(K$2,0,0,COUNTA('Mii List'!A$2:A$200),1))&gt;0)*(ROW(OFFSET($A$2,0,0,COUNTA('Mii List'!A$2:A$200),1))&lt;&gt;ROW())*OFFSET(L$2,0,0,COUNTA('Mii List'!A$2:A$200),1))/L65))</f>
        <v/>
      </c>
      <c r="P65" s="46" t="str">
        <f t="shared" si="6"/>
        <v/>
      </c>
    </row>
    <row r="66" spans="1:16" x14ac:dyDescent="0.35">
      <c r="A66" s="46" t="str" cm="1">
        <f t="array" ref="A66">IF(ROW()-1&gt;COUNTA('Mii List'!A$2:A$200),"",INDEX('Mii List'!A$2:A$200,ROW()-1))</f>
        <v/>
      </c>
      <c r="B66" s="46" t="str">
        <f>IF(A66="","",INDEX('Mii List'!B$2:B$200,MATCH(A66,'Mii List'!A$2:A$200,0)))</f>
        <v/>
      </c>
      <c r="C66" s="46" t="str">
        <f>IF(A66="","",INDEX('Mii List'!C$2:C$200,MATCH(A66,'Mii List'!A$2:A$200,0)))</f>
        <v/>
      </c>
      <c r="D66" s="46" t="str">
        <f>IF(A66="","",INDEX('Mii List'!D$2:D$200,MATCH(A66,'Mii List'!A$2:A$200,0)))</f>
        <v/>
      </c>
      <c r="E66" s="46" t="str">
        <f>IF(A66="","",INDEX('Mii List'!E$2:E$200,MATCH(A66,'Mii List'!A$2:A$200,0)))</f>
        <v/>
      </c>
      <c r="F66" s="46">
        <f t="shared" si="0"/>
        <v>0</v>
      </c>
      <c r="G66" s="46">
        <f t="shared" si="1"/>
        <v>0</v>
      </c>
      <c r="H66" s="46">
        <f t="shared" si="2"/>
        <v>0</v>
      </c>
      <c r="I66" s="46">
        <f t="shared" si="3"/>
        <v>0</v>
      </c>
      <c r="J66" s="46">
        <f t="shared" si="4"/>
        <v>0</v>
      </c>
      <c r="K66" s="46">
        <f t="shared" si="5"/>
        <v>0</v>
      </c>
      <c r="L66" s="46" cm="1">
        <f t="array" ref="L66">IF(A66="",0,SUMPRODUCT((A$2:A$201&lt;&gt;"")*((F$2:F$201*I66+G$2:G$201*J66+H$2:H$201*K66)&gt;0)*((F66*I$2:I$201+G66*J$2:J$201+H66*K$2:K$201)&gt;0))-IF(F66*I66+G66*J66+H66*K66&gt;0,1,0))</f>
        <v>0</v>
      </c>
      <c r="M66" s="46" t="str" cm="1">
        <f t="array" ref="M66">IF(A66="","",SUMPRODUCT((A$2:A$201&lt;&gt;"")*(L$2:L$201&lt;L66))+SUMPRODUCT((A$2:A$201&lt;&gt;"")*(L$2:L$201=L66)*(A$2:A$201&lt;A66))+1)</f>
        <v/>
      </c>
      <c r="N66" s="46" t="str" cm="1">
        <f t="array" aca="1" ref="N66" ca="1">IF(A66="","",SUMPRODUCT(((OFFSET(F$2,0,0,COUNTA('Mii List'!A$2:A$200),1)*I66+OFFSET(G$2,0,0,COUNTA('Mii List'!A$2:A$200),1)*J66+OFFSET(H$2,0,0,COUNTA('Mii List'!A$2:A$200),1)*K66)&gt;0)*((F66*OFFSET(I$2,0,0,COUNTA('Mii List'!A$2:A$200),1)+G66*OFFSET(J$2,0,0,COUNTA('Mii List'!A$2:A$200),1)+H66*OFFSET(K$2,0,0,COUNTA('Mii List'!A$2:A$200),1))&gt;0)*(ROW(OFFSET($A$2,0,0,COUNTA('Mii List'!A$2:A$200),1))&lt;&gt;ROW())*IF(OFFSET(L$2,0,0,COUNTA('Mii List'!A$2:A$200),1)&gt;0,1/OFFSET(L$2,0,0,COUNTA('Mii List'!A$2:A$200),1),0)))</f>
        <v/>
      </c>
      <c r="O66" s="46" t="str" cm="1">
        <f t="array" aca="1" ref="O66" ca="1">IF(A66="","",IF(L66=0,0,SUMPRODUCT(((OFFSET(F$2,0,0,COUNTA('Mii List'!A$2:A$200),1)*I66+OFFSET(G$2,0,0,COUNTA('Mii List'!A$2:A$200),1)*J66+OFFSET(H$2,0,0,COUNTA('Mii List'!A$2:A$200),1)*K66)&gt;0)*((F66*OFFSET(I$2,0,0,COUNTA('Mii List'!A$2:A$200),1)+G66*OFFSET(J$2,0,0,COUNTA('Mii List'!A$2:A$200),1)+H66*OFFSET(K$2,0,0,COUNTA('Mii List'!A$2:A$200),1))&gt;0)*(ROW(OFFSET($A$2,0,0,COUNTA('Mii List'!A$2:A$200),1))&lt;&gt;ROW())*OFFSET(L$2,0,0,COUNTA('Mii List'!A$2:A$200),1))/L66))</f>
        <v/>
      </c>
      <c r="P66" s="46" t="str">
        <f t="shared" si="6"/>
        <v/>
      </c>
    </row>
    <row r="67" spans="1:16" x14ac:dyDescent="0.35">
      <c r="A67" s="46" t="str" cm="1">
        <f t="array" ref="A67">IF(ROW()-1&gt;COUNTA('Mii List'!A$2:A$200),"",INDEX('Mii List'!A$2:A$200,ROW()-1))</f>
        <v/>
      </c>
      <c r="B67" s="46" t="str">
        <f>IF(A67="","",INDEX('Mii List'!B$2:B$200,MATCH(A67,'Mii List'!A$2:A$200,0)))</f>
        <v/>
      </c>
      <c r="C67" s="46" t="str">
        <f>IF(A67="","",INDEX('Mii List'!C$2:C$200,MATCH(A67,'Mii List'!A$2:A$200,0)))</f>
        <v/>
      </c>
      <c r="D67" s="46" t="str">
        <f>IF(A67="","",INDEX('Mii List'!D$2:D$200,MATCH(A67,'Mii List'!A$2:A$200,0)))</f>
        <v/>
      </c>
      <c r="E67" s="46" t="str">
        <f>IF(A67="","",INDEX('Mii List'!E$2:E$200,MATCH(A67,'Mii List'!A$2:A$200,0)))</f>
        <v/>
      </c>
      <c r="F67" s="46">
        <f t="shared" ref="F67:F130" si="7">IF(A67="",0,(C67="✓")*1)</f>
        <v>0</v>
      </c>
      <c r="G67" s="46">
        <f t="shared" ref="G67:G130" si="8">IF(A67="",0,(D67="✓")*1)</f>
        <v>0</v>
      </c>
      <c r="H67" s="46">
        <f t="shared" ref="H67:H130" si="9">IF(A67="",0,(E67="✓")*1)</f>
        <v>0</v>
      </c>
      <c r="I67" s="46">
        <f t="shared" ref="I67:I130" si="10">IF(A67="",0,(B67="Male")*1)</f>
        <v>0</v>
      </c>
      <c r="J67" s="46">
        <f t="shared" ref="J67:J130" si="11">IF(A67="",0,(B67="Female")*1)</f>
        <v>0</v>
      </c>
      <c r="K67" s="46">
        <f t="shared" ref="K67:K130" si="12">IF(A67="",0,(B67="Nonbinary")*1)</f>
        <v>0</v>
      </c>
      <c r="L67" s="46" cm="1">
        <f t="array" ref="L67">IF(A67="",0,SUMPRODUCT((A$2:A$201&lt;&gt;"")*((F$2:F$201*I67+G$2:G$201*J67+H$2:H$201*K67)&gt;0)*((F67*I$2:I$201+G67*J$2:J$201+H67*K$2:K$201)&gt;0))-IF(F67*I67+G67*J67+H67*K67&gt;0,1,0))</f>
        <v>0</v>
      </c>
      <c r="M67" s="46" t="str" cm="1">
        <f t="array" ref="M67">IF(A67="","",SUMPRODUCT((A$2:A$201&lt;&gt;"")*(L$2:L$201&lt;L67))+SUMPRODUCT((A$2:A$201&lt;&gt;"")*(L$2:L$201=L67)*(A$2:A$201&lt;A67))+1)</f>
        <v/>
      </c>
      <c r="N67" s="46" t="str" cm="1">
        <f t="array" aca="1" ref="N67" ca="1">IF(A67="","",SUMPRODUCT(((OFFSET(F$2,0,0,COUNTA('Mii List'!A$2:A$200),1)*I67+OFFSET(G$2,0,0,COUNTA('Mii List'!A$2:A$200),1)*J67+OFFSET(H$2,0,0,COUNTA('Mii List'!A$2:A$200),1)*K67)&gt;0)*((F67*OFFSET(I$2,0,0,COUNTA('Mii List'!A$2:A$200),1)+G67*OFFSET(J$2,0,0,COUNTA('Mii List'!A$2:A$200),1)+H67*OFFSET(K$2,0,0,COUNTA('Mii List'!A$2:A$200),1))&gt;0)*(ROW(OFFSET($A$2,0,0,COUNTA('Mii List'!A$2:A$200),1))&lt;&gt;ROW())*IF(OFFSET(L$2,0,0,COUNTA('Mii List'!A$2:A$200),1)&gt;0,1/OFFSET(L$2,0,0,COUNTA('Mii List'!A$2:A$200),1),0)))</f>
        <v/>
      </c>
      <c r="O67" s="46" t="str" cm="1">
        <f t="array" aca="1" ref="O67" ca="1">IF(A67="","",IF(L67=0,0,SUMPRODUCT(((OFFSET(F$2,0,0,COUNTA('Mii List'!A$2:A$200),1)*I67+OFFSET(G$2,0,0,COUNTA('Mii List'!A$2:A$200),1)*J67+OFFSET(H$2,0,0,COUNTA('Mii List'!A$2:A$200),1)*K67)&gt;0)*((F67*OFFSET(I$2,0,0,COUNTA('Mii List'!A$2:A$200),1)+G67*OFFSET(J$2,0,0,COUNTA('Mii List'!A$2:A$200),1)+H67*OFFSET(K$2,0,0,COUNTA('Mii List'!A$2:A$200),1))&gt;0)*(ROW(OFFSET($A$2,0,0,COUNTA('Mii List'!A$2:A$200),1))&lt;&gt;ROW())*OFFSET(L$2,0,0,COUNTA('Mii List'!A$2:A$200),1))/L67))</f>
        <v/>
      </c>
      <c r="P67" s="46" t="str">
        <f t="shared" ref="P67:P130" si="13">IF(A67="","",IF(L67*O67&gt;0,MIN(1,L67/O67),0))</f>
        <v/>
      </c>
    </row>
    <row r="68" spans="1:16" x14ac:dyDescent="0.35">
      <c r="A68" s="46" t="str" cm="1">
        <f t="array" ref="A68">IF(ROW()-1&gt;COUNTA('Mii List'!A$2:A$200),"",INDEX('Mii List'!A$2:A$200,ROW()-1))</f>
        <v/>
      </c>
      <c r="B68" s="46" t="str">
        <f>IF(A68="","",INDEX('Mii List'!B$2:B$200,MATCH(A68,'Mii List'!A$2:A$200,0)))</f>
        <v/>
      </c>
      <c r="C68" s="46" t="str">
        <f>IF(A68="","",INDEX('Mii List'!C$2:C$200,MATCH(A68,'Mii List'!A$2:A$200,0)))</f>
        <v/>
      </c>
      <c r="D68" s="46" t="str">
        <f>IF(A68="","",INDEX('Mii List'!D$2:D$200,MATCH(A68,'Mii List'!A$2:A$200,0)))</f>
        <v/>
      </c>
      <c r="E68" s="46" t="str">
        <f>IF(A68="","",INDEX('Mii List'!E$2:E$200,MATCH(A68,'Mii List'!A$2:A$200,0)))</f>
        <v/>
      </c>
      <c r="F68" s="46">
        <f t="shared" si="7"/>
        <v>0</v>
      </c>
      <c r="G68" s="46">
        <f t="shared" si="8"/>
        <v>0</v>
      </c>
      <c r="H68" s="46">
        <f t="shared" si="9"/>
        <v>0</v>
      </c>
      <c r="I68" s="46">
        <f t="shared" si="10"/>
        <v>0</v>
      </c>
      <c r="J68" s="46">
        <f t="shared" si="11"/>
        <v>0</v>
      </c>
      <c r="K68" s="46">
        <f t="shared" si="12"/>
        <v>0</v>
      </c>
      <c r="L68" s="46" cm="1">
        <f t="array" ref="L68">IF(A68="",0,SUMPRODUCT((A$2:A$201&lt;&gt;"")*((F$2:F$201*I68+G$2:G$201*J68+H$2:H$201*K68)&gt;0)*((F68*I$2:I$201+G68*J$2:J$201+H68*K$2:K$201)&gt;0))-IF(F68*I68+G68*J68+H68*K68&gt;0,1,0))</f>
        <v>0</v>
      </c>
      <c r="M68" s="46" t="str" cm="1">
        <f t="array" ref="M68">IF(A68="","",SUMPRODUCT((A$2:A$201&lt;&gt;"")*(L$2:L$201&lt;L68))+SUMPRODUCT((A$2:A$201&lt;&gt;"")*(L$2:L$201=L68)*(A$2:A$201&lt;A68))+1)</f>
        <v/>
      </c>
      <c r="N68" s="46" t="str" cm="1">
        <f t="array" aca="1" ref="N68" ca="1">IF(A68="","",SUMPRODUCT(((OFFSET(F$2,0,0,COUNTA('Mii List'!A$2:A$200),1)*I68+OFFSET(G$2,0,0,COUNTA('Mii List'!A$2:A$200),1)*J68+OFFSET(H$2,0,0,COUNTA('Mii List'!A$2:A$200),1)*K68)&gt;0)*((F68*OFFSET(I$2,0,0,COUNTA('Mii List'!A$2:A$200),1)+G68*OFFSET(J$2,0,0,COUNTA('Mii List'!A$2:A$200),1)+H68*OFFSET(K$2,0,0,COUNTA('Mii List'!A$2:A$200),1))&gt;0)*(ROW(OFFSET($A$2,0,0,COUNTA('Mii List'!A$2:A$200),1))&lt;&gt;ROW())*IF(OFFSET(L$2,0,0,COUNTA('Mii List'!A$2:A$200),1)&gt;0,1/OFFSET(L$2,0,0,COUNTA('Mii List'!A$2:A$200),1),0)))</f>
        <v/>
      </c>
      <c r="O68" s="46" t="str" cm="1">
        <f t="array" aca="1" ref="O68" ca="1">IF(A68="","",IF(L68=0,0,SUMPRODUCT(((OFFSET(F$2,0,0,COUNTA('Mii List'!A$2:A$200),1)*I68+OFFSET(G$2,0,0,COUNTA('Mii List'!A$2:A$200),1)*J68+OFFSET(H$2,0,0,COUNTA('Mii List'!A$2:A$200),1)*K68)&gt;0)*((F68*OFFSET(I$2,0,0,COUNTA('Mii List'!A$2:A$200),1)+G68*OFFSET(J$2,0,0,COUNTA('Mii List'!A$2:A$200),1)+H68*OFFSET(K$2,0,0,COUNTA('Mii List'!A$2:A$200),1))&gt;0)*(ROW(OFFSET($A$2,0,0,COUNTA('Mii List'!A$2:A$200),1))&lt;&gt;ROW())*OFFSET(L$2,0,0,COUNTA('Mii List'!A$2:A$200),1))/L68))</f>
        <v/>
      </c>
      <c r="P68" s="46" t="str">
        <f t="shared" si="13"/>
        <v/>
      </c>
    </row>
    <row r="69" spans="1:16" x14ac:dyDescent="0.35">
      <c r="A69" s="46" t="str" cm="1">
        <f t="array" ref="A69">IF(ROW()-1&gt;COUNTA('Mii List'!A$2:A$200),"",INDEX('Mii List'!A$2:A$200,ROW()-1))</f>
        <v/>
      </c>
      <c r="B69" s="46" t="str">
        <f>IF(A69="","",INDEX('Mii List'!B$2:B$200,MATCH(A69,'Mii List'!A$2:A$200,0)))</f>
        <v/>
      </c>
      <c r="C69" s="46" t="str">
        <f>IF(A69="","",INDEX('Mii List'!C$2:C$200,MATCH(A69,'Mii List'!A$2:A$200,0)))</f>
        <v/>
      </c>
      <c r="D69" s="46" t="str">
        <f>IF(A69="","",INDEX('Mii List'!D$2:D$200,MATCH(A69,'Mii List'!A$2:A$200,0)))</f>
        <v/>
      </c>
      <c r="E69" s="46" t="str">
        <f>IF(A69="","",INDEX('Mii List'!E$2:E$200,MATCH(A69,'Mii List'!A$2:A$200,0)))</f>
        <v/>
      </c>
      <c r="F69" s="46">
        <f t="shared" si="7"/>
        <v>0</v>
      </c>
      <c r="G69" s="46">
        <f t="shared" si="8"/>
        <v>0</v>
      </c>
      <c r="H69" s="46">
        <f t="shared" si="9"/>
        <v>0</v>
      </c>
      <c r="I69" s="46">
        <f t="shared" si="10"/>
        <v>0</v>
      </c>
      <c r="J69" s="46">
        <f t="shared" si="11"/>
        <v>0</v>
      </c>
      <c r="K69" s="46">
        <f t="shared" si="12"/>
        <v>0</v>
      </c>
      <c r="L69" s="46" cm="1">
        <f t="array" ref="L69">IF(A69="",0,SUMPRODUCT((A$2:A$201&lt;&gt;"")*((F$2:F$201*I69+G$2:G$201*J69+H$2:H$201*K69)&gt;0)*((F69*I$2:I$201+G69*J$2:J$201+H69*K$2:K$201)&gt;0))-IF(F69*I69+G69*J69+H69*K69&gt;0,1,0))</f>
        <v>0</v>
      </c>
      <c r="M69" s="46" t="str" cm="1">
        <f t="array" ref="M69">IF(A69="","",SUMPRODUCT((A$2:A$201&lt;&gt;"")*(L$2:L$201&lt;L69))+SUMPRODUCT((A$2:A$201&lt;&gt;"")*(L$2:L$201=L69)*(A$2:A$201&lt;A69))+1)</f>
        <v/>
      </c>
      <c r="N69" s="46" t="str" cm="1">
        <f t="array" aca="1" ref="N69" ca="1">IF(A69="","",SUMPRODUCT(((OFFSET(F$2,0,0,COUNTA('Mii List'!A$2:A$200),1)*I69+OFFSET(G$2,0,0,COUNTA('Mii List'!A$2:A$200),1)*J69+OFFSET(H$2,0,0,COUNTA('Mii List'!A$2:A$200),1)*K69)&gt;0)*((F69*OFFSET(I$2,0,0,COUNTA('Mii List'!A$2:A$200),1)+G69*OFFSET(J$2,0,0,COUNTA('Mii List'!A$2:A$200),1)+H69*OFFSET(K$2,0,0,COUNTA('Mii List'!A$2:A$200),1))&gt;0)*(ROW(OFFSET($A$2,0,0,COUNTA('Mii List'!A$2:A$200),1))&lt;&gt;ROW())*IF(OFFSET(L$2,0,0,COUNTA('Mii List'!A$2:A$200),1)&gt;0,1/OFFSET(L$2,0,0,COUNTA('Mii List'!A$2:A$200),1),0)))</f>
        <v/>
      </c>
      <c r="O69" s="46" t="str" cm="1">
        <f t="array" aca="1" ref="O69" ca="1">IF(A69="","",IF(L69=0,0,SUMPRODUCT(((OFFSET(F$2,0,0,COUNTA('Mii List'!A$2:A$200),1)*I69+OFFSET(G$2,0,0,COUNTA('Mii List'!A$2:A$200),1)*J69+OFFSET(H$2,0,0,COUNTA('Mii List'!A$2:A$200),1)*K69)&gt;0)*((F69*OFFSET(I$2,0,0,COUNTA('Mii List'!A$2:A$200),1)+G69*OFFSET(J$2,0,0,COUNTA('Mii List'!A$2:A$200),1)+H69*OFFSET(K$2,0,0,COUNTA('Mii List'!A$2:A$200),1))&gt;0)*(ROW(OFFSET($A$2,0,0,COUNTA('Mii List'!A$2:A$200),1))&lt;&gt;ROW())*OFFSET(L$2,0,0,COUNTA('Mii List'!A$2:A$200),1))/L69))</f>
        <v/>
      </c>
      <c r="P69" s="46" t="str">
        <f t="shared" si="13"/>
        <v/>
      </c>
    </row>
    <row r="70" spans="1:16" x14ac:dyDescent="0.35">
      <c r="A70" s="46" t="str" cm="1">
        <f t="array" ref="A70">IF(ROW()-1&gt;COUNTA('Mii List'!A$2:A$200),"",INDEX('Mii List'!A$2:A$200,ROW()-1))</f>
        <v/>
      </c>
      <c r="B70" s="46" t="str">
        <f>IF(A70="","",INDEX('Mii List'!B$2:B$200,MATCH(A70,'Mii List'!A$2:A$200,0)))</f>
        <v/>
      </c>
      <c r="C70" s="46" t="str">
        <f>IF(A70="","",INDEX('Mii List'!C$2:C$200,MATCH(A70,'Mii List'!A$2:A$200,0)))</f>
        <v/>
      </c>
      <c r="D70" s="46" t="str">
        <f>IF(A70="","",INDEX('Mii List'!D$2:D$200,MATCH(A70,'Mii List'!A$2:A$200,0)))</f>
        <v/>
      </c>
      <c r="E70" s="46" t="str">
        <f>IF(A70="","",INDEX('Mii List'!E$2:E$200,MATCH(A70,'Mii List'!A$2:A$200,0)))</f>
        <v/>
      </c>
      <c r="F70" s="46">
        <f t="shared" si="7"/>
        <v>0</v>
      </c>
      <c r="G70" s="46">
        <f t="shared" si="8"/>
        <v>0</v>
      </c>
      <c r="H70" s="46">
        <f t="shared" si="9"/>
        <v>0</v>
      </c>
      <c r="I70" s="46">
        <f t="shared" si="10"/>
        <v>0</v>
      </c>
      <c r="J70" s="46">
        <f t="shared" si="11"/>
        <v>0</v>
      </c>
      <c r="K70" s="46">
        <f t="shared" si="12"/>
        <v>0</v>
      </c>
      <c r="L70" s="46" cm="1">
        <f t="array" ref="L70">IF(A70="",0,SUMPRODUCT((A$2:A$201&lt;&gt;"")*((F$2:F$201*I70+G$2:G$201*J70+H$2:H$201*K70)&gt;0)*((F70*I$2:I$201+G70*J$2:J$201+H70*K$2:K$201)&gt;0))-IF(F70*I70+G70*J70+H70*K70&gt;0,1,0))</f>
        <v>0</v>
      </c>
      <c r="M70" s="46" t="str" cm="1">
        <f t="array" ref="M70">IF(A70="","",SUMPRODUCT((A$2:A$201&lt;&gt;"")*(L$2:L$201&lt;L70))+SUMPRODUCT((A$2:A$201&lt;&gt;"")*(L$2:L$201=L70)*(A$2:A$201&lt;A70))+1)</f>
        <v/>
      </c>
      <c r="N70" s="46" t="str" cm="1">
        <f t="array" aca="1" ref="N70" ca="1">IF(A70="","",SUMPRODUCT(((OFFSET(F$2,0,0,COUNTA('Mii List'!A$2:A$200),1)*I70+OFFSET(G$2,0,0,COUNTA('Mii List'!A$2:A$200),1)*J70+OFFSET(H$2,0,0,COUNTA('Mii List'!A$2:A$200),1)*K70)&gt;0)*((F70*OFFSET(I$2,0,0,COUNTA('Mii List'!A$2:A$200),1)+G70*OFFSET(J$2,0,0,COUNTA('Mii List'!A$2:A$200),1)+H70*OFFSET(K$2,0,0,COUNTA('Mii List'!A$2:A$200),1))&gt;0)*(ROW(OFFSET($A$2,0,0,COUNTA('Mii List'!A$2:A$200),1))&lt;&gt;ROW())*IF(OFFSET(L$2,0,0,COUNTA('Mii List'!A$2:A$200),1)&gt;0,1/OFFSET(L$2,0,0,COUNTA('Mii List'!A$2:A$200),1),0)))</f>
        <v/>
      </c>
      <c r="O70" s="46" t="str" cm="1">
        <f t="array" aca="1" ref="O70" ca="1">IF(A70="","",IF(L70=0,0,SUMPRODUCT(((OFFSET(F$2,0,0,COUNTA('Mii List'!A$2:A$200),1)*I70+OFFSET(G$2,0,0,COUNTA('Mii List'!A$2:A$200),1)*J70+OFFSET(H$2,0,0,COUNTA('Mii List'!A$2:A$200),1)*K70)&gt;0)*((F70*OFFSET(I$2,0,0,COUNTA('Mii List'!A$2:A$200),1)+G70*OFFSET(J$2,0,0,COUNTA('Mii List'!A$2:A$200),1)+H70*OFFSET(K$2,0,0,COUNTA('Mii List'!A$2:A$200),1))&gt;0)*(ROW(OFFSET($A$2,0,0,COUNTA('Mii List'!A$2:A$200),1))&lt;&gt;ROW())*OFFSET(L$2,0,0,COUNTA('Mii List'!A$2:A$200),1))/L70))</f>
        <v/>
      </c>
      <c r="P70" s="46" t="str">
        <f t="shared" si="13"/>
        <v/>
      </c>
    </row>
    <row r="71" spans="1:16" x14ac:dyDescent="0.35">
      <c r="A71" s="46" t="str" cm="1">
        <f t="array" ref="A71">IF(ROW()-1&gt;COUNTA('Mii List'!A$2:A$200),"",INDEX('Mii List'!A$2:A$200,ROW()-1))</f>
        <v/>
      </c>
      <c r="B71" s="46" t="str">
        <f>IF(A71="","",INDEX('Mii List'!B$2:B$200,MATCH(A71,'Mii List'!A$2:A$200,0)))</f>
        <v/>
      </c>
      <c r="C71" s="46" t="str">
        <f>IF(A71="","",INDEX('Mii List'!C$2:C$200,MATCH(A71,'Mii List'!A$2:A$200,0)))</f>
        <v/>
      </c>
      <c r="D71" s="46" t="str">
        <f>IF(A71="","",INDEX('Mii List'!D$2:D$200,MATCH(A71,'Mii List'!A$2:A$200,0)))</f>
        <v/>
      </c>
      <c r="E71" s="46" t="str">
        <f>IF(A71="","",INDEX('Mii List'!E$2:E$200,MATCH(A71,'Mii List'!A$2:A$200,0)))</f>
        <v/>
      </c>
      <c r="F71" s="46">
        <f t="shared" si="7"/>
        <v>0</v>
      </c>
      <c r="G71" s="46">
        <f t="shared" si="8"/>
        <v>0</v>
      </c>
      <c r="H71" s="46">
        <f t="shared" si="9"/>
        <v>0</v>
      </c>
      <c r="I71" s="46">
        <f t="shared" si="10"/>
        <v>0</v>
      </c>
      <c r="J71" s="46">
        <f t="shared" si="11"/>
        <v>0</v>
      </c>
      <c r="K71" s="46">
        <f t="shared" si="12"/>
        <v>0</v>
      </c>
      <c r="L71" s="46" cm="1">
        <f t="array" ref="L71">IF(A71="",0,SUMPRODUCT((A$2:A$201&lt;&gt;"")*((F$2:F$201*I71+G$2:G$201*J71+H$2:H$201*K71)&gt;0)*((F71*I$2:I$201+G71*J$2:J$201+H71*K$2:K$201)&gt;0))-IF(F71*I71+G71*J71+H71*K71&gt;0,1,0))</f>
        <v>0</v>
      </c>
      <c r="M71" s="46" t="str" cm="1">
        <f t="array" ref="M71">IF(A71="","",SUMPRODUCT((A$2:A$201&lt;&gt;"")*(L$2:L$201&lt;L71))+SUMPRODUCT((A$2:A$201&lt;&gt;"")*(L$2:L$201=L71)*(A$2:A$201&lt;A71))+1)</f>
        <v/>
      </c>
      <c r="N71" s="46" t="str" cm="1">
        <f t="array" aca="1" ref="N71" ca="1">IF(A71="","",SUMPRODUCT(((OFFSET(F$2,0,0,COUNTA('Mii List'!A$2:A$200),1)*I71+OFFSET(G$2,0,0,COUNTA('Mii List'!A$2:A$200),1)*J71+OFFSET(H$2,0,0,COUNTA('Mii List'!A$2:A$200),1)*K71)&gt;0)*((F71*OFFSET(I$2,0,0,COUNTA('Mii List'!A$2:A$200),1)+G71*OFFSET(J$2,0,0,COUNTA('Mii List'!A$2:A$200),1)+H71*OFFSET(K$2,0,0,COUNTA('Mii List'!A$2:A$200),1))&gt;0)*(ROW(OFFSET($A$2,0,0,COUNTA('Mii List'!A$2:A$200),1))&lt;&gt;ROW())*IF(OFFSET(L$2,0,0,COUNTA('Mii List'!A$2:A$200),1)&gt;0,1/OFFSET(L$2,0,0,COUNTA('Mii List'!A$2:A$200),1),0)))</f>
        <v/>
      </c>
      <c r="O71" s="46" t="str" cm="1">
        <f t="array" aca="1" ref="O71" ca="1">IF(A71="","",IF(L71=0,0,SUMPRODUCT(((OFFSET(F$2,0,0,COUNTA('Mii List'!A$2:A$200),1)*I71+OFFSET(G$2,0,0,COUNTA('Mii List'!A$2:A$200),1)*J71+OFFSET(H$2,0,0,COUNTA('Mii List'!A$2:A$200),1)*K71)&gt;0)*((F71*OFFSET(I$2,0,0,COUNTA('Mii List'!A$2:A$200),1)+G71*OFFSET(J$2,0,0,COUNTA('Mii List'!A$2:A$200),1)+H71*OFFSET(K$2,0,0,COUNTA('Mii List'!A$2:A$200),1))&gt;0)*(ROW(OFFSET($A$2,0,0,COUNTA('Mii List'!A$2:A$200),1))&lt;&gt;ROW())*OFFSET(L$2,0,0,COUNTA('Mii List'!A$2:A$200),1))/L71))</f>
        <v/>
      </c>
      <c r="P71" s="46" t="str">
        <f t="shared" si="13"/>
        <v/>
      </c>
    </row>
    <row r="72" spans="1:16" x14ac:dyDescent="0.35">
      <c r="A72" s="46" t="str" cm="1">
        <f t="array" ref="A72">IF(ROW()-1&gt;COUNTA('Mii List'!A$2:A$200),"",INDEX('Mii List'!A$2:A$200,ROW()-1))</f>
        <v/>
      </c>
      <c r="B72" s="46" t="str">
        <f>IF(A72="","",INDEX('Mii List'!B$2:B$200,MATCH(A72,'Mii List'!A$2:A$200,0)))</f>
        <v/>
      </c>
      <c r="C72" s="46" t="str">
        <f>IF(A72="","",INDEX('Mii List'!C$2:C$200,MATCH(A72,'Mii List'!A$2:A$200,0)))</f>
        <v/>
      </c>
      <c r="D72" s="46" t="str">
        <f>IF(A72="","",INDEX('Mii List'!D$2:D$200,MATCH(A72,'Mii List'!A$2:A$200,0)))</f>
        <v/>
      </c>
      <c r="E72" s="46" t="str">
        <f>IF(A72="","",INDEX('Mii List'!E$2:E$200,MATCH(A72,'Mii List'!A$2:A$200,0)))</f>
        <v/>
      </c>
      <c r="F72" s="46">
        <f t="shared" si="7"/>
        <v>0</v>
      </c>
      <c r="G72" s="46">
        <f t="shared" si="8"/>
        <v>0</v>
      </c>
      <c r="H72" s="46">
        <f t="shared" si="9"/>
        <v>0</v>
      </c>
      <c r="I72" s="46">
        <f t="shared" si="10"/>
        <v>0</v>
      </c>
      <c r="J72" s="46">
        <f t="shared" si="11"/>
        <v>0</v>
      </c>
      <c r="K72" s="46">
        <f t="shared" si="12"/>
        <v>0</v>
      </c>
      <c r="L72" s="46" cm="1">
        <f t="array" ref="L72">IF(A72="",0,SUMPRODUCT((A$2:A$201&lt;&gt;"")*((F$2:F$201*I72+G$2:G$201*J72+H$2:H$201*K72)&gt;0)*((F72*I$2:I$201+G72*J$2:J$201+H72*K$2:K$201)&gt;0))-IF(F72*I72+G72*J72+H72*K72&gt;0,1,0))</f>
        <v>0</v>
      </c>
      <c r="M72" s="46" t="str" cm="1">
        <f t="array" ref="M72">IF(A72="","",SUMPRODUCT((A$2:A$201&lt;&gt;"")*(L$2:L$201&lt;L72))+SUMPRODUCT((A$2:A$201&lt;&gt;"")*(L$2:L$201=L72)*(A$2:A$201&lt;A72))+1)</f>
        <v/>
      </c>
      <c r="N72" s="46" t="str" cm="1">
        <f t="array" aca="1" ref="N72" ca="1">IF(A72="","",SUMPRODUCT(((OFFSET(F$2,0,0,COUNTA('Mii List'!A$2:A$200),1)*I72+OFFSET(G$2,0,0,COUNTA('Mii List'!A$2:A$200),1)*J72+OFFSET(H$2,0,0,COUNTA('Mii List'!A$2:A$200),1)*K72)&gt;0)*((F72*OFFSET(I$2,0,0,COUNTA('Mii List'!A$2:A$200),1)+G72*OFFSET(J$2,0,0,COUNTA('Mii List'!A$2:A$200),1)+H72*OFFSET(K$2,0,0,COUNTA('Mii List'!A$2:A$200),1))&gt;0)*(ROW(OFFSET($A$2,0,0,COUNTA('Mii List'!A$2:A$200),1))&lt;&gt;ROW())*IF(OFFSET(L$2,0,0,COUNTA('Mii List'!A$2:A$200),1)&gt;0,1/OFFSET(L$2,0,0,COUNTA('Mii List'!A$2:A$200),1),0)))</f>
        <v/>
      </c>
      <c r="O72" s="46" t="str" cm="1">
        <f t="array" aca="1" ref="O72" ca="1">IF(A72="","",IF(L72=0,0,SUMPRODUCT(((OFFSET(F$2,0,0,COUNTA('Mii List'!A$2:A$200),1)*I72+OFFSET(G$2,0,0,COUNTA('Mii List'!A$2:A$200),1)*J72+OFFSET(H$2,0,0,COUNTA('Mii List'!A$2:A$200),1)*K72)&gt;0)*((F72*OFFSET(I$2,0,0,COUNTA('Mii List'!A$2:A$200),1)+G72*OFFSET(J$2,0,0,COUNTA('Mii List'!A$2:A$200),1)+H72*OFFSET(K$2,0,0,COUNTA('Mii List'!A$2:A$200),1))&gt;0)*(ROW(OFFSET($A$2,0,0,COUNTA('Mii List'!A$2:A$200),1))&lt;&gt;ROW())*OFFSET(L$2,0,0,COUNTA('Mii List'!A$2:A$200),1))/L72))</f>
        <v/>
      </c>
      <c r="P72" s="46" t="str">
        <f t="shared" si="13"/>
        <v/>
      </c>
    </row>
    <row r="73" spans="1:16" x14ac:dyDescent="0.35">
      <c r="A73" s="46" t="str" cm="1">
        <f t="array" ref="A73">IF(ROW()-1&gt;COUNTA('Mii List'!A$2:A$200),"",INDEX('Mii List'!A$2:A$200,ROW()-1))</f>
        <v/>
      </c>
      <c r="B73" s="46" t="str">
        <f>IF(A73="","",INDEX('Mii List'!B$2:B$200,MATCH(A73,'Mii List'!A$2:A$200,0)))</f>
        <v/>
      </c>
      <c r="C73" s="46" t="str">
        <f>IF(A73="","",INDEX('Mii List'!C$2:C$200,MATCH(A73,'Mii List'!A$2:A$200,0)))</f>
        <v/>
      </c>
      <c r="D73" s="46" t="str">
        <f>IF(A73="","",INDEX('Mii List'!D$2:D$200,MATCH(A73,'Mii List'!A$2:A$200,0)))</f>
        <v/>
      </c>
      <c r="E73" s="46" t="str">
        <f>IF(A73="","",INDEX('Mii List'!E$2:E$200,MATCH(A73,'Mii List'!A$2:A$200,0)))</f>
        <v/>
      </c>
      <c r="F73" s="46">
        <f t="shared" si="7"/>
        <v>0</v>
      </c>
      <c r="G73" s="46">
        <f t="shared" si="8"/>
        <v>0</v>
      </c>
      <c r="H73" s="46">
        <f t="shared" si="9"/>
        <v>0</v>
      </c>
      <c r="I73" s="46">
        <f t="shared" si="10"/>
        <v>0</v>
      </c>
      <c r="J73" s="46">
        <f t="shared" si="11"/>
        <v>0</v>
      </c>
      <c r="K73" s="46">
        <f t="shared" si="12"/>
        <v>0</v>
      </c>
      <c r="L73" s="46" cm="1">
        <f t="array" ref="L73">IF(A73="",0,SUMPRODUCT((A$2:A$201&lt;&gt;"")*((F$2:F$201*I73+G$2:G$201*J73+H$2:H$201*K73)&gt;0)*((F73*I$2:I$201+G73*J$2:J$201+H73*K$2:K$201)&gt;0))-IF(F73*I73+G73*J73+H73*K73&gt;0,1,0))</f>
        <v>0</v>
      </c>
      <c r="M73" s="46" t="str" cm="1">
        <f t="array" ref="M73">IF(A73="","",SUMPRODUCT((A$2:A$201&lt;&gt;"")*(L$2:L$201&lt;L73))+SUMPRODUCT((A$2:A$201&lt;&gt;"")*(L$2:L$201=L73)*(A$2:A$201&lt;A73))+1)</f>
        <v/>
      </c>
      <c r="N73" s="46" t="str" cm="1">
        <f t="array" aca="1" ref="N73" ca="1">IF(A73="","",SUMPRODUCT(((OFFSET(F$2,0,0,COUNTA('Mii List'!A$2:A$200),1)*I73+OFFSET(G$2,0,0,COUNTA('Mii List'!A$2:A$200),1)*J73+OFFSET(H$2,0,0,COUNTA('Mii List'!A$2:A$200),1)*K73)&gt;0)*((F73*OFFSET(I$2,0,0,COUNTA('Mii List'!A$2:A$200),1)+G73*OFFSET(J$2,0,0,COUNTA('Mii List'!A$2:A$200),1)+H73*OFFSET(K$2,0,0,COUNTA('Mii List'!A$2:A$200),1))&gt;0)*(ROW(OFFSET($A$2,0,0,COUNTA('Mii List'!A$2:A$200),1))&lt;&gt;ROW())*IF(OFFSET(L$2,0,0,COUNTA('Mii List'!A$2:A$200),1)&gt;0,1/OFFSET(L$2,0,0,COUNTA('Mii List'!A$2:A$200),1),0)))</f>
        <v/>
      </c>
      <c r="O73" s="46" t="str" cm="1">
        <f t="array" aca="1" ref="O73" ca="1">IF(A73="","",IF(L73=0,0,SUMPRODUCT(((OFFSET(F$2,0,0,COUNTA('Mii List'!A$2:A$200),1)*I73+OFFSET(G$2,0,0,COUNTA('Mii List'!A$2:A$200),1)*J73+OFFSET(H$2,0,0,COUNTA('Mii List'!A$2:A$200),1)*K73)&gt;0)*((F73*OFFSET(I$2,0,0,COUNTA('Mii List'!A$2:A$200),1)+G73*OFFSET(J$2,0,0,COUNTA('Mii List'!A$2:A$200),1)+H73*OFFSET(K$2,0,0,COUNTA('Mii List'!A$2:A$200),1))&gt;0)*(ROW(OFFSET($A$2,0,0,COUNTA('Mii List'!A$2:A$200),1))&lt;&gt;ROW())*OFFSET(L$2,0,0,COUNTA('Mii List'!A$2:A$200),1))/L73))</f>
        <v/>
      </c>
      <c r="P73" s="46" t="str">
        <f t="shared" si="13"/>
        <v/>
      </c>
    </row>
    <row r="74" spans="1:16" x14ac:dyDescent="0.35">
      <c r="A74" s="46" t="str" cm="1">
        <f t="array" ref="A74">IF(ROW()-1&gt;COUNTA('Mii List'!A$2:A$200),"",INDEX('Mii List'!A$2:A$200,ROW()-1))</f>
        <v/>
      </c>
      <c r="B74" s="46" t="str">
        <f>IF(A74="","",INDEX('Mii List'!B$2:B$200,MATCH(A74,'Mii List'!A$2:A$200,0)))</f>
        <v/>
      </c>
      <c r="C74" s="46" t="str">
        <f>IF(A74="","",INDEX('Mii List'!C$2:C$200,MATCH(A74,'Mii List'!A$2:A$200,0)))</f>
        <v/>
      </c>
      <c r="D74" s="46" t="str">
        <f>IF(A74="","",INDEX('Mii List'!D$2:D$200,MATCH(A74,'Mii List'!A$2:A$200,0)))</f>
        <v/>
      </c>
      <c r="E74" s="46" t="str">
        <f>IF(A74="","",INDEX('Mii List'!E$2:E$200,MATCH(A74,'Mii List'!A$2:A$200,0)))</f>
        <v/>
      </c>
      <c r="F74" s="46">
        <f t="shared" si="7"/>
        <v>0</v>
      </c>
      <c r="G74" s="46">
        <f t="shared" si="8"/>
        <v>0</v>
      </c>
      <c r="H74" s="46">
        <f t="shared" si="9"/>
        <v>0</v>
      </c>
      <c r="I74" s="46">
        <f t="shared" si="10"/>
        <v>0</v>
      </c>
      <c r="J74" s="46">
        <f t="shared" si="11"/>
        <v>0</v>
      </c>
      <c r="K74" s="46">
        <f t="shared" si="12"/>
        <v>0</v>
      </c>
      <c r="L74" s="46" cm="1">
        <f t="array" ref="L74">IF(A74="",0,SUMPRODUCT((A$2:A$201&lt;&gt;"")*((F$2:F$201*I74+G$2:G$201*J74+H$2:H$201*K74)&gt;0)*((F74*I$2:I$201+G74*J$2:J$201+H74*K$2:K$201)&gt;0))-IF(F74*I74+G74*J74+H74*K74&gt;0,1,0))</f>
        <v>0</v>
      </c>
      <c r="M74" s="46" t="str" cm="1">
        <f t="array" ref="M74">IF(A74="","",SUMPRODUCT((A$2:A$201&lt;&gt;"")*(L$2:L$201&lt;L74))+SUMPRODUCT((A$2:A$201&lt;&gt;"")*(L$2:L$201=L74)*(A$2:A$201&lt;A74))+1)</f>
        <v/>
      </c>
      <c r="N74" s="46" t="str" cm="1">
        <f t="array" aca="1" ref="N74" ca="1">IF(A74="","",SUMPRODUCT(((OFFSET(F$2,0,0,COUNTA('Mii List'!A$2:A$200),1)*I74+OFFSET(G$2,0,0,COUNTA('Mii List'!A$2:A$200),1)*J74+OFFSET(H$2,0,0,COUNTA('Mii List'!A$2:A$200),1)*K74)&gt;0)*((F74*OFFSET(I$2,0,0,COUNTA('Mii List'!A$2:A$200),1)+G74*OFFSET(J$2,0,0,COUNTA('Mii List'!A$2:A$200),1)+H74*OFFSET(K$2,0,0,COUNTA('Mii List'!A$2:A$200),1))&gt;0)*(ROW(OFFSET($A$2,0,0,COUNTA('Mii List'!A$2:A$200),1))&lt;&gt;ROW())*IF(OFFSET(L$2,0,0,COUNTA('Mii List'!A$2:A$200),1)&gt;0,1/OFFSET(L$2,0,0,COUNTA('Mii List'!A$2:A$200),1),0)))</f>
        <v/>
      </c>
      <c r="O74" s="46" t="str" cm="1">
        <f t="array" aca="1" ref="O74" ca="1">IF(A74="","",IF(L74=0,0,SUMPRODUCT(((OFFSET(F$2,0,0,COUNTA('Mii List'!A$2:A$200),1)*I74+OFFSET(G$2,0,0,COUNTA('Mii List'!A$2:A$200),1)*J74+OFFSET(H$2,0,0,COUNTA('Mii List'!A$2:A$200),1)*K74)&gt;0)*((F74*OFFSET(I$2,0,0,COUNTA('Mii List'!A$2:A$200),1)+G74*OFFSET(J$2,0,0,COUNTA('Mii List'!A$2:A$200),1)+H74*OFFSET(K$2,0,0,COUNTA('Mii List'!A$2:A$200),1))&gt;0)*(ROW(OFFSET($A$2,0,0,COUNTA('Mii List'!A$2:A$200),1))&lt;&gt;ROW())*OFFSET(L$2,0,0,COUNTA('Mii List'!A$2:A$200),1))/L74))</f>
        <v/>
      </c>
      <c r="P74" s="46" t="str">
        <f t="shared" si="13"/>
        <v/>
      </c>
    </row>
    <row r="75" spans="1:16" x14ac:dyDescent="0.35">
      <c r="A75" s="46" t="str" cm="1">
        <f t="array" ref="A75">IF(ROW()-1&gt;COUNTA('Mii List'!A$2:A$200),"",INDEX('Mii List'!A$2:A$200,ROW()-1))</f>
        <v/>
      </c>
      <c r="B75" s="46" t="str">
        <f>IF(A75="","",INDEX('Mii List'!B$2:B$200,MATCH(A75,'Mii List'!A$2:A$200,0)))</f>
        <v/>
      </c>
      <c r="C75" s="46" t="str">
        <f>IF(A75="","",INDEX('Mii List'!C$2:C$200,MATCH(A75,'Mii List'!A$2:A$200,0)))</f>
        <v/>
      </c>
      <c r="D75" s="46" t="str">
        <f>IF(A75="","",INDEX('Mii List'!D$2:D$200,MATCH(A75,'Mii List'!A$2:A$200,0)))</f>
        <v/>
      </c>
      <c r="E75" s="46" t="str">
        <f>IF(A75="","",INDEX('Mii List'!E$2:E$200,MATCH(A75,'Mii List'!A$2:A$200,0)))</f>
        <v/>
      </c>
      <c r="F75" s="46">
        <f t="shared" si="7"/>
        <v>0</v>
      </c>
      <c r="G75" s="46">
        <f t="shared" si="8"/>
        <v>0</v>
      </c>
      <c r="H75" s="46">
        <f t="shared" si="9"/>
        <v>0</v>
      </c>
      <c r="I75" s="46">
        <f t="shared" si="10"/>
        <v>0</v>
      </c>
      <c r="J75" s="46">
        <f t="shared" si="11"/>
        <v>0</v>
      </c>
      <c r="K75" s="46">
        <f t="shared" si="12"/>
        <v>0</v>
      </c>
      <c r="L75" s="46" cm="1">
        <f t="array" ref="L75">IF(A75="",0,SUMPRODUCT((A$2:A$201&lt;&gt;"")*((F$2:F$201*I75+G$2:G$201*J75+H$2:H$201*K75)&gt;0)*((F75*I$2:I$201+G75*J$2:J$201+H75*K$2:K$201)&gt;0))-IF(F75*I75+G75*J75+H75*K75&gt;0,1,0))</f>
        <v>0</v>
      </c>
      <c r="M75" s="46" t="str" cm="1">
        <f t="array" ref="M75">IF(A75="","",SUMPRODUCT((A$2:A$201&lt;&gt;"")*(L$2:L$201&lt;L75))+SUMPRODUCT((A$2:A$201&lt;&gt;"")*(L$2:L$201=L75)*(A$2:A$201&lt;A75))+1)</f>
        <v/>
      </c>
      <c r="N75" s="46" t="str" cm="1">
        <f t="array" aca="1" ref="N75" ca="1">IF(A75="","",SUMPRODUCT(((OFFSET(F$2,0,0,COUNTA('Mii List'!A$2:A$200),1)*I75+OFFSET(G$2,0,0,COUNTA('Mii List'!A$2:A$200),1)*J75+OFFSET(H$2,0,0,COUNTA('Mii List'!A$2:A$200),1)*K75)&gt;0)*((F75*OFFSET(I$2,0,0,COUNTA('Mii List'!A$2:A$200),1)+G75*OFFSET(J$2,0,0,COUNTA('Mii List'!A$2:A$200),1)+H75*OFFSET(K$2,0,0,COUNTA('Mii List'!A$2:A$200),1))&gt;0)*(ROW(OFFSET($A$2,0,0,COUNTA('Mii List'!A$2:A$200),1))&lt;&gt;ROW())*IF(OFFSET(L$2,0,0,COUNTA('Mii List'!A$2:A$200),1)&gt;0,1/OFFSET(L$2,0,0,COUNTA('Mii List'!A$2:A$200),1),0)))</f>
        <v/>
      </c>
      <c r="O75" s="46" t="str" cm="1">
        <f t="array" aca="1" ref="O75" ca="1">IF(A75="","",IF(L75=0,0,SUMPRODUCT(((OFFSET(F$2,0,0,COUNTA('Mii List'!A$2:A$200),1)*I75+OFFSET(G$2,0,0,COUNTA('Mii List'!A$2:A$200),1)*J75+OFFSET(H$2,0,0,COUNTA('Mii List'!A$2:A$200),1)*K75)&gt;0)*((F75*OFFSET(I$2,0,0,COUNTA('Mii List'!A$2:A$200),1)+G75*OFFSET(J$2,0,0,COUNTA('Mii List'!A$2:A$200),1)+H75*OFFSET(K$2,0,0,COUNTA('Mii List'!A$2:A$200),1))&gt;0)*(ROW(OFFSET($A$2,0,0,COUNTA('Mii List'!A$2:A$200),1))&lt;&gt;ROW())*OFFSET(L$2,0,0,COUNTA('Mii List'!A$2:A$200),1))/L75))</f>
        <v/>
      </c>
      <c r="P75" s="46" t="str">
        <f t="shared" si="13"/>
        <v/>
      </c>
    </row>
    <row r="76" spans="1:16" x14ac:dyDescent="0.35">
      <c r="A76" s="46" t="str" cm="1">
        <f t="array" ref="A76">IF(ROW()-1&gt;COUNTA('Mii List'!A$2:A$200),"",INDEX('Mii List'!A$2:A$200,ROW()-1))</f>
        <v/>
      </c>
      <c r="B76" s="46" t="str">
        <f>IF(A76="","",INDEX('Mii List'!B$2:B$200,MATCH(A76,'Mii List'!A$2:A$200,0)))</f>
        <v/>
      </c>
      <c r="C76" s="46" t="str">
        <f>IF(A76="","",INDEX('Mii List'!C$2:C$200,MATCH(A76,'Mii List'!A$2:A$200,0)))</f>
        <v/>
      </c>
      <c r="D76" s="46" t="str">
        <f>IF(A76="","",INDEX('Mii List'!D$2:D$200,MATCH(A76,'Mii List'!A$2:A$200,0)))</f>
        <v/>
      </c>
      <c r="E76" s="46" t="str">
        <f>IF(A76="","",INDEX('Mii List'!E$2:E$200,MATCH(A76,'Mii List'!A$2:A$200,0)))</f>
        <v/>
      </c>
      <c r="F76" s="46">
        <f t="shared" si="7"/>
        <v>0</v>
      </c>
      <c r="G76" s="46">
        <f t="shared" si="8"/>
        <v>0</v>
      </c>
      <c r="H76" s="46">
        <f t="shared" si="9"/>
        <v>0</v>
      </c>
      <c r="I76" s="46">
        <f t="shared" si="10"/>
        <v>0</v>
      </c>
      <c r="J76" s="46">
        <f t="shared" si="11"/>
        <v>0</v>
      </c>
      <c r="K76" s="46">
        <f t="shared" si="12"/>
        <v>0</v>
      </c>
      <c r="L76" s="46" cm="1">
        <f t="array" ref="L76">IF(A76="",0,SUMPRODUCT((A$2:A$201&lt;&gt;"")*((F$2:F$201*I76+G$2:G$201*J76+H$2:H$201*K76)&gt;0)*((F76*I$2:I$201+G76*J$2:J$201+H76*K$2:K$201)&gt;0))-IF(F76*I76+G76*J76+H76*K76&gt;0,1,0))</f>
        <v>0</v>
      </c>
      <c r="M76" s="46" t="str" cm="1">
        <f t="array" ref="M76">IF(A76="","",SUMPRODUCT((A$2:A$201&lt;&gt;"")*(L$2:L$201&lt;L76))+SUMPRODUCT((A$2:A$201&lt;&gt;"")*(L$2:L$201=L76)*(A$2:A$201&lt;A76))+1)</f>
        <v/>
      </c>
      <c r="N76" s="46" t="str" cm="1">
        <f t="array" aca="1" ref="N76" ca="1">IF(A76="","",SUMPRODUCT(((OFFSET(F$2,0,0,COUNTA('Mii List'!A$2:A$200),1)*I76+OFFSET(G$2,0,0,COUNTA('Mii List'!A$2:A$200),1)*J76+OFFSET(H$2,0,0,COUNTA('Mii List'!A$2:A$200),1)*K76)&gt;0)*((F76*OFFSET(I$2,0,0,COUNTA('Mii List'!A$2:A$200),1)+G76*OFFSET(J$2,0,0,COUNTA('Mii List'!A$2:A$200),1)+H76*OFFSET(K$2,0,0,COUNTA('Mii List'!A$2:A$200),1))&gt;0)*(ROW(OFFSET($A$2,0,0,COUNTA('Mii List'!A$2:A$200),1))&lt;&gt;ROW())*IF(OFFSET(L$2,0,0,COUNTA('Mii List'!A$2:A$200),1)&gt;0,1/OFFSET(L$2,0,0,COUNTA('Mii List'!A$2:A$200),1),0)))</f>
        <v/>
      </c>
      <c r="O76" s="46" t="str" cm="1">
        <f t="array" aca="1" ref="O76" ca="1">IF(A76="","",IF(L76=0,0,SUMPRODUCT(((OFFSET(F$2,0,0,COUNTA('Mii List'!A$2:A$200),1)*I76+OFFSET(G$2,0,0,COUNTA('Mii List'!A$2:A$200),1)*J76+OFFSET(H$2,0,0,COUNTA('Mii List'!A$2:A$200),1)*K76)&gt;0)*((F76*OFFSET(I$2,0,0,COUNTA('Mii List'!A$2:A$200),1)+G76*OFFSET(J$2,0,0,COUNTA('Mii List'!A$2:A$200),1)+H76*OFFSET(K$2,0,0,COUNTA('Mii List'!A$2:A$200),1))&gt;0)*(ROW(OFFSET($A$2,0,0,COUNTA('Mii List'!A$2:A$200),1))&lt;&gt;ROW())*OFFSET(L$2,0,0,COUNTA('Mii List'!A$2:A$200),1))/L76))</f>
        <v/>
      </c>
      <c r="P76" s="46" t="str">
        <f t="shared" si="13"/>
        <v/>
      </c>
    </row>
    <row r="77" spans="1:16" x14ac:dyDescent="0.35">
      <c r="A77" s="46" t="str" cm="1">
        <f t="array" ref="A77">IF(ROW()-1&gt;COUNTA('Mii List'!A$2:A$200),"",INDEX('Mii List'!A$2:A$200,ROW()-1))</f>
        <v/>
      </c>
      <c r="B77" s="46" t="str">
        <f>IF(A77="","",INDEX('Mii List'!B$2:B$200,MATCH(A77,'Mii List'!A$2:A$200,0)))</f>
        <v/>
      </c>
      <c r="C77" s="46" t="str">
        <f>IF(A77="","",INDEX('Mii List'!C$2:C$200,MATCH(A77,'Mii List'!A$2:A$200,0)))</f>
        <v/>
      </c>
      <c r="D77" s="46" t="str">
        <f>IF(A77="","",INDEX('Mii List'!D$2:D$200,MATCH(A77,'Mii List'!A$2:A$200,0)))</f>
        <v/>
      </c>
      <c r="E77" s="46" t="str">
        <f>IF(A77="","",INDEX('Mii List'!E$2:E$200,MATCH(A77,'Mii List'!A$2:A$200,0)))</f>
        <v/>
      </c>
      <c r="F77" s="46">
        <f t="shared" si="7"/>
        <v>0</v>
      </c>
      <c r="G77" s="46">
        <f t="shared" si="8"/>
        <v>0</v>
      </c>
      <c r="H77" s="46">
        <f t="shared" si="9"/>
        <v>0</v>
      </c>
      <c r="I77" s="46">
        <f t="shared" si="10"/>
        <v>0</v>
      </c>
      <c r="J77" s="46">
        <f t="shared" si="11"/>
        <v>0</v>
      </c>
      <c r="K77" s="46">
        <f t="shared" si="12"/>
        <v>0</v>
      </c>
      <c r="L77" s="46" cm="1">
        <f t="array" ref="L77">IF(A77="",0,SUMPRODUCT((A$2:A$201&lt;&gt;"")*((F$2:F$201*I77+G$2:G$201*J77+H$2:H$201*K77)&gt;0)*((F77*I$2:I$201+G77*J$2:J$201+H77*K$2:K$201)&gt;0))-IF(F77*I77+G77*J77+H77*K77&gt;0,1,0))</f>
        <v>0</v>
      </c>
      <c r="M77" s="46" t="str" cm="1">
        <f t="array" ref="M77">IF(A77="","",SUMPRODUCT((A$2:A$201&lt;&gt;"")*(L$2:L$201&lt;L77))+SUMPRODUCT((A$2:A$201&lt;&gt;"")*(L$2:L$201=L77)*(A$2:A$201&lt;A77))+1)</f>
        <v/>
      </c>
      <c r="N77" s="46" t="str" cm="1">
        <f t="array" aca="1" ref="N77" ca="1">IF(A77="","",SUMPRODUCT(((OFFSET(F$2,0,0,COUNTA('Mii List'!A$2:A$200),1)*I77+OFFSET(G$2,0,0,COUNTA('Mii List'!A$2:A$200),1)*J77+OFFSET(H$2,0,0,COUNTA('Mii List'!A$2:A$200),1)*K77)&gt;0)*((F77*OFFSET(I$2,0,0,COUNTA('Mii List'!A$2:A$200),1)+G77*OFFSET(J$2,0,0,COUNTA('Mii List'!A$2:A$200),1)+H77*OFFSET(K$2,0,0,COUNTA('Mii List'!A$2:A$200),1))&gt;0)*(ROW(OFFSET($A$2,0,0,COUNTA('Mii List'!A$2:A$200),1))&lt;&gt;ROW())*IF(OFFSET(L$2,0,0,COUNTA('Mii List'!A$2:A$200),1)&gt;0,1/OFFSET(L$2,0,0,COUNTA('Mii List'!A$2:A$200),1),0)))</f>
        <v/>
      </c>
      <c r="O77" s="46" t="str" cm="1">
        <f t="array" aca="1" ref="O77" ca="1">IF(A77="","",IF(L77=0,0,SUMPRODUCT(((OFFSET(F$2,0,0,COUNTA('Mii List'!A$2:A$200),1)*I77+OFFSET(G$2,0,0,COUNTA('Mii List'!A$2:A$200),1)*J77+OFFSET(H$2,0,0,COUNTA('Mii List'!A$2:A$200),1)*K77)&gt;0)*((F77*OFFSET(I$2,0,0,COUNTA('Mii List'!A$2:A$200),1)+G77*OFFSET(J$2,0,0,COUNTA('Mii List'!A$2:A$200),1)+H77*OFFSET(K$2,0,0,COUNTA('Mii List'!A$2:A$200),1))&gt;0)*(ROW(OFFSET($A$2,0,0,COUNTA('Mii List'!A$2:A$200),1))&lt;&gt;ROW())*OFFSET(L$2,0,0,COUNTA('Mii List'!A$2:A$200),1))/L77))</f>
        <v/>
      </c>
      <c r="P77" s="46" t="str">
        <f t="shared" si="13"/>
        <v/>
      </c>
    </row>
    <row r="78" spans="1:16" x14ac:dyDescent="0.35">
      <c r="A78" s="46" t="str" cm="1">
        <f t="array" ref="A78">IF(ROW()-1&gt;COUNTA('Mii List'!A$2:A$200),"",INDEX('Mii List'!A$2:A$200,ROW()-1))</f>
        <v/>
      </c>
      <c r="B78" s="46" t="str">
        <f>IF(A78="","",INDEX('Mii List'!B$2:B$200,MATCH(A78,'Mii List'!A$2:A$200,0)))</f>
        <v/>
      </c>
      <c r="C78" s="46" t="str">
        <f>IF(A78="","",INDEX('Mii List'!C$2:C$200,MATCH(A78,'Mii List'!A$2:A$200,0)))</f>
        <v/>
      </c>
      <c r="D78" s="46" t="str">
        <f>IF(A78="","",INDEX('Mii List'!D$2:D$200,MATCH(A78,'Mii List'!A$2:A$200,0)))</f>
        <v/>
      </c>
      <c r="E78" s="46" t="str">
        <f>IF(A78="","",INDEX('Mii List'!E$2:E$200,MATCH(A78,'Mii List'!A$2:A$200,0)))</f>
        <v/>
      </c>
      <c r="F78" s="46">
        <f t="shared" si="7"/>
        <v>0</v>
      </c>
      <c r="G78" s="46">
        <f t="shared" si="8"/>
        <v>0</v>
      </c>
      <c r="H78" s="46">
        <f t="shared" si="9"/>
        <v>0</v>
      </c>
      <c r="I78" s="46">
        <f t="shared" si="10"/>
        <v>0</v>
      </c>
      <c r="J78" s="46">
        <f t="shared" si="11"/>
        <v>0</v>
      </c>
      <c r="K78" s="46">
        <f t="shared" si="12"/>
        <v>0</v>
      </c>
      <c r="L78" s="46" cm="1">
        <f t="array" ref="L78">IF(A78="",0,SUMPRODUCT((A$2:A$201&lt;&gt;"")*((F$2:F$201*I78+G$2:G$201*J78+H$2:H$201*K78)&gt;0)*((F78*I$2:I$201+G78*J$2:J$201+H78*K$2:K$201)&gt;0))-IF(F78*I78+G78*J78+H78*K78&gt;0,1,0))</f>
        <v>0</v>
      </c>
      <c r="M78" s="46" t="str" cm="1">
        <f t="array" ref="M78">IF(A78="","",SUMPRODUCT((A$2:A$201&lt;&gt;"")*(L$2:L$201&lt;L78))+SUMPRODUCT((A$2:A$201&lt;&gt;"")*(L$2:L$201=L78)*(A$2:A$201&lt;A78))+1)</f>
        <v/>
      </c>
      <c r="N78" s="46" t="str" cm="1">
        <f t="array" aca="1" ref="N78" ca="1">IF(A78="","",SUMPRODUCT(((OFFSET(F$2,0,0,COUNTA('Mii List'!A$2:A$200),1)*I78+OFFSET(G$2,0,0,COUNTA('Mii List'!A$2:A$200),1)*J78+OFFSET(H$2,0,0,COUNTA('Mii List'!A$2:A$200),1)*K78)&gt;0)*((F78*OFFSET(I$2,0,0,COUNTA('Mii List'!A$2:A$200),1)+G78*OFFSET(J$2,0,0,COUNTA('Mii List'!A$2:A$200),1)+H78*OFFSET(K$2,0,0,COUNTA('Mii List'!A$2:A$200),1))&gt;0)*(ROW(OFFSET($A$2,0,0,COUNTA('Mii List'!A$2:A$200),1))&lt;&gt;ROW())*IF(OFFSET(L$2,0,0,COUNTA('Mii List'!A$2:A$200),1)&gt;0,1/OFFSET(L$2,0,0,COUNTA('Mii List'!A$2:A$200),1),0)))</f>
        <v/>
      </c>
      <c r="O78" s="46" t="str" cm="1">
        <f t="array" aca="1" ref="O78" ca="1">IF(A78="","",IF(L78=0,0,SUMPRODUCT(((OFFSET(F$2,0,0,COUNTA('Mii List'!A$2:A$200),1)*I78+OFFSET(G$2,0,0,COUNTA('Mii List'!A$2:A$200),1)*J78+OFFSET(H$2,0,0,COUNTA('Mii List'!A$2:A$200),1)*K78)&gt;0)*((F78*OFFSET(I$2,0,0,COUNTA('Mii List'!A$2:A$200),1)+G78*OFFSET(J$2,0,0,COUNTA('Mii List'!A$2:A$200),1)+H78*OFFSET(K$2,0,0,COUNTA('Mii List'!A$2:A$200),1))&gt;0)*(ROW(OFFSET($A$2,0,0,COUNTA('Mii List'!A$2:A$200),1))&lt;&gt;ROW())*OFFSET(L$2,0,0,COUNTA('Mii List'!A$2:A$200),1))/L78))</f>
        <v/>
      </c>
      <c r="P78" s="46" t="str">
        <f t="shared" si="13"/>
        <v/>
      </c>
    </row>
    <row r="79" spans="1:16" x14ac:dyDescent="0.35">
      <c r="A79" s="46" t="str" cm="1">
        <f t="array" ref="A79">IF(ROW()-1&gt;COUNTA('Mii List'!A$2:A$200),"",INDEX('Mii List'!A$2:A$200,ROW()-1))</f>
        <v/>
      </c>
      <c r="B79" s="46" t="str">
        <f>IF(A79="","",INDEX('Mii List'!B$2:B$200,MATCH(A79,'Mii List'!A$2:A$200,0)))</f>
        <v/>
      </c>
      <c r="C79" s="46" t="str">
        <f>IF(A79="","",INDEX('Mii List'!C$2:C$200,MATCH(A79,'Mii List'!A$2:A$200,0)))</f>
        <v/>
      </c>
      <c r="D79" s="46" t="str">
        <f>IF(A79="","",INDEX('Mii List'!D$2:D$200,MATCH(A79,'Mii List'!A$2:A$200,0)))</f>
        <v/>
      </c>
      <c r="E79" s="46" t="str">
        <f>IF(A79="","",INDEX('Mii List'!E$2:E$200,MATCH(A79,'Mii List'!A$2:A$200,0)))</f>
        <v/>
      </c>
      <c r="F79" s="46">
        <f t="shared" si="7"/>
        <v>0</v>
      </c>
      <c r="G79" s="46">
        <f t="shared" si="8"/>
        <v>0</v>
      </c>
      <c r="H79" s="46">
        <f t="shared" si="9"/>
        <v>0</v>
      </c>
      <c r="I79" s="46">
        <f t="shared" si="10"/>
        <v>0</v>
      </c>
      <c r="J79" s="46">
        <f t="shared" si="11"/>
        <v>0</v>
      </c>
      <c r="K79" s="46">
        <f t="shared" si="12"/>
        <v>0</v>
      </c>
      <c r="L79" s="46" cm="1">
        <f t="array" ref="L79">IF(A79="",0,SUMPRODUCT((A$2:A$201&lt;&gt;"")*((F$2:F$201*I79+G$2:G$201*J79+H$2:H$201*K79)&gt;0)*((F79*I$2:I$201+G79*J$2:J$201+H79*K$2:K$201)&gt;0))-IF(F79*I79+G79*J79+H79*K79&gt;0,1,0))</f>
        <v>0</v>
      </c>
      <c r="M79" s="46" t="str" cm="1">
        <f t="array" ref="M79">IF(A79="","",SUMPRODUCT((A$2:A$201&lt;&gt;"")*(L$2:L$201&lt;L79))+SUMPRODUCT((A$2:A$201&lt;&gt;"")*(L$2:L$201=L79)*(A$2:A$201&lt;A79))+1)</f>
        <v/>
      </c>
      <c r="N79" s="46" t="str" cm="1">
        <f t="array" aca="1" ref="N79" ca="1">IF(A79="","",SUMPRODUCT(((OFFSET(F$2,0,0,COUNTA('Mii List'!A$2:A$200),1)*I79+OFFSET(G$2,0,0,COUNTA('Mii List'!A$2:A$200),1)*J79+OFFSET(H$2,0,0,COUNTA('Mii List'!A$2:A$200),1)*K79)&gt;0)*((F79*OFFSET(I$2,0,0,COUNTA('Mii List'!A$2:A$200),1)+G79*OFFSET(J$2,0,0,COUNTA('Mii List'!A$2:A$200),1)+H79*OFFSET(K$2,0,0,COUNTA('Mii List'!A$2:A$200),1))&gt;0)*(ROW(OFFSET($A$2,0,0,COUNTA('Mii List'!A$2:A$200),1))&lt;&gt;ROW())*IF(OFFSET(L$2,0,0,COUNTA('Mii List'!A$2:A$200),1)&gt;0,1/OFFSET(L$2,0,0,COUNTA('Mii List'!A$2:A$200),1),0)))</f>
        <v/>
      </c>
      <c r="O79" s="46" t="str" cm="1">
        <f t="array" aca="1" ref="O79" ca="1">IF(A79="","",IF(L79=0,0,SUMPRODUCT(((OFFSET(F$2,0,0,COUNTA('Mii List'!A$2:A$200),1)*I79+OFFSET(G$2,0,0,COUNTA('Mii List'!A$2:A$200),1)*J79+OFFSET(H$2,0,0,COUNTA('Mii List'!A$2:A$200),1)*K79)&gt;0)*((F79*OFFSET(I$2,0,0,COUNTA('Mii List'!A$2:A$200),1)+G79*OFFSET(J$2,0,0,COUNTA('Mii List'!A$2:A$200),1)+H79*OFFSET(K$2,0,0,COUNTA('Mii List'!A$2:A$200),1))&gt;0)*(ROW(OFFSET($A$2,0,0,COUNTA('Mii List'!A$2:A$200),1))&lt;&gt;ROW())*OFFSET(L$2,0,0,COUNTA('Mii List'!A$2:A$200),1))/L79))</f>
        <v/>
      </c>
      <c r="P79" s="46" t="str">
        <f t="shared" si="13"/>
        <v/>
      </c>
    </row>
    <row r="80" spans="1:16" x14ac:dyDescent="0.35">
      <c r="A80" s="46" t="str" cm="1">
        <f t="array" ref="A80">IF(ROW()-1&gt;COUNTA('Mii List'!A$2:A$200),"",INDEX('Mii List'!A$2:A$200,ROW()-1))</f>
        <v/>
      </c>
      <c r="B80" s="46" t="str">
        <f>IF(A80="","",INDEX('Mii List'!B$2:B$200,MATCH(A80,'Mii List'!A$2:A$200,0)))</f>
        <v/>
      </c>
      <c r="C80" s="46" t="str">
        <f>IF(A80="","",INDEX('Mii List'!C$2:C$200,MATCH(A80,'Mii List'!A$2:A$200,0)))</f>
        <v/>
      </c>
      <c r="D80" s="46" t="str">
        <f>IF(A80="","",INDEX('Mii List'!D$2:D$200,MATCH(A80,'Mii List'!A$2:A$200,0)))</f>
        <v/>
      </c>
      <c r="E80" s="46" t="str">
        <f>IF(A80="","",INDEX('Mii List'!E$2:E$200,MATCH(A80,'Mii List'!A$2:A$200,0)))</f>
        <v/>
      </c>
      <c r="F80" s="46">
        <f t="shared" si="7"/>
        <v>0</v>
      </c>
      <c r="G80" s="46">
        <f t="shared" si="8"/>
        <v>0</v>
      </c>
      <c r="H80" s="46">
        <f t="shared" si="9"/>
        <v>0</v>
      </c>
      <c r="I80" s="46">
        <f t="shared" si="10"/>
        <v>0</v>
      </c>
      <c r="J80" s="46">
        <f t="shared" si="11"/>
        <v>0</v>
      </c>
      <c r="K80" s="46">
        <f t="shared" si="12"/>
        <v>0</v>
      </c>
      <c r="L80" s="46" cm="1">
        <f t="array" ref="L80">IF(A80="",0,SUMPRODUCT((A$2:A$201&lt;&gt;"")*((F$2:F$201*I80+G$2:G$201*J80+H$2:H$201*K80)&gt;0)*((F80*I$2:I$201+G80*J$2:J$201+H80*K$2:K$201)&gt;0))-IF(F80*I80+G80*J80+H80*K80&gt;0,1,0))</f>
        <v>0</v>
      </c>
      <c r="M80" s="46" t="str" cm="1">
        <f t="array" ref="M80">IF(A80="","",SUMPRODUCT((A$2:A$201&lt;&gt;"")*(L$2:L$201&lt;L80))+SUMPRODUCT((A$2:A$201&lt;&gt;"")*(L$2:L$201=L80)*(A$2:A$201&lt;A80))+1)</f>
        <v/>
      </c>
      <c r="N80" s="46" t="str" cm="1">
        <f t="array" aca="1" ref="N80" ca="1">IF(A80="","",SUMPRODUCT(((OFFSET(F$2,0,0,COUNTA('Mii List'!A$2:A$200),1)*I80+OFFSET(G$2,0,0,COUNTA('Mii List'!A$2:A$200),1)*J80+OFFSET(H$2,0,0,COUNTA('Mii List'!A$2:A$200),1)*K80)&gt;0)*((F80*OFFSET(I$2,0,0,COUNTA('Mii List'!A$2:A$200),1)+G80*OFFSET(J$2,0,0,COUNTA('Mii List'!A$2:A$200),1)+H80*OFFSET(K$2,0,0,COUNTA('Mii List'!A$2:A$200),1))&gt;0)*(ROW(OFFSET($A$2,0,0,COUNTA('Mii List'!A$2:A$200),1))&lt;&gt;ROW())*IF(OFFSET(L$2,0,0,COUNTA('Mii List'!A$2:A$200),1)&gt;0,1/OFFSET(L$2,0,0,COUNTA('Mii List'!A$2:A$200),1),0)))</f>
        <v/>
      </c>
      <c r="O80" s="46" t="str" cm="1">
        <f t="array" aca="1" ref="O80" ca="1">IF(A80="","",IF(L80=0,0,SUMPRODUCT(((OFFSET(F$2,0,0,COUNTA('Mii List'!A$2:A$200),1)*I80+OFFSET(G$2,0,0,COUNTA('Mii List'!A$2:A$200),1)*J80+OFFSET(H$2,0,0,COUNTA('Mii List'!A$2:A$200),1)*K80)&gt;0)*((F80*OFFSET(I$2,0,0,COUNTA('Mii List'!A$2:A$200),1)+G80*OFFSET(J$2,0,0,COUNTA('Mii List'!A$2:A$200),1)+H80*OFFSET(K$2,0,0,COUNTA('Mii List'!A$2:A$200),1))&gt;0)*(ROW(OFFSET($A$2,0,0,COUNTA('Mii List'!A$2:A$200),1))&lt;&gt;ROW())*OFFSET(L$2,0,0,COUNTA('Mii List'!A$2:A$200),1))/L80))</f>
        <v/>
      </c>
      <c r="P80" s="46" t="str">
        <f t="shared" si="13"/>
        <v/>
      </c>
    </row>
    <row r="81" spans="1:16" x14ac:dyDescent="0.35">
      <c r="A81" s="46" t="str" cm="1">
        <f t="array" ref="A81">IF(ROW()-1&gt;COUNTA('Mii List'!A$2:A$200),"",INDEX('Mii List'!A$2:A$200,ROW()-1))</f>
        <v/>
      </c>
      <c r="B81" s="46" t="str">
        <f>IF(A81="","",INDEX('Mii List'!B$2:B$200,MATCH(A81,'Mii List'!A$2:A$200,0)))</f>
        <v/>
      </c>
      <c r="C81" s="46" t="str">
        <f>IF(A81="","",INDEX('Mii List'!C$2:C$200,MATCH(A81,'Mii List'!A$2:A$200,0)))</f>
        <v/>
      </c>
      <c r="D81" s="46" t="str">
        <f>IF(A81="","",INDEX('Mii List'!D$2:D$200,MATCH(A81,'Mii List'!A$2:A$200,0)))</f>
        <v/>
      </c>
      <c r="E81" s="46" t="str">
        <f>IF(A81="","",INDEX('Mii List'!E$2:E$200,MATCH(A81,'Mii List'!A$2:A$200,0)))</f>
        <v/>
      </c>
      <c r="F81" s="46">
        <f t="shared" si="7"/>
        <v>0</v>
      </c>
      <c r="G81" s="46">
        <f t="shared" si="8"/>
        <v>0</v>
      </c>
      <c r="H81" s="46">
        <f t="shared" si="9"/>
        <v>0</v>
      </c>
      <c r="I81" s="46">
        <f t="shared" si="10"/>
        <v>0</v>
      </c>
      <c r="J81" s="46">
        <f t="shared" si="11"/>
        <v>0</v>
      </c>
      <c r="K81" s="46">
        <f t="shared" si="12"/>
        <v>0</v>
      </c>
      <c r="L81" s="46" cm="1">
        <f t="array" ref="L81">IF(A81="",0,SUMPRODUCT((A$2:A$201&lt;&gt;"")*((F$2:F$201*I81+G$2:G$201*J81+H$2:H$201*K81)&gt;0)*((F81*I$2:I$201+G81*J$2:J$201+H81*K$2:K$201)&gt;0))-IF(F81*I81+G81*J81+H81*K81&gt;0,1,0))</f>
        <v>0</v>
      </c>
      <c r="M81" s="46" t="str" cm="1">
        <f t="array" ref="M81">IF(A81="","",SUMPRODUCT((A$2:A$201&lt;&gt;"")*(L$2:L$201&lt;L81))+SUMPRODUCT((A$2:A$201&lt;&gt;"")*(L$2:L$201=L81)*(A$2:A$201&lt;A81))+1)</f>
        <v/>
      </c>
      <c r="N81" s="46" t="str" cm="1">
        <f t="array" aca="1" ref="N81" ca="1">IF(A81="","",SUMPRODUCT(((OFFSET(F$2,0,0,COUNTA('Mii List'!A$2:A$200),1)*I81+OFFSET(G$2,0,0,COUNTA('Mii List'!A$2:A$200),1)*J81+OFFSET(H$2,0,0,COUNTA('Mii List'!A$2:A$200),1)*K81)&gt;0)*((F81*OFFSET(I$2,0,0,COUNTA('Mii List'!A$2:A$200),1)+G81*OFFSET(J$2,0,0,COUNTA('Mii List'!A$2:A$200),1)+H81*OFFSET(K$2,0,0,COUNTA('Mii List'!A$2:A$200),1))&gt;0)*(ROW(OFFSET($A$2,0,0,COUNTA('Mii List'!A$2:A$200),1))&lt;&gt;ROW())*IF(OFFSET(L$2,0,0,COUNTA('Mii List'!A$2:A$200),1)&gt;0,1/OFFSET(L$2,0,0,COUNTA('Mii List'!A$2:A$200),1),0)))</f>
        <v/>
      </c>
      <c r="O81" s="46" t="str" cm="1">
        <f t="array" aca="1" ref="O81" ca="1">IF(A81="","",IF(L81=0,0,SUMPRODUCT(((OFFSET(F$2,0,0,COUNTA('Mii List'!A$2:A$200),1)*I81+OFFSET(G$2,0,0,COUNTA('Mii List'!A$2:A$200),1)*J81+OFFSET(H$2,0,0,COUNTA('Mii List'!A$2:A$200),1)*K81)&gt;0)*((F81*OFFSET(I$2,0,0,COUNTA('Mii List'!A$2:A$200),1)+G81*OFFSET(J$2,0,0,COUNTA('Mii List'!A$2:A$200),1)+H81*OFFSET(K$2,0,0,COUNTA('Mii List'!A$2:A$200),1))&gt;0)*(ROW(OFFSET($A$2,0,0,COUNTA('Mii List'!A$2:A$200),1))&lt;&gt;ROW())*OFFSET(L$2,0,0,COUNTA('Mii List'!A$2:A$200),1))/L81))</f>
        <v/>
      </c>
      <c r="P81" s="46" t="str">
        <f t="shared" si="13"/>
        <v/>
      </c>
    </row>
    <row r="82" spans="1:16" x14ac:dyDescent="0.35">
      <c r="A82" s="46" t="str" cm="1">
        <f t="array" ref="A82">IF(ROW()-1&gt;COUNTA('Mii List'!A$2:A$200),"",INDEX('Mii List'!A$2:A$200,ROW()-1))</f>
        <v/>
      </c>
      <c r="B82" s="46" t="str">
        <f>IF(A82="","",INDEX('Mii List'!B$2:B$200,MATCH(A82,'Mii List'!A$2:A$200,0)))</f>
        <v/>
      </c>
      <c r="C82" s="46" t="str">
        <f>IF(A82="","",INDEX('Mii List'!C$2:C$200,MATCH(A82,'Mii List'!A$2:A$200,0)))</f>
        <v/>
      </c>
      <c r="D82" s="46" t="str">
        <f>IF(A82="","",INDEX('Mii List'!D$2:D$200,MATCH(A82,'Mii List'!A$2:A$200,0)))</f>
        <v/>
      </c>
      <c r="E82" s="46" t="str">
        <f>IF(A82="","",INDEX('Mii List'!E$2:E$200,MATCH(A82,'Mii List'!A$2:A$200,0)))</f>
        <v/>
      </c>
      <c r="F82" s="46">
        <f t="shared" si="7"/>
        <v>0</v>
      </c>
      <c r="G82" s="46">
        <f t="shared" si="8"/>
        <v>0</v>
      </c>
      <c r="H82" s="46">
        <f t="shared" si="9"/>
        <v>0</v>
      </c>
      <c r="I82" s="46">
        <f t="shared" si="10"/>
        <v>0</v>
      </c>
      <c r="J82" s="46">
        <f t="shared" si="11"/>
        <v>0</v>
      </c>
      <c r="K82" s="46">
        <f t="shared" si="12"/>
        <v>0</v>
      </c>
      <c r="L82" s="46" cm="1">
        <f t="array" ref="L82">IF(A82="",0,SUMPRODUCT((A$2:A$201&lt;&gt;"")*((F$2:F$201*I82+G$2:G$201*J82+H$2:H$201*K82)&gt;0)*((F82*I$2:I$201+G82*J$2:J$201+H82*K$2:K$201)&gt;0))-IF(F82*I82+G82*J82+H82*K82&gt;0,1,0))</f>
        <v>0</v>
      </c>
      <c r="M82" s="46" t="str" cm="1">
        <f t="array" ref="M82">IF(A82="","",SUMPRODUCT((A$2:A$201&lt;&gt;"")*(L$2:L$201&lt;L82))+SUMPRODUCT((A$2:A$201&lt;&gt;"")*(L$2:L$201=L82)*(A$2:A$201&lt;A82))+1)</f>
        <v/>
      </c>
      <c r="N82" s="46" t="str" cm="1">
        <f t="array" aca="1" ref="N82" ca="1">IF(A82="","",SUMPRODUCT(((OFFSET(F$2,0,0,COUNTA('Mii List'!A$2:A$200),1)*I82+OFFSET(G$2,0,0,COUNTA('Mii List'!A$2:A$200),1)*J82+OFFSET(H$2,0,0,COUNTA('Mii List'!A$2:A$200),1)*K82)&gt;0)*((F82*OFFSET(I$2,0,0,COUNTA('Mii List'!A$2:A$200),1)+G82*OFFSET(J$2,0,0,COUNTA('Mii List'!A$2:A$200),1)+H82*OFFSET(K$2,0,0,COUNTA('Mii List'!A$2:A$200),1))&gt;0)*(ROW(OFFSET($A$2,0,0,COUNTA('Mii List'!A$2:A$200),1))&lt;&gt;ROW())*IF(OFFSET(L$2,0,0,COUNTA('Mii List'!A$2:A$200),1)&gt;0,1/OFFSET(L$2,0,0,COUNTA('Mii List'!A$2:A$200),1),0)))</f>
        <v/>
      </c>
      <c r="O82" s="46" t="str" cm="1">
        <f t="array" aca="1" ref="O82" ca="1">IF(A82="","",IF(L82=0,0,SUMPRODUCT(((OFFSET(F$2,0,0,COUNTA('Mii List'!A$2:A$200),1)*I82+OFFSET(G$2,0,0,COUNTA('Mii List'!A$2:A$200),1)*J82+OFFSET(H$2,0,0,COUNTA('Mii List'!A$2:A$200),1)*K82)&gt;0)*((F82*OFFSET(I$2,0,0,COUNTA('Mii List'!A$2:A$200),1)+G82*OFFSET(J$2,0,0,COUNTA('Mii List'!A$2:A$200),1)+H82*OFFSET(K$2,0,0,COUNTA('Mii List'!A$2:A$200),1))&gt;0)*(ROW(OFFSET($A$2,0,0,COUNTA('Mii List'!A$2:A$200),1))&lt;&gt;ROW())*OFFSET(L$2,0,0,COUNTA('Mii List'!A$2:A$200),1))/L82))</f>
        <v/>
      </c>
      <c r="P82" s="46" t="str">
        <f t="shared" si="13"/>
        <v/>
      </c>
    </row>
    <row r="83" spans="1:16" x14ac:dyDescent="0.35">
      <c r="A83" s="46" t="str" cm="1">
        <f t="array" ref="A83">IF(ROW()-1&gt;COUNTA('Mii List'!A$2:A$200),"",INDEX('Mii List'!A$2:A$200,ROW()-1))</f>
        <v/>
      </c>
      <c r="B83" s="46" t="str">
        <f>IF(A83="","",INDEX('Mii List'!B$2:B$200,MATCH(A83,'Mii List'!A$2:A$200,0)))</f>
        <v/>
      </c>
      <c r="C83" s="46" t="str">
        <f>IF(A83="","",INDEX('Mii List'!C$2:C$200,MATCH(A83,'Mii List'!A$2:A$200,0)))</f>
        <v/>
      </c>
      <c r="D83" s="46" t="str">
        <f>IF(A83="","",INDEX('Mii List'!D$2:D$200,MATCH(A83,'Mii List'!A$2:A$200,0)))</f>
        <v/>
      </c>
      <c r="E83" s="46" t="str">
        <f>IF(A83="","",INDEX('Mii List'!E$2:E$200,MATCH(A83,'Mii List'!A$2:A$200,0)))</f>
        <v/>
      </c>
      <c r="F83" s="46">
        <f t="shared" si="7"/>
        <v>0</v>
      </c>
      <c r="G83" s="46">
        <f t="shared" si="8"/>
        <v>0</v>
      </c>
      <c r="H83" s="46">
        <f t="shared" si="9"/>
        <v>0</v>
      </c>
      <c r="I83" s="46">
        <f t="shared" si="10"/>
        <v>0</v>
      </c>
      <c r="J83" s="46">
        <f t="shared" si="11"/>
        <v>0</v>
      </c>
      <c r="K83" s="46">
        <f t="shared" si="12"/>
        <v>0</v>
      </c>
      <c r="L83" s="46" cm="1">
        <f t="array" ref="L83">IF(A83="",0,SUMPRODUCT((A$2:A$201&lt;&gt;"")*((F$2:F$201*I83+G$2:G$201*J83+H$2:H$201*K83)&gt;0)*((F83*I$2:I$201+G83*J$2:J$201+H83*K$2:K$201)&gt;0))-IF(F83*I83+G83*J83+H83*K83&gt;0,1,0))</f>
        <v>0</v>
      </c>
      <c r="M83" s="46" t="str" cm="1">
        <f t="array" ref="M83">IF(A83="","",SUMPRODUCT((A$2:A$201&lt;&gt;"")*(L$2:L$201&lt;L83))+SUMPRODUCT((A$2:A$201&lt;&gt;"")*(L$2:L$201=L83)*(A$2:A$201&lt;A83))+1)</f>
        <v/>
      </c>
      <c r="N83" s="46" t="str" cm="1">
        <f t="array" aca="1" ref="N83" ca="1">IF(A83="","",SUMPRODUCT(((OFFSET(F$2,0,0,COUNTA('Mii List'!A$2:A$200),1)*I83+OFFSET(G$2,0,0,COUNTA('Mii List'!A$2:A$200),1)*J83+OFFSET(H$2,0,0,COUNTA('Mii List'!A$2:A$200),1)*K83)&gt;0)*((F83*OFFSET(I$2,0,0,COUNTA('Mii List'!A$2:A$200),1)+G83*OFFSET(J$2,0,0,COUNTA('Mii List'!A$2:A$200),1)+H83*OFFSET(K$2,0,0,COUNTA('Mii List'!A$2:A$200),1))&gt;0)*(ROW(OFFSET($A$2,0,0,COUNTA('Mii List'!A$2:A$200),1))&lt;&gt;ROW())*IF(OFFSET(L$2,0,0,COUNTA('Mii List'!A$2:A$200),1)&gt;0,1/OFFSET(L$2,0,0,COUNTA('Mii List'!A$2:A$200),1),0)))</f>
        <v/>
      </c>
      <c r="O83" s="46" t="str" cm="1">
        <f t="array" aca="1" ref="O83" ca="1">IF(A83="","",IF(L83=0,0,SUMPRODUCT(((OFFSET(F$2,0,0,COUNTA('Mii List'!A$2:A$200),1)*I83+OFFSET(G$2,0,0,COUNTA('Mii List'!A$2:A$200),1)*J83+OFFSET(H$2,0,0,COUNTA('Mii List'!A$2:A$200),1)*K83)&gt;0)*((F83*OFFSET(I$2,0,0,COUNTA('Mii List'!A$2:A$200),1)+G83*OFFSET(J$2,0,0,COUNTA('Mii List'!A$2:A$200),1)+H83*OFFSET(K$2,0,0,COUNTA('Mii List'!A$2:A$200),1))&gt;0)*(ROW(OFFSET($A$2,0,0,COUNTA('Mii List'!A$2:A$200),1))&lt;&gt;ROW())*OFFSET(L$2,0,0,COUNTA('Mii List'!A$2:A$200),1))/L83))</f>
        <v/>
      </c>
      <c r="P83" s="46" t="str">
        <f t="shared" si="13"/>
        <v/>
      </c>
    </row>
    <row r="84" spans="1:16" x14ac:dyDescent="0.35">
      <c r="A84" s="46" t="str" cm="1">
        <f t="array" ref="A84">IF(ROW()-1&gt;COUNTA('Mii List'!A$2:A$200),"",INDEX('Mii List'!A$2:A$200,ROW()-1))</f>
        <v/>
      </c>
      <c r="B84" s="46" t="str">
        <f>IF(A84="","",INDEX('Mii List'!B$2:B$200,MATCH(A84,'Mii List'!A$2:A$200,0)))</f>
        <v/>
      </c>
      <c r="C84" s="46" t="str">
        <f>IF(A84="","",INDEX('Mii List'!C$2:C$200,MATCH(A84,'Mii List'!A$2:A$200,0)))</f>
        <v/>
      </c>
      <c r="D84" s="46" t="str">
        <f>IF(A84="","",INDEX('Mii List'!D$2:D$200,MATCH(A84,'Mii List'!A$2:A$200,0)))</f>
        <v/>
      </c>
      <c r="E84" s="46" t="str">
        <f>IF(A84="","",INDEX('Mii List'!E$2:E$200,MATCH(A84,'Mii List'!A$2:A$200,0)))</f>
        <v/>
      </c>
      <c r="F84" s="46">
        <f t="shared" si="7"/>
        <v>0</v>
      </c>
      <c r="G84" s="46">
        <f t="shared" si="8"/>
        <v>0</v>
      </c>
      <c r="H84" s="46">
        <f t="shared" si="9"/>
        <v>0</v>
      </c>
      <c r="I84" s="46">
        <f t="shared" si="10"/>
        <v>0</v>
      </c>
      <c r="J84" s="46">
        <f t="shared" si="11"/>
        <v>0</v>
      </c>
      <c r="K84" s="46">
        <f t="shared" si="12"/>
        <v>0</v>
      </c>
      <c r="L84" s="46" cm="1">
        <f t="array" ref="L84">IF(A84="",0,SUMPRODUCT((A$2:A$201&lt;&gt;"")*((F$2:F$201*I84+G$2:G$201*J84+H$2:H$201*K84)&gt;0)*((F84*I$2:I$201+G84*J$2:J$201+H84*K$2:K$201)&gt;0))-IF(F84*I84+G84*J84+H84*K84&gt;0,1,0))</f>
        <v>0</v>
      </c>
      <c r="M84" s="46" t="str" cm="1">
        <f t="array" ref="M84">IF(A84="","",SUMPRODUCT((A$2:A$201&lt;&gt;"")*(L$2:L$201&lt;L84))+SUMPRODUCT((A$2:A$201&lt;&gt;"")*(L$2:L$201=L84)*(A$2:A$201&lt;A84))+1)</f>
        <v/>
      </c>
      <c r="N84" s="46" t="str" cm="1">
        <f t="array" aca="1" ref="N84" ca="1">IF(A84="","",SUMPRODUCT(((OFFSET(F$2,0,0,COUNTA('Mii List'!A$2:A$200),1)*I84+OFFSET(G$2,0,0,COUNTA('Mii List'!A$2:A$200),1)*J84+OFFSET(H$2,0,0,COUNTA('Mii List'!A$2:A$200),1)*K84)&gt;0)*((F84*OFFSET(I$2,0,0,COUNTA('Mii List'!A$2:A$200),1)+G84*OFFSET(J$2,0,0,COUNTA('Mii List'!A$2:A$200),1)+H84*OFFSET(K$2,0,0,COUNTA('Mii List'!A$2:A$200),1))&gt;0)*(ROW(OFFSET($A$2,0,0,COUNTA('Mii List'!A$2:A$200),1))&lt;&gt;ROW())*IF(OFFSET(L$2,0,0,COUNTA('Mii List'!A$2:A$200),1)&gt;0,1/OFFSET(L$2,0,0,COUNTA('Mii List'!A$2:A$200),1),0)))</f>
        <v/>
      </c>
      <c r="O84" s="46" t="str" cm="1">
        <f t="array" aca="1" ref="O84" ca="1">IF(A84="","",IF(L84=0,0,SUMPRODUCT(((OFFSET(F$2,0,0,COUNTA('Mii List'!A$2:A$200),1)*I84+OFFSET(G$2,0,0,COUNTA('Mii List'!A$2:A$200),1)*J84+OFFSET(H$2,0,0,COUNTA('Mii List'!A$2:A$200),1)*K84)&gt;0)*((F84*OFFSET(I$2,0,0,COUNTA('Mii List'!A$2:A$200),1)+G84*OFFSET(J$2,0,0,COUNTA('Mii List'!A$2:A$200),1)+H84*OFFSET(K$2,0,0,COUNTA('Mii List'!A$2:A$200),1))&gt;0)*(ROW(OFFSET($A$2,0,0,COUNTA('Mii List'!A$2:A$200),1))&lt;&gt;ROW())*OFFSET(L$2,0,0,COUNTA('Mii List'!A$2:A$200),1))/L84))</f>
        <v/>
      </c>
      <c r="P84" s="46" t="str">
        <f t="shared" si="13"/>
        <v/>
      </c>
    </row>
    <row r="85" spans="1:16" x14ac:dyDescent="0.35">
      <c r="A85" s="46" t="str" cm="1">
        <f t="array" ref="A85">IF(ROW()-1&gt;COUNTA('Mii List'!A$2:A$200),"",INDEX('Mii List'!A$2:A$200,ROW()-1))</f>
        <v/>
      </c>
      <c r="B85" s="46" t="str">
        <f>IF(A85="","",INDEX('Mii List'!B$2:B$200,MATCH(A85,'Mii List'!A$2:A$200,0)))</f>
        <v/>
      </c>
      <c r="C85" s="46" t="str">
        <f>IF(A85="","",INDEX('Mii List'!C$2:C$200,MATCH(A85,'Mii List'!A$2:A$200,0)))</f>
        <v/>
      </c>
      <c r="D85" s="46" t="str">
        <f>IF(A85="","",INDEX('Mii List'!D$2:D$200,MATCH(A85,'Mii List'!A$2:A$200,0)))</f>
        <v/>
      </c>
      <c r="E85" s="46" t="str">
        <f>IF(A85="","",INDEX('Mii List'!E$2:E$200,MATCH(A85,'Mii List'!A$2:A$200,0)))</f>
        <v/>
      </c>
      <c r="F85" s="46">
        <f t="shared" si="7"/>
        <v>0</v>
      </c>
      <c r="G85" s="46">
        <f t="shared" si="8"/>
        <v>0</v>
      </c>
      <c r="H85" s="46">
        <f t="shared" si="9"/>
        <v>0</v>
      </c>
      <c r="I85" s="46">
        <f t="shared" si="10"/>
        <v>0</v>
      </c>
      <c r="J85" s="46">
        <f t="shared" si="11"/>
        <v>0</v>
      </c>
      <c r="K85" s="46">
        <f t="shared" si="12"/>
        <v>0</v>
      </c>
      <c r="L85" s="46" cm="1">
        <f t="array" ref="L85">IF(A85="",0,SUMPRODUCT((A$2:A$201&lt;&gt;"")*((F$2:F$201*I85+G$2:G$201*J85+H$2:H$201*K85)&gt;0)*((F85*I$2:I$201+G85*J$2:J$201+H85*K$2:K$201)&gt;0))-IF(F85*I85+G85*J85+H85*K85&gt;0,1,0))</f>
        <v>0</v>
      </c>
      <c r="M85" s="46" t="str" cm="1">
        <f t="array" ref="M85">IF(A85="","",SUMPRODUCT((A$2:A$201&lt;&gt;"")*(L$2:L$201&lt;L85))+SUMPRODUCT((A$2:A$201&lt;&gt;"")*(L$2:L$201=L85)*(A$2:A$201&lt;A85))+1)</f>
        <v/>
      </c>
      <c r="N85" s="46" t="str" cm="1">
        <f t="array" aca="1" ref="N85" ca="1">IF(A85="","",SUMPRODUCT(((OFFSET(F$2,0,0,COUNTA('Mii List'!A$2:A$200),1)*I85+OFFSET(G$2,0,0,COUNTA('Mii List'!A$2:A$200),1)*J85+OFFSET(H$2,0,0,COUNTA('Mii List'!A$2:A$200),1)*K85)&gt;0)*((F85*OFFSET(I$2,0,0,COUNTA('Mii List'!A$2:A$200),1)+G85*OFFSET(J$2,0,0,COUNTA('Mii List'!A$2:A$200),1)+H85*OFFSET(K$2,0,0,COUNTA('Mii List'!A$2:A$200),1))&gt;0)*(ROW(OFFSET($A$2,0,0,COUNTA('Mii List'!A$2:A$200),1))&lt;&gt;ROW())*IF(OFFSET(L$2,0,0,COUNTA('Mii List'!A$2:A$200),1)&gt;0,1/OFFSET(L$2,0,0,COUNTA('Mii List'!A$2:A$200),1),0)))</f>
        <v/>
      </c>
      <c r="O85" s="46" t="str" cm="1">
        <f t="array" aca="1" ref="O85" ca="1">IF(A85="","",IF(L85=0,0,SUMPRODUCT(((OFFSET(F$2,0,0,COUNTA('Mii List'!A$2:A$200),1)*I85+OFFSET(G$2,0,0,COUNTA('Mii List'!A$2:A$200),1)*J85+OFFSET(H$2,0,0,COUNTA('Mii List'!A$2:A$200),1)*K85)&gt;0)*((F85*OFFSET(I$2,0,0,COUNTA('Mii List'!A$2:A$200),1)+G85*OFFSET(J$2,0,0,COUNTA('Mii List'!A$2:A$200),1)+H85*OFFSET(K$2,0,0,COUNTA('Mii List'!A$2:A$200),1))&gt;0)*(ROW(OFFSET($A$2,0,0,COUNTA('Mii List'!A$2:A$200),1))&lt;&gt;ROW())*OFFSET(L$2,0,0,COUNTA('Mii List'!A$2:A$200),1))/L85))</f>
        <v/>
      </c>
      <c r="P85" s="46" t="str">
        <f t="shared" si="13"/>
        <v/>
      </c>
    </row>
    <row r="86" spans="1:16" x14ac:dyDescent="0.35">
      <c r="A86" s="46" t="str" cm="1">
        <f t="array" ref="A86">IF(ROW()-1&gt;COUNTA('Mii List'!A$2:A$200),"",INDEX('Mii List'!A$2:A$200,ROW()-1))</f>
        <v/>
      </c>
      <c r="B86" s="46" t="str">
        <f>IF(A86="","",INDEX('Mii List'!B$2:B$200,MATCH(A86,'Mii List'!A$2:A$200,0)))</f>
        <v/>
      </c>
      <c r="C86" s="46" t="str">
        <f>IF(A86="","",INDEX('Mii List'!C$2:C$200,MATCH(A86,'Mii List'!A$2:A$200,0)))</f>
        <v/>
      </c>
      <c r="D86" s="46" t="str">
        <f>IF(A86="","",INDEX('Mii List'!D$2:D$200,MATCH(A86,'Mii List'!A$2:A$200,0)))</f>
        <v/>
      </c>
      <c r="E86" s="46" t="str">
        <f>IF(A86="","",INDEX('Mii List'!E$2:E$200,MATCH(A86,'Mii List'!A$2:A$200,0)))</f>
        <v/>
      </c>
      <c r="F86" s="46">
        <f t="shared" si="7"/>
        <v>0</v>
      </c>
      <c r="G86" s="46">
        <f t="shared" si="8"/>
        <v>0</v>
      </c>
      <c r="H86" s="46">
        <f t="shared" si="9"/>
        <v>0</v>
      </c>
      <c r="I86" s="46">
        <f t="shared" si="10"/>
        <v>0</v>
      </c>
      <c r="J86" s="46">
        <f t="shared" si="11"/>
        <v>0</v>
      </c>
      <c r="K86" s="46">
        <f t="shared" si="12"/>
        <v>0</v>
      </c>
      <c r="L86" s="46" cm="1">
        <f t="array" ref="L86">IF(A86="",0,SUMPRODUCT((A$2:A$201&lt;&gt;"")*((F$2:F$201*I86+G$2:G$201*J86+H$2:H$201*K86)&gt;0)*((F86*I$2:I$201+G86*J$2:J$201+H86*K$2:K$201)&gt;0))-IF(F86*I86+G86*J86+H86*K86&gt;0,1,0))</f>
        <v>0</v>
      </c>
      <c r="M86" s="46" t="str" cm="1">
        <f t="array" ref="M86">IF(A86="","",SUMPRODUCT((A$2:A$201&lt;&gt;"")*(L$2:L$201&lt;L86))+SUMPRODUCT((A$2:A$201&lt;&gt;"")*(L$2:L$201=L86)*(A$2:A$201&lt;A86))+1)</f>
        <v/>
      </c>
      <c r="N86" s="46" t="str" cm="1">
        <f t="array" aca="1" ref="N86" ca="1">IF(A86="","",SUMPRODUCT(((OFFSET(F$2,0,0,COUNTA('Mii List'!A$2:A$200),1)*I86+OFFSET(G$2,0,0,COUNTA('Mii List'!A$2:A$200),1)*J86+OFFSET(H$2,0,0,COUNTA('Mii List'!A$2:A$200),1)*K86)&gt;0)*((F86*OFFSET(I$2,0,0,COUNTA('Mii List'!A$2:A$200),1)+G86*OFFSET(J$2,0,0,COUNTA('Mii List'!A$2:A$200),1)+H86*OFFSET(K$2,0,0,COUNTA('Mii List'!A$2:A$200),1))&gt;0)*(ROW(OFFSET($A$2,0,0,COUNTA('Mii List'!A$2:A$200),1))&lt;&gt;ROW())*IF(OFFSET(L$2,0,0,COUNTA('Mii List'!A$2:A$200),1)&gt;0,1/OFFSET(L$2,0,0,COUNTA('Mii List'!A$2:A$200),1),0)))</f>
        <v/>
      </c>
      <c r="O86" s="46" t="str" cm="1">
        <f t="array" aca="1" ref="O86" ca="1">IF(A86="","",IF(L86=0,0,SUMPRODUCT(((OFFSET(F$2,0,0,COUNTA('Mii List'!A$2:A$200),1)*I86+OFFSET(G$2,0,0,COUNTA('Mii List'!A$2:A$200),1)*J86+OFFSET(H$2,0,0,COUNTA('Mii List'!A$2:A$200),1)*K86)&gt;0)*((F86*OFFSET(I$2,0,0,COUNTA('Mii List'!A$2:A$200),1)+G86*OFFSET(J$2,0,0,COUNTA('Mii List'!A$2:A$200),1)+H86*OFFSET(K$2,0,0,COUNTA('Mii List'!A$2:A$200),1))&gt;0)*(ROW(OFFSET($A$2,0,0,COUNTA('Mii List'!A$2:A$200),1))&lt;&gt;ROW())*OFFSET(L$2,0,0,COUNTA('Mii List'!A$2:A$200),1))/L86))</f>
        <v/>
      </c>
      <c r="P86" s="46" t="str">
        <f t="shared" si="13"/>
        <v/>
      </c>
    </row>
    <row r="87" spans="1:16" x14ac:dyDescent="0.35">
      <c r="A87" s="46" t="str" cm="1">
        <f t="array" ref="A87">IF(ROW()-1&gt;COUNTA('Mii List'!A$2:A$200),"",INDEX('Mii List'!A$2:A$200,ROW()-1))</f>
        <v/>
      </c>
      <c r="B87" s="46" t="str">
        <f>IF(A87="","",INDEX('Mii List'!B$2:B$200,MATCH(A87,'Mii List'!A$2:A$200,0)))</f>
        <v/>
      </c>
      <c r="C87" s="46" t="str">
        <f>IF(A87="","",INDEX('Mii List'!C$2:C$200,MATCH(A87,'Mii List'!A$2:A$200,0)))</f>
        <v/>
      </c>
      <c r="D87" s="46" t="str">
        <f>IF(A87="","",INDEX('Mii List'!D$2:D$200,MATCH(A87,'Mii List'!A$2:A$200,0)))</f>
        <v/>
      </c>
      <c r="E87" s="46" t="str">
        <f>IF(A87="","",INDEX('Mii List'!E$2:E$200,MATCH(A87,'Mii List'!A$2:A$200,0)))</f>
        <v/>
      </c>
      <c r="F87" s="46">
        <f t="shared" si="7"/>
        <v>0</v>
      </c>
      <c r="G87" s="46">
        <f t="shared" si="8"/>
        <v>0</v>
      </c>
      <c r="H87" s="46">
        <f t="shared" si="9"/>
        <v>0</v>
      </c>
      <c r="I87" s="46">
        <f t="shared" si="10"/>
        <v>0</v>
      </c>
      <c r="J87" s="46">
        <f t="shared" si="11"/>
        <v>0</v>
      </c>
      <c r="K87" s="46">
        <f t="shared" si="12"/>
        <v>0</v>
      </c>
      <c r="L87" s="46" cm="1">
        <f t="array" ref="L87">IF(A87="",0,SUMPRODUCT((A$2:A$201&lt;&gt;"")*((F$2:F$201*I87+G$2:G$201*J87+H$2:H$201*K87)&gt;0)*((F87*I$2:I$201+G87*J$2:J$201+H87*K$2:K$201)&gt;0))-IF(F87*I87+G87*J87+H87*K87&gt;0,1,0))</f>
        <v>0</v>
      </c>
      <c r="M87" s="46" t="str" cm="1">
        <f t="array" ref="M87">IF(A87="","",SUMPRODUCT((A$2:A$201&lt;&gt;"")*(L$2:L$201&lt;L87))+SUMPRODUCT((A$2:A$201&lt;&gt;"")*(L$2:L$201=L87)*(A$2:A$201&lt;A87))+1)</f>
        <v/>
      </c>
      <c r="N87" s="46" t="str" cm="1">
        <f t="array" aca="1" ref="N87" ca="1">IF(A87="","",SUMPRODUCT(((OFFSET(F$2,0,0,COUNTA('Mii List'!A$2:A$200),1)*I87+OFFSET(G$2,0,0,COUNTA('Mii List'!A$2:A$200),1)*J87+OFFSET(H$2,0,0,COUNTA('Mii List'!A$2:A$200),1)*K87)&gt;0)*((F87*OFFSET(I$2,0,0,COUNTA('Mii List'!A$2:A$200),1)+G87*OFFSET(J$2,0,0,COUNTA('Mii List'!A$2:A$200),1)+H87*OFFSET(K$2,0,0,COUNTA('Mii List'!A$2:A$200),1))&gt;0)*(ROW(OFFSET($A$2,0,0,COUNTA('Mii List'!A$2:A$200),1))&lt;&gt;ROW())*IF(OFFSET(L$2,0,0,COUNTA('Mii List'!A$2:A$200),1)&gt;0,1/OFFSET(L$2,0,0,COUNTA('Mii List'!A$2:A$200),1),0)))</f>
        <v/>
      </c>
      <c r="O87" s="46" t="str" cm="1">
        <f t="array" aca="1" ref="O87" ca="1">IF(A87="","",IF(L87=0,0,SUMPRODUCT(((OFFSET(F$2,0,0,COUNTA('Mii List'!A$2:A$200),1)*I87+OFFSET(G$2,0,0,COUNTA('Mii List'!A$2:A$200),1)*J87+OFFSET(H$2,0,0,COUNTA('Mii List'!A$2:A$200),1)*K87)&gt;0)*((F87*OFFSET(I$2,0,0,COUNTA('Mii List'!A$2:A$200),1)+G87*OFFSET(J$2,0,0,COUNTA('Mii List'!A$2:A$200),1)+H87*OFFSET(K$2,0,0,COUNTA('Mii List'!A$2:A$200),1))&gt;0)*(ROW(OFFSET($A$2,0,0,COUNTA('Mii List'!A$2:A$200),1))&lt;&gt;ROW())*OFFSET(L$2,0,0,COUNTA('Mii List'!A$2:A$200),1))/L87))</f>
        <v/>
      </c>
      <c r="P87" s="46" t="str">
        <f t="shared" si="13"/>
        <v/>
      </c>
    </row>
    <row r="88" spans="1:16" x14ac:dyDescent="0.35">
      <c r="A88" s="46" t="str" cm="1">
        <f t="array" ref="A88">IF(ROW()-1&gt;COUNTA('Mii List'!A$2:A$200),"",INDEX('Mii List'!A$2:A$200,ROW()-1))</f>
        <v/>
      </c>
      <c r="B88" s="46" t="str">
        <f>IF(A88="","",INDEX('Mii List'!B$2:B$200,MATCH(A88,'Mii List'!A$2:A$200,0)))</f>
        <v/>
      </c>
      <c r="C88" s="46" t="str">
        <f>IF(A88="","",INDEX('Mii List'!C$2:C$200,MATCH(A88,'Mii List'!A$2:A$200,0)))</f>
        <v/>
      </c>
      <c r="D88" s="46" t="str">
        <f>IF(A88="","",INDEX('Mii List'!D$2:D$200,MATCH(A88,'Mii List'!A$2:A$200,0)))</f>
        <v/>
      </c>
      <c r="E88" s="46" t="str">
        <f>IF(A88="","",INDEX('Mii List'!E$2:E$200,MATCH(A88,'Mii List'!A$2:A$200,0)))</f>
        <v/>
      </c>
      <c r="F88" s="46">
        <f t="shared" si="7"/>
        <v>0</v>
      </c>
      <c r="G88" s="46">
        <f t="shared" si="8"/>
        <v>0</v>
      </c>
      <c r="H88" s="46">
        <f t="shared" si="9"/>
        <v>0</v>
      </c>
      <c r="I88" s="46">
        <f t="shared" si="10"/>
        <v>0</v>
      </c>
      <c r="J88" s="46">
        <f t="shared" si="11"/>
        <v>0</v>
      </c>
      <c r="K88" s="46">
        <f t="shared" si="12"/>
        <v>0</v>
      </c>
      <c r="L88" s="46" cm="1">
        <f t="array" ref="L88">IF(A88="",0,SUMPRODUCT((A$2:A$201&lt;&gt;"")*((F$2:F$201*I88+G$2:G$201*J88+H$2:H$201*K88)&gt;0)*((F88*I$2:I$201+G88*J$2:J$201+H88*K$2:K$201)&gt;0))-IF(F88*I88+G88*J88+H88*K88&gt;0,1,0))</f>
        <v>0</v>
      </c>
      <c r="M88" s="46" t="str" cm="1">
        <f t="array" ref="M88">IF(A88="","",SUMPRODUCT((A$2:A$201&lt;&gt;"")*(L$2:L$201&lt;L88))+SUMPRODUCT((A$2:A$201&lt;&gt;"")*(L$2:L$201=L88)*(A$2:A$201&lt;A88))+1)</f>
        <v/>
      </c>
      <c r="N88" s="46" t="str" cm="1">
        <f t="array" aca="1" ref="N88" ca="1">IF(A88="","",SUMPRODUCT(((OFFSET(F$2,0,0,COUNTA('Mii List'!A$2:A$200),1)*I88+OFFSET(G$2,0,0,COUNTA('Mii List'!A$2:A$200),1)*J88+OFFSET(H$2,0,0,COUNTA('Mii List'!A$2:A$200),1)*K88)&gt;0)*((F88*OFFSET(I$2,0,0,COUNTA('Mii List'!A$2:A$200),1)+G88*OFFSET(J$2,0,0,COUNTA('Mii List'!A$2:A$200),1)+H88*OFFSET(K$2,0,0,COUNTA('Mii List'!A$2:A$200),1))&gt;0)*(ROW(OFFSET($A$2,0,0,COUNTA('Mii List'!A$2:A$200),1))&lt;&gt;ROW())*IF(OFFSET(L$2,0,0,COUNTA('Mii List'!A$2:A$200),1)&gt;0,1/OFFSET(L$2,0,0,COUNTA('Mii List'!A$2:A$200),1),0)))</f>
        <v/>
      </c>
      <c r="O88" s="46" t="str" cm="1">
        <f t="array" aca="1" ref="O88" ca="1">IF(A88="","",IF(L88=0,0,SUMPRODUCT(((OFFSET(F$2,0,0,COUNTA('Mii List'!A$2:A$200),1)*I88+OFFSET(G$2,0,0,COUNTA('Mii List'!A$2:A$200),1)*J88+OFFSET(H$2,0,0,COUNTA('Mii List'!A$2:A$200),1)*K88)&gt;0)*((F88*OFFSET(I$2,0,0,COUNTA('Mii List'!A$2:A$200),1)+G88*OFFSET(J$2,0,0,COUNTA('Mii List'!A$2:A$200),1)+H88*OFFSET(K$2,0,0,COUNTA('Mii List'!A$2:A$200),1))&gt;0)*(ROW(OFFSET($A$2,0,0,COUNTA('Mii List'!A$2:A$200),1))&lt;&gt;ROW())*OFFSET(L$2,0,0,COUNTA('Mii List'!A$2:A$200),1))/L88))</f>
        <v/>
      </c>
      <c r="P88" s="46" t="str">
        <f t="shared" si="13"/>
        <v/>
      </c>
    </row>
    <row r="89" spans="1:16" x14ac:dyDescent="0.35">
      <c r="A89" s="46" t="str" cm="1">
        <f t="array" ref="A89">IF(ROW()-1&gt;COUNTA('Mii List'!A$2:A$200),"",INDEX('Mii List'!A$2:A$200,ROW()-1))</f>
        <v/>
      </c>
      <c r="B89" s="46" t="str">
        <f>IF(A89="","",INDEX('Mii List'!B$2:B$200,MATCH(A89,'Mii List'!A$2:A$200,0)))</f>
        <v/>
      </c>
      <c r="C89" s="46" t="str">
        <f>IF(A89="","",INDEX('Mii List'!C$2:C$200,MATCH(A89,'Mii List'!A$2:A$200,0)))</f>
        <v/>
      </c>
      <c r="D89" s="46" t="str">
        <f>IF(A89="","",INDEX('Mii List'!D$2:D$200,MATCH(A89,'Mii List'!A$2:A$200,0)))</f>
        <v/>
      </c>
      <c r="E89" s="46" t="str">
        <f>IF(A89="","",INDEX('Mii List'!E$2:E$200,MATCH(A89,'Mii List'!A$2:A$200,0)))</f>
        <v/>
      </c>
      <c r="F89" s="46">
        <f t="shared" si="7"/>
        <v>0</v>
      </c>
      <c r="G89" s="46">
        <f t="shared" si="8"/>
        <v>0</v>
      </c>
      <c r="H89" s="46">
        <f t="shared" si="9"/>
        <v>0</v>
      </c>
      <c r="I89" s="46">
        <f t="shared" si="10"/>
        <v>0</v>
      </c>
      <c r="J89" s="46">
        <f t="shared" si="11"/>
        <v>0</v>
      </c>
      <c r="K89" s="46">
        <f t="shared" si="12"/>
        <v>0</v>
      </c>
      <c r="L89" s="46" cm="1">
        <f t="array" ref="L89">IF(A89="",0,SUMPRODUCT((A$2:A$201&lt;&gt;"")*((F$2:F$201*I89+G$2:G$201*J89+H$2:H$201*K89)&gt;0)*((F89*I$2:I$201+G89*J$2:J$201+H89*K$2:K$201)&gt;0))-IF(F89*I89+G89*J89+H89*K89&gt;0,1,0))</f>
        <v>0</v>
      </c>
      <c r="M89" s="46" t="str" cm="1">
        <f t="array" ref="M89">IF(A89="","",SUMPRODUCT((A$2:A$201&lt;&gt;"")*(L$2:L$201&lt;L89))+SUMPRODUCT((A$2:A$201&lt;&gt;"")*(L$2:L$201=L89)*(A$2:A$201&lt;A89))+1)</f>
        <v/>
      </c>
      <c r="N89" s="46" t="str" cm="1">
        <f t="array" aca="1" ref="N89" ca="1">IF(A89="","",SUMPRODUCT(((OFFSET(F$2,0,0,COUNTA('Mii List'!A$2:A$200),1)*I89+OFFSET(G$2,0,0,COUNTA('Mii List'!A$2:A$200),1)*J89+OFFSET(H$2,0,0,COUNTA('Mii List'!A$2:A$200),1)*K89)&gt;0)*((F89*OFFSET(I$2,0,0,COUNTA('Mii List'!A$2:A$200),1)+G89*OFFSET(J$2,0,0,COUNTA('Mii List'!A$2:A$200),1)+H89*OFFSET(K$2,0,0,COUNTA('Mii List'!A$2:A$200),1))&gt;0)*(ROW(OFFSET($A$2,0,0,COUNTA('Mii List'!A$2:A$200),1))&lt;&gt;ROW())*IF(OFFSET(L$2,0,0,COUNTA('Mii List'!A$2:A$200),1)&gt;0,1/OFFSET(L$2,0,0,COUNTA('Mii List'!A$2:A$200),1),0)))</f>
        <v/>
      </c>
      <c r="O89" s="46" t="str" cm="1">
        <f t="array" aca="1" ref="O89" ca="1">IF(A89="","",IF(L89=0,0,SUMPRODUCT(((OFFSET(F$2,0,0,COUNTA('Mii List'!A$2:A$200),1)*I89+OFFSET(G$2,0,0,COUNTA('Mii List'!A$2:A$200),1)*J89+OFFSET(H$2,0,0,COUNTA('Mii List'!A$2:A$200),1)*K89)&gt;0)*((F89*OFFSET(I$2,0,0,COUNTA('Mii List'!A$2:A$200),1)+G89*OFFSET(J$2,0,0,COUNTA('Mii List'!A$2:A$200),1)+H89*OFFSET(K$2,0,0,COUNTA('Mii List'!A$2:A$200),1))&gt;0)*(ROW(OFFSET($A$2,0,0,COUNTA('Mii List'!A$2:A$200),1))&lt;&gt;ROW())*OFFSET(L$2,0,0,COUNTA('Mii List'!A$2:A$200),1))/L89))</f>
        <v/>
      </c>
      <c r="P89" s="46" t="str">
        <f t="shared" si="13"/>
        <v/>
      </c>
    </row>
    <row r="90" spans="1:16" x14ac:dyDescent="0.35">
      <c r="A90" s="46" t="str" cm="1">
        <f t="array" ref="A90">IF(ROW()-1&gt;COUNTA('Mii List'!A$2:A$200),"",INDEX('Mii List'!A$2:A$200,ROW()-1))</f>
        <v/>
      </c>
      <c r="B90" s="46" t="str">
        <f>IF(A90="","",INDEX('Mii List'!B$2:B$200,MATCH(A90,'Mii List'!A$2:A$200,0)))</f>
        <v/>
      </c>
      <c r="C90" s="46" t="str">
        <f>IF(A90="","",INDEX('Mii List'!C$2:C$200,MATCH(A90,'Mii List'!A$2:A$200,0)))</f>
        <v/>
      </c>
      <c r="D90" s="46" t="str">
        <f>IF(A90="","",INDEX('Mii List'!D$2:D$200,MATCH(A90,'Mii List'!A$2:A$200,0)))</f>
        <v/>
      </c>
      <c r="E90" s="46" t="str">
        <f>IF(A90="","",INDEX('Mii List'!E$2:E$200,MATCH(A90,'Mii List'!A$2:A$200,0)))</f>
        <v/>
      </c>
      <c r="F90" s="46">
        <f t="shared" si="7"/>
        <v>0</v>
      </c>
      <c r="G90" s="46">
        <f t="shared" si="8"/>
        <v>0</v>
      </c>
      <c r="H90" s="46">
        <f t="shared" si="9"/>
        <v>0</v>
      </c>
      <c r="I90" s="46">
        <f t="shared" si="10"/>
        <v>0</v>
      </c>
      <c r="J90" s="46">
        <f t="shared" si="11"/>
        <v>0</v>
      </c>
      <c r="K90" s="46">
        <f t="shared" si="12"/>
        <v>0</v>
      </c>
      <c r="L90" s="46" cm="1">
        <f t="array" ref="L90">IF(A90="",0,SUMPRODUCT((A$2:A$201&lt;&gt;"")*((F$2:F$201*I90+G$2:G$201*J90+H$2:H$201*K90)&gt;0)*((F90*I$2:I$201+G90*J$2:J$201+H90*K$2:K$201)&gt;0))-IF(F90*I90+G90*J90+H90*K90&gt;0,1,0))</f>
        <v>0</v>
      </c>
      <c r="M90" s="46" t="str" cm="1">
        <f t="array" ref="M90">IF(A90="","",SUMPRODUCT((A$2:A$201&lt;&gt;"")*(L$2:L$201&lt;L90))+SUMPRODUCT((A$2:A$201&lt;&gt;"")*(L$2:L$201=L90)*(A$2:A$201&lt;A90))+1)</f>
        <v/>
      </c>
      <c r="N90" s="46" t="str" cm="1">
        <f t="array" aca="1" ref="N90" ca="1">IF(A90="","",SUMPRODUCT(((OFFSET(F$2,0,0,COUNTA('Mii List'!A$2:A$200),1)*I90+OFFSET(G$2,0,0,COUNTA('Mii List'!A$2:A$200),1)*J90+OFFSET(H$2,0,0,COUNTA('Mii List'!A$2:A$200),1)*K90)&gt;0)*((F90*OFFSET(I$2,0,0,COUNTA('Mii List'!A$2:A$200),1)+G90*OFFSET(J$2,0,0,COUNTA('Mii List'!A$2:A$200),1)+H90*OFFSET(K$2,0,0,COUNTA('Mii List'!A$2:A$200),1))&gt;0)*(ROW(OFFSET($A$2,0,0,COUNTA('Mii List'!A$2:A$200),1))&lt;&gt;ROW())*IF(OFFSET(L$2,0,0,COUNTA('Mii List'!A$2:A$200),1)&gt;0,1/OFFSET(L$2,0,0,COUNTA('Mii List'!A$2:A$200),1),0)))</f>
        <v/>
      </c>
      <c r="O90" s="46" t="str" cm="1">
        <f t="array" aca="1" ref="O90" ca="1">IF(A90="","",IF(L90=0,0,SUMPRODUCT(((OFFSET(F$2,0,0,COUNTA('Mii List'!A$2:A$200),1)*I90+OFFSET(G$2,0,0,COUNTA('Mii List'!A$2:A$200),1)*J90+OFFSET(H$2,0,0,COUNTA('Mii List'!A$2:A$200),1)*K90)&gt;0)*((F90*OFFSET(I$2,0,0,COUNTA('Mii List'!A$2:A$200),1)+G90*OFFSET(J$2,0,0,COUNTA('Mii List'!A$2:A$200),1)+H90*OFFSET(K$2,0,0,COUNTA('Mii List'!A$2:A$200),1))&gt;0)*(ROW(OFFSET($A$2,0,0,COUNTA('Mii List'!A$2:A$200),1))&lt;&gt;ROW())*OFFSET(L$2,0,0,COUNTA('Mii List'!A$2:A$200),1))/L90))</f>
        <v/>
      </c>
      <c r="P90" s="46" t="str">
        <f t="shared" si="13"/>
        <v/>
      </c>
    </row>
    <row r="91" spans="1:16" x14ac:dyDescent="0.35">
      <c r="A91" s="46" t="str" cm="1">
        <f t="array" ref="A91">IF(ROW()-1&gt;COUNTA('Mii List'!A$2:A$200),"",INDEX('Mii List'!A$2:A$200,ROW()-1))</f>
        <v/>
      </c>
      <c r="B91" s="46" t="str">
        <f>IF(A91="","",INDEX('Mii List'!B$2:B$200,MATCH(A91,'Mii List'!A$2:A$200,0)))</f>
        <v/>
      </c>
      <c r="C91" s="46" t="str">
        <f>IF(A91="","",INDEX('Mii List'!C$2:C$200,MATCH(A91,'Mii List'!A$2:A$200,0)))</f>
        <v/>
      </c>
      <c r="D91" s="46" t="str">
        <f>IF(A91="","",INDEX('Mii List'!D$2:D$200,MATCH(A91,'Mii List'!A$2:A$200,0)))</f>
        <v/>
      </c>
      <c r="E91" s="46" t="str">
        <f>IF(A91="","",INDEX('Mii List'!E$2:E$200,MATCH(A91,'Mii List'!A$2:A$200,0)))</f>
        <v/>
      </c>
      <c r="F91" s="46">
        <f t="shared" si="7"/>
        <v>0</v>
      </c>
      <c r="G91" s="46">
        <f t="shared" si="8"/>
        <v>0</v>
      </c>
      <c r="H91" s="46">
        <f t="shared" si="9"/>
        <v>0</v>
      </c>
      <c r="I91" s="46">
        <f t="shared" si="10"/>
        <v>0</v>
      </c>
      <c r="J91" s="46">
        <f t="shared" si="11"/>
        <v>0</v>
      </c>
      <c r="K91" s="46">
        <f t="shared" si="12"/>
        <v>0</v>
      </c>
      <c r="L91" s="46" cm="1">
        <f t="array" ref="L91">IF(A91="",0,SUMPRODUCT((A$2:A$201&lt;&gt;"")*((F$2:F$201*I91+G$2:G$201*J91+H$2:H$201*K91)&gt;0)*((F91*I$2:I$201+G91*J$2:J$201+H91*K$2:K$201)&gt;0))-IF(F91*I91+G91*J91+H91*K91&gt;0,1,0))</f>
        <v>0</v>
      </c>
      <c r="M91" s="46" t="str" cm="1">
        <f t="array" ref="M91">IF(A91="","",SUMPRODUCT((A$2:A$201&lt;&gt;"")*(L$2:L$201&lt;L91))+SUMPRODUCT((A$2:A$201&lt;&gt;"")*(L$2:L$201=L91)*(A$2:A$201&lt;A91))+1)</f>
        <v/>
      </c>
      <c r="N91" s="46" t="str" cm="1">
        <f t="array" aca="1" ref="N91" ca="1">IF(A91="","",SUMPRODUCT(((OFFSET(F$2,0,0,COUNTA('Mii List'!A$2:A$200),1)*I91+OFFSET(G$2,0,0,COUNTA('Mii List'!A$2:A$200),1)*J91+OFFSET(H$2,0,0,COUNTA('Mii List'!A$2:A$200),1)*K91)&gt;0)*((F91*OFFSET(I$2,0,0,COUNTA('Mii List'!A$2:A$200),1)+G91*OFFSET(J$2,0,0,COUNTA('Mii List'!A$2:A$200),1)+H91*OFFSET(K$2,0,0,COUNTA('Mii List'!A$2:A$200),1))&gt;0)*(ROW(OFFSET($A$2,0,0,COUNTA('Mii List'!A$2:A$200),1))&lt;&gt;ROW())*IF(OFFSET(L$2,0,0,COUNTA('Mii List'!A$2:A$200),1)&gt;0,1/OFFSET(L$2,0,0,COUNTA('Mii List'!A$2:A$200),1),0)))</f>
        <v/>
      </c>
      <c r="O91" s="46" t="str" cm="1">
        <f t="array" aca="1" ref="O91" ca="1">IF(A91="","",IF(L91=0,0,SUMPRODUCT(((OFFSET(F$2,0,0,COUNTA('Mii List'!A$2:A$200),1)*I91+OFFSET(G$2,0,0,COUNTA('Mii List'!A$2:A$200),1)*J91+OFFSET(H$2,0,0,COUNTA('Mii List'!A$2:A$200),1)*K91)&gt;0)*((F91*OFFSET(I$2,0,0,COUNTA('Mii List'!A$2:A$200),1)+G91*OFFSET(J$2,0,0,COUNTA('Mii List'!A$2:A$200),1)+H91*OFFSET(K$2,0,0,COUNTA('Mii List'!A$2:A$200),1))&gt;0)*(ROW(OFFSET($A$2,0,0,COUNTA('Mii List'!A$2:A$200),1))&lt;&gt;ROW())*OFFSET(L$2,0,0,COUNTA('Mii List'!A$2:A$200),1))/L91))</f>
        <v/>
      </c>
      <c r="P91" s="46" t="str">
        <f t="shared" si="13"/>
        <v/>
      </c>
    </row>
    <row r="92" spans="1:16" x14ac:dyDescent="0.35">
      <c r="A92" s="46" t="str" cm="1">
        <f t="array" ref="A92">IF(ROW()-1&gt;COUNTA('Mii List'!A$2:A$200),"",INDEX('Mii List'!A$2:A$200,ROW()-1))</f>
        <v/>
      </c>
      <c r="B92" s="46" t="str">
        <f>IF(A92="","",INDEX('Mii List'!B$2:B$200,MATCH(A92,'Mii List'!A$2:A$200,0)))</f>
        <v/>
      </c>
      <c r="C92" s="46" t="str">
        <f>IF(A92="","",INDEX('Mii List'!C$2:C$200,MATCH(A92,'Mii List'!A$2:A$200,0)))</f>
        <v/>
      </c>
      <c r="D92" s="46" t="str">
        <f>IF(A92="","",INDEX('Mii List'!D$2:D$200,MATCH(A92,'Mii List'!A$2:A$200,0)))</f>
        <v/>
      </c>
      <c r="E92" s="46" t="str">
        <f>IF(A92="","",INDEX('Mii List'!E$2:E$200,MATCH(A92,'Mii List'!A$2:A$200,0)))</f>
        <v/>
      </c>
      <c r="F92" s="46">
        <f t="shared" si="7"/>
        <v>0</v>
      </c>
      <c r="G92" s="46">
        <f t="shared" si="8"/>
        <v>0</v>
      </c>
      <c r="H92" s="46">
        <f t="shared" si="9"/>
        <v>0</v>
      </c>
      <c r="I92" s="46">
        <f t="shared" si="10"/>
        <v>0</v>
      </c>
      <c r="J92" s="46">
        <f t="shared" si="11"/>
        <v>0</v>
      </c>
      <c r="K92" s="46">
        <f t="shared" si="12"/>
        <v>0</v>
      </c>
      <c r="L92" s="46" cm="1">
        <f t="array" ref="L92">IF(A92="",0,SUMPRODUCT((A$2:A$201&lt;&gt;"")*((F$2:F$201*I92+G$2:G$201*J92+H$2:H$201*K92)&gt;0)*((F92*I$2:I$201+G92*J$2:J$201+H92*K$2:K$201)&gt;0))-IF(F92*I92+G92*J92+H92*K92&gt;0,1,0))</f>
        <v>0</v>
      </c>
      <c r="M92" s="46" t="str" cm="1">
        <f t="array" ref="M92">IF(A92="","",SUMPRODUCT((A$2:A$201&lt;&gt;"")*(L$2:L$201&lt;L92))+SUMPRODUCT((A$2:A$201&lt;&gt;"")*(L$2:L$201=L92)*(A$2:A$201&lt;A92))+1)</f>
        <v/>
      </c>
      <c r="N92" s="46" t="str" cm="1">
        <f t="array" aca="1" ref="N92" ca="1">IF(A92="","",SUMPRODUCT(((OFFSET(F$2,0,0,COUNTA('Mii List'!A$2:A$200),1)*I92+OFFSET(G$2,0,0,COUNTA('Mii List'!A$2:A$200),1)*J92+OFFSET(H$2,0,0,COUNTA('Mii List'!A$2:A$200),1)*K92)&gt;0)*((F92*OFFSET(I$2,0,0,COUNTA('Mii List'!A$2:A$200),1)+G92*OFFSET(J$2,0,0,COUNTA('Mii List'!A$2:A$200),1)+H92*OFFSET(K$2,0,0,COUNTA('Mii List'!A$2:A$200),1))&gt;0)*(ROW(OFFSET($A$2,0,0,COUNTA('Mii List'!A$2:A$200),1))&lt;&gt;ROW())*IF(OFFSET(L$2,0,0,COUNTA('Mii List'!A$2:A$200),1)&gt;0,1/OFFSET(L$2,0,0,COUNTA('Mii List'!A$2:A$200),1),0)))</f>
        <v/>
      </c>
      <c r="O92" s="46" t="str" cm="1">
        <f t="array" aca="1" ref="O92" ca="1">IF(A92="","",IF(L92=0,0,SUMPRODUCT(((OFFSET(F$2,0,0,COUNTA('Mii List'!A$2:A$200),1)*I92+OFFSET(G$2,0,0,COUNTA('Mii List'!A$2:A$200),1)*J92+OFFSET(H$2,0,0,COUNTA('Mii List'!A$2:A$200),1)*K92)&gt;0)*((F92*OFFSET(I$2,0,0,COUNTA('Mii List'!A$2:A$200),1)+G92*OFFSET(J$2,0,0,COUNTA('Mii List'!A$2:A$200),1)+H92*OFFSET(K$2,0,0,COUNTA('Mii List'!A$2:A$200),1))&gt;0)*(ROW(OFFSET($A$2,0,0,COUNTA('Mii List'!A$2:A$200),1))&lt;&gt;ROW())*OFFSET(L$2,0,0,COUNTA('Mii List'!A$2:A$200),1))/L92))</f>
        <v/>
      </c>
      <c r="P92" s="46" t="str">
        <f t="shared" si="13"/>
        <v/>
      </c>
    </row>
    <row r="93" spans="1:16" x14ac:dyDescent="0.35">
      <c r="A93" s="46" t="str" cm="1">
        <f t="array" ref="A93">IF(ROW()-1&gt;COUNTA('Mii List'!A$2:A$200),"",INDEX('Mii List'!A$2:A$200,ROW()-1))</f>
        <v/>
      </c>
      <c r="B93" s="46" t="str">
        <f>IF(A93="","",INDEX('Mii List'!B$2:B$200,MATCH(A93,'Mii List'!A$2:A$200,0)))</f>
        <v/>
      </c>
      <c r="C93" s="46" t="str">
        <f>IF(A93="","",INDEX('Mii List'!C$2:C$200,MATCH(A93,'Mii List'!A$2:A$200,0)))</f>
        <v/>
      </c>
      <c r="D93" s="46" t="str">
        <f>IF(A93="","",INDEX('Mii List'!D$2:D$200,MATCH(A93,'Mii List'!A$2:A$200,0)))</f>
        <v/>
      </c>
      <c r="E93" s="46" t="str">
        <f>IF(A93="","",INDEX('Mii List'!E$2:E$200,MATCH(A93,'Mii List'!A$2:A$200,0)))</f>
        <v/>
      </c>
      <c r="F93" s="46">
        <f t="shared" si="7"/>
        <v>0</v>
      </c>
      <c r="G93" s="46">
        <f t="shared" si="8"/>
        <v>0</v>
      </c>
      <c r="H93" s="46">
        <f t="shared" si="9"/>
        <v>0</v>
      </c>
      <c r="I93" s="46">
        <f t="shared" si="10"/>
        <v>0</v>
      </c>
      <c r="J93" s="46">
        <f t="shared" si="11"/>
        <v>0</v>
      </c>
      <c r="K93" s="46">
        <f t="shared" si="12"/>
        <v>0</v>
      </c>
      <c r="L93" s="46" cm="1">
        <f t="array" ref="L93">IF(A93="",0,SUMPRODUCT((A$2:A$201&lt;&gt;"")*((F$2:F$201*I93+G$2:G$201*J93+H$2:H$201*K93)&gt;0)*((F93*I$2:I$201+G93*J$2:J$201+H93*K$2:K$201)&gt;0))-IF(F93*I93+G93*J93+H93*K93&gt;0,1,0))</f>
        <v>0</v>
      </c>
      <c r="M93" s="46" t="str" cm="1">
        <f t="array" ref="M93">IF(A93="","",SUMPRODUCT((A$2:A$201&lt;&gt;"")*(L$2:L$201&lt;L93))+SUMPRODUCT((A$2:A$201&lt;&gt;"")*(L$2:L$201=L93)*(A$2:A$201&lt;A93))+1)</f>
        <v/>
      </c>
      <c r="N93" s="46" t="str" cm="1">
        <f t="array" aca="1" ref="N93" ca="1">IF(A93="","",SUMPRODUCT(((OFFSET(F$2,0,0,COUNTA('Mii List'!A$2:A$200),1)*I93+OFFSET(G$2,0,0,COUNTA('Mii List'!A$2:A$200),1)*J93+OFFSET(H$2,0,0,COUNTA('Mii List'!A$2:A$200),1)*K93)&gt;0)*((F93*OFFSET(I$2,0,0,COUNTA('Mii List'!A$2:A$200),1)+G93*OFFSET(J$2,0,0,COUNTA('Mii List'!A$2:A$200),1)+H93*OFFSET(K$2,0,0,COUNTA('Mii List'!A$2:A$200),1))&gt;0)*(ROW(OFFSET($A$2,0,0,COUNTA('Mii List'!A$2:A$200),1))&lt;&gt;ROW())*IF(OFFSET(L$2,0,0,COUNTA('Mii List'!A$2:A$200),1)&gt;0,1/OFFSET(L$2,0,0,COUNTA('Mii List'!A$2:A$200),1),0)))</f>
        <v/>
      </c>
      <c r="O93" s="46" t="str" cm="1">
        <f t="array" aca="1" ref="O93" ca="1">IF(A93="","",IF(L93=0,0,SUMPRODUCT(((OFFSET(F$2,0,0,COUNTA('Mii List'!A$2:A$200),1)*I93+OFFSET(G$2,0,0,COUNTA('Mii List'!A$2:A$200),1)*J93+OFFSET(H$2,0,0,COUNTA('Mii List'!A$2:A$200),1)*K93)&gt;0)*((F93*OFFSET(I$2,0,0,COUNTA('Mii List'!A$2:A$200),1)+G93*OFFSET(J$2,0,0,COUNTA('Mii List'!A$2:A$200),1)+H93*OFFSET(K$2,0,0,COUNTA('Mii List'!A$2:A$200),1))&gt;0)*(ROW(OFFSET($A$2,0,0,COUNTA('Mii List'!A$2:A$200),1))&lt;&gt;ROW())*OFFSET(L$2,0,0,COUNTA('Mii List'!A$2:A$200),1))/L93))</f>
        <v/>
      </c>
      <c r="P93" s="46" t="str">
        <f t="shared" si="13"/>
        <v/>
      </c>
    </row>
    <row r="94" spans="1:16" x14ac:dyDescent="0.35">
      <c r="A94" s="46" t="str" cm="1">
        <f t="array" ref="A94">IF(ROW()-1&gt;COUNTA('Mii List'!A$2:A$200),"",INDEX('Mii List'!A$2:A$200,ROW()-1))</f>
        <v/>
      </c>
      <c r="B94" s="46" t="str">
        <f>IF(A94="","",INDEX('Mii List'!B$2:B$200,MATCH(A94,'Mii List'!A$2:A$200,0)))</f>
        <v/>
      </c>
      <c r="C94" s="46" t="str">
        <f>IF(A94="","",INDEX('Mii List'!C$2:C$200,MATCH(A94,'Mii List'!A$2:A$200,0)))</f>
        <v/>
      </c>
      <c r="D94" s="46" t="str">
        <f>IF(A94="","",INDEX('Mii List'!D$2:D$200,MATCH(A94,'Mii List'!A$2:A$200,0)))</f>
        <v/>
      </c>
      <c r="E94" s="46" t="str">
        <f>IF(A94="","",INDEX('Mii List'!E$2:E$200,MATCH(A94,'Mii List'!A$2:A$200,0)))</f>
        <v/>
      </c>
      <c r="F94" s="46">
        <f t="shared" si="7"/>
        <v>0</v>
      </c>
      <c r="G94" s="46">
        <f t="shared" si="8"/>
        <v>0</v>
      </c>
      <c r="H94" s="46">
        <f t="shared" si="9"/>
        <v>0</v>
      </c>
      <c r="I94" s="46">
        <f t="shared" si="10"/>
        <v>0</v>
      </c>
      <c r="J94" s="46">
        <f t="shared" si="11"/>
        <v>0</v>
      </c>
      <c r="K94" s="46">
        <f t="shared" si="12"/>
        <v>0</v>
      </c>
      <c r="L94" s="46" cm="1">
        <f t="array" ref="L94">IF(A94="",0,SUMPRODUCT((A$2:A$201&lt;&gt;"")*((F$2:F$201*I94+G$2:G$201*J94+H$2:H$201*K94)&gt;0)*((F94*I$2:I$201+G94*J$2:J$201+H94*K$2:K$201)&gt;0))-IF(F94*I94+G94*J94+H94*K94&gt;0,1,0))</f>
        <v>0</v>
      </c>
      <c r="M94" s="46" t="str" cm="1">
        <f t="array" ref="M94">IF(A94="","",SUMPRODUCT((A$2:A$201&lt;&gt;"")*(L$2:L$201&lt;L94))+SUMPRODUCT((A$2:A$201&lt;&gt;"")*(L$2:L$201=L94)*(A$2:A$201&lt;A94))+1)</f>
        <v/>
      </c>
      <c r="N94" s="46" t="str" cm="1">
        <f t="array" aca="1" ref="N94" ca="1">IF(A94="","",SUMPRODUCT(((OFFSET(F$2,0,0,COUNTA('Mii List'!A$2:A$200),1)*I94+OFFSET(G$2,0,0,COUNTA('Mii List'!A$2:A$200),1)*J94+OFFSET(H$2,0,0,COUNTA('Mii List'!A$2:A$200),1)*K94)&gt;0)*((F94*OFFSET(I$2,0,0,COUNTA('Mii List'!A$2:A$200),1)+G94*OFFSET(J$2,0,0,COUNTA('Mii List'!A$2:A$200),1)+H94*OFFSET(K$2,0,0,COUNTA('Mii List'!A$2:A$200),1))&gt;0)*(ROW(OFFSET($A$2,0,0,COUNTA('Mii List'!A$2:A$200),1))&lt;&gt;ROW())*IF(OFFSET(L$2,0,0,COUNTA('Mii List'!A$2:A$200),1)&gt;0,1/OFFSET(L$2,0,0,COUNTA('Mii List'!A$2:A$200),1),0)))</f>
        <v/>
      </c>
      <c r="O94" s="46" t="str" cm="1">
        <f t="array" aca="1" ref="O94" ca="1">IF(A94="","",IF(L94=0,0,SUMPRODUCT(((OFFSET(F$2,0,0,COUNTA('Mii List'!A$2:A$200),1)*I94+OFFSET(G$2,0,0,COUNTA('Mii List'!A$2:A$200),1)*J94+OFFSET(H$2,0,0,COUNTA('Mii List'!A$2:A$200),1)*K94)&gt;0)*((F94*OFFSET(I$2,0,0,COUNTA('Mii List'!A$2:A$200),1)+G94*OFFSET(J$2,0,0,COUNTA('Mii List'!A$2:A$200),1)+H94*OFFSET(K$2,0,0,COUNTA('Mii List'!A$2:A$200),1))&gt;0)*(ROW(OFFSET($A$2,0,0,COUNTA('Mii List'!A$2:A$200),1))&lt;&gt;ROW())*OFFSET(L$2,0,0,COUNTA('Mii List'!A$2:A$200),1))/L94))</f>
        <v/>
      </c>
      <c r="P94" s="46" t="str">
        <f t="shared" si="13"/>
        <v/>
      </c>
    </row>
    <row r="95" spans="1:16" x14ac:dyDescent="0.35">
      <c r="A95" s="46" t="str" cm="1">
        <f t="array" ref="A95">IF(ROW()-1&gt;COUNTA('Mii List'!A$2:A$200),"",INDEX('Mii List'!A$2:A$200,ROW()-1))</f>
        <v/>
      </c>
      <c r="B95" s="46" t="str">
        <f>IF(A95="","",INDEX('Mii List'!B$2:B$200,MATCH(A95,'Mii List'!A$2:A$200,0)))</f>
        <v/>
      </c>
      <c r="C95" s="46" t="str">
        <f>IF(A95="","",INDEX('Mii List'!C$2:C$200,MATCH(A95,'Mii List'!A$2:A$200,0)))</f>
        <v/>
      </c>
      <c r="D95" s="46" t="str">
        <f>IF(A95="","",INDEX('Mii List'!D$2:D$200,MATCH(A95,'Mii List'!A$2:A$200,0)))</f>
        <v/>
      </c>
      <c r="E95" s="46" t="str">
        <f>IF(A95="","",INDEX('Mii List'!E$2:E$200,MATCH(A95,'Mii List'!A$2:A$200,0)))</f>
        <v/>
      </c>
      <c r="F95" s="46">
        <f t="shared" si="7"/>
        <v>0</v>
      </c>
      <c r="G95" s="46">
        <f t="shared" si="8"/>
        <v>0</v>
      </c>
      <c r="H95" s="46">
        <f t="shared" si="9"/>
        <v>0</v>
      </c>
      <c r="I95" s="46">
        <f t="shared" si="10"/>
        <v>0</v>
      </c>
      <c r="J95" s="46">
        <f t="shared" si="11"/>
        <v>0</v>
      </c>
      <c r="K95" s="46">
        <f t="shared" si="12"/>
        <v>0</v>
      </c>
      <c r="L95" s="46" cm="1">
        <f t="array" ref="L95">IF(A95="",0,SUMPRODUCT((A$2:A$201&lt;&gt;"")*((F$2:F$201*I95+G$2:G$201*J95+H$2:H$201*K95)&gt;0)*((F95*I$2:I$201+G95*J$2:J$201+H95*K$2:K$201)&gt;0))-IF(F95*I95+G95*J95+H95*K95&gt;0,1,0))</f>
        <v>0</v>
      </c>
      <c r="M95" s="46" t="str" cm="1">
        <f t="array" ref="M95">IF(A95="","",SUMPRODUCT((A$2:A$201&lt;&gt;"")*(L$2:L$201&lt;L95))+SUMPRODUCT((A$2:A$201&lt;&gt;"")*(L$2:L$201=L95)*(A$2:A$201&lt;A95))+1)</f>
        <v/>
      </c>
      <c r="N95" s="46" t="str" cm="1">
        <f t="array" aca="1" ref="N95" ca="1">IF(A95="","",SUMPRODUCT(((OFFSET(F$2,0,0,COUNTA('Mii List'!A$2:A$200),1)*I95+OFFSET(G$2,0,0,COUNTA('Mii List'!A$2:A$200),1)*J95+OFFSET(H$2,0,0,COUNTA('Mii List'!A$2:A$200),1)*K95)&gt;0)*((F95*OFFSET(I$2,0,0,COUNTA('Mii List'!A$2:A$200),1)+G95*OFFSET(J$2,0,0,COUNTA('Mii List'!A$2:A$200),1)+H95*OFFSET(K$2,0,0,COUNTA('Mii List'!A$2:A$200),1))&gt;0)*(ROW(OFFSET($A$2,0,0,COUNTA('Mii List'!A$2:A$200),1))&lt;&gt;ROW())*IF(OFFSET(L$2,0,0,COUNTA('Mii List'!A$2:A$200),1)&gt;0,1/OFFSET(L$2,0,0,COUNTA('Mii List'!A$2:A$200),1),0)))</f>
        <v/>
      </c>
      <c r="O95" s="46" t="str" cm="1">
        <f t="array" aca="1" ref="O95" ca="1">IF(A95="","",IF(L95=0,0,SUMPRODUCT(((OFFSET(F$2,0,0,COUNTA('Mii List'!A$2:A$200),1)*I95+OFFSET(G$2,0,0,COUNTA('Mii List'!A$2:A$200),1)*J95+OFFSET(H$2,0,0,COUNTA('Mii List'!A$2:A$200),1)*K95)&gt;0)*((F95*OFFSET(I$2,0,0,COUNTA('Mii List'!A$2:A$200),1)+G95*OFFSET(J$2,0,0,COUNTA('Mii List'!A$2:A$200),1)+H95*OFFSET(K$2,0,0,COUNTA('Mii List'!A$2:A$200),1))&gt;0)*(ROW(OFFSET($A$2,0,0,COUNTA('Mii List'!A$2:A$200),1))&lt;&gt;ROW())*OFFSET(L$2,0,0,COUNTA('Mii List'!A$2:A$200),1))/L95))</f>
        <v/>
      </c>
      <c r="P95" s="46" t="str">
        <f t="shared" si="13"/>
        <v/>
      </c>
    </row>
    <row r="96" spans="1:16" x14ac:dyDescent="0.35">
      <c r="A96" s="46" t="str" cm="1">
        <f t="array" ref="A96">IF(ROW()-1&gt;COUNTA('Mii List'!A$2:A$200),"",INDEX('Mii List'!A$2:A$200,ROW()-1))</f>
        <v/>
      </c>
      <c r="B96" s="46" t="str">
        <f>IF(A96="","",INDEX('Mii List'!B$2:B$200,MATCH(A96,'Mii List'!A$2:A$200,0)))</f>
        <v/>
      </c>
      <c r="C96" s="46" t="str">
        <f>IF(A96="","",INDEX('Mii List'!C$2:C$200,MATCH(A96,'Mii List'!A$2:A$200,0)))</f>
        <v/>
      </c>
      <c r="D96" s="46" t="str">
        <f>IF(A96="","",INDEX('Mii List'!D$2:D$200,MATCH(A96,'Mii List'!A$2:A$200,0)))</f>
        <v/>
      </c>
      <c r="E96" s="46" t="str">
        <f>IF(A96="","",INDEX('Mii List'!E$2:E$200,MATCH(A96,'Mii List'!A$2:A$200,0)))</f>
        <v/>
      </c>
      <c r="F96" s="46">
        <f t="shared" si="7"/>
        <v>0</v>
      </c>
      <c r="G96" s="46">
        <f t="shared" si="8"/>
        <v>0</v>
      </c>
      <c r="H96" s="46">
        <f t="shared" si="9"/>
        <v>0</v>
      </c>
      <c r="I96" s="46">
        <f t="shared" si="10"/>
        <v>0</v>
      </c>
      <c r="J96" s="46">
        <f t="shared" si="11"/>
        <v>0</v>
      </c>
      <c r="K96" s="46">
        <f t="shared" si="12"/>
        <v>0</v>
      </c>
      <c r="L96" s="46" cm="1">
        <f t="array" ref="L96">IF(A96="",0,SUMPRODUCT((A$2:A$201&lt;&gt;"")*((F$2:F$201*I96+G$2:G$201*J96+H$2:H$201*K96)&gt;0)*((F96*I$2:I$201+G96*J$2:J$201+H96*K$2:K$201)&gt;0))-IF(F96*I96+G96*J96+H96*K96&gt;0,1,0))</f>
        <v>0</v>
      </c>
      <c r="M96" s="46" t="str" cm="1">
        <f t="array" ref="M96">IF(A96="","",SUMPRODUCT((A$2:A$201&lt;&gt;"")*(L$2:L$201&lt;L96))+SUMPRODUCT((A$2:A$201&lt;&gt;"")*(L$2:L$201=L96)*(A$2:A$201&lt;A96))+1)</f>
        <v/>
      </c>
      <c r="N96" s="46" t="str" cm="1">
        <f t="array" aca="1" ref="N96" ca="1">IF(A96="","",SUMPRODUCT(((OFFSET(F$2,0,0,COUNTA('Mii List'!A$2:A$200),1)*I96+OFFSET(G$2,0,0,COUNTA('Mii List'!A$2:A$200),1)*J96+OFFSET(H$2,0,0,COUNTA('Mii List'!A$2:A$200),1)*K96)&gt;0)*((F96*OFFSET(I$2,0,0,COUNTA('Mii List'!A$2:A$200),1)+G96*OFFSET(J$2,0,0,COUNTA('Mii List'!A$2:A$200),1)+H96*OFFSET(K$2,0,0,COUNTA('Mii List'!A$2:A$200),1))&gt;0)*(ROW(OFFSET($A$2,0,0,COUNTA('Mii List'!A$2:A$200),1))&lt;&gt;ROW())*IF(OFFSET(L$2,0,0,COUNTA('Mii List'!A$2:A$200),1)&gt;0,1/OFFSET(L$2,0,0,COUNTA('Mii List'!A$2:A$200),1),0)))</f>
        <v/>
      </c>
      <c r="O96" s="46" t="str" cm="1">
        <f t="array" aca="1" ref="O96" ca="1">IF(A96="","",IF(L96=0,0,SUMPRODUCT(((OFFSET(F$2,0,0,COUNTA('Mii List'!A$2:A$200),1)*I96+OFFSET(G$2,0,0,COUNTA('Mii List'!A$2:A$200),1)*J96+OFFSET(H$2,0,0,COUNTA('Mii List'!A$2:A$200),1)*K96)&gt;0)*((F96*OFFSET(I$2,0,0,COUNTA('Mii List'!A$2:A$200),1)+G96*OFFSET(J$2,0,0,COUNTA('Mii List'!A$2:A$200),1)+H96*OFFSET(K$2,0,0,COUNTA('Mii List'!A$2:A$200),1))&gt;0)*(ROW(OFFSET($A$2,0,0,COUNTA('Mii List'!A$2:A$200),1))&lt;&gt;ROW())*OFFSET(L$2,0,0,COUNTA('Mii List'!A$2:A$200),1))/L96))</f>
        <v/>
      </c>
      <c r="P96" s="46" t="str">
        <f t="shared" si="13"/>
        <v/>
      </c>
    </row>
    <row r="97" spans="1:16" x14ac:dyDescent="0.35">
      <c r="A97" s="46" t="str" cm="1">
        <f t="array" ref="A97">IF(ROW()-1&gt;COUNTA('Mii List'!A$2:A$200),"",INDEX('Mii List'!A$2:A$200,ROW()-1))</f>
        <v/>
      </c>
      <c r="B97" s="46" t="str">
        <f>IF(A97="","",INDEX('Mii List'!B$2:B$200,MATCH(A97,'Mii List'!A$2:A$200,0)))</f>
        <v/>
      </c>
      <c r="C97" s="46" t="str">
        <f>IF(A97="","",INDEX('Mii List'!C$2:C$200,MATCH(A97,'Mii List'!A$2:A$200,0)))</f>
        <v/>
      </c>
      <c r="D97" s="46" t="str">
        <f>IF(A97="","",INDEX('Mii List'!D$2:D$200,MATCH(A97,'Mii List'!A$2:A$200,0)))</f>
        <v/>
      </c>
      <c r="E97" s="46" t="str">
        <f>IF(A97="","",INDEX('Mii List'!E$2:E$200,MATCH(A97,'Mii List'!A$2:A$200,0)))</f>
        <v/>
      </c>
      <c r="F97" s="46">
        <f t="shared" si="7"/>
        <v>0</v>
      </c>
      <c r="G97" s="46">
        <f t="shared" si="8"/>
        <v>0</v>
      </c>
      <c r="H97" s="46">
        <f t="shared" si="9"/>
        <v>0</v>
      </c>
      <c r="I97" s="46">
        <f t="shared" si="10"/>
        <v>0</v>
      </c>
      <c r="J97" s="46">
        <f t="shared" si="11"/>
        <v>0</v>
      </c>
      <c r="K97" s="46">
        <f t="shared" si="12"/>
        <v>0</v>
      </c>
      <c r="L97" s="46" cm="1">
        <f t="array" ref="L97">IF(A97="",0,SUMPRODUCT((A$2:A$201&lt;&gt;"")*((F$2:F$201*I97+G$2:G$201*J97+H$2:H$201*K97)&gt;0)*((F97*I$2:I$201+G97*J$2:J$201+H97*K$2:K$201)&gt;0))-IF(F97*I97+G97*J97+H97*K97&gt;0,1,0))</f>
        <v>0</v>
      </c>
      <c r="M97" s="46" t="str" cm="1">
        <f t="array" ref="M97">IF(A97="","",SUMPRODUCT((A$2:A$201&lt;&gt;"")*(L$2:L$201&lt;L97))+SUMPRODUCT((A$2:A$201&lt;&gt;"")*(L$2:L$201=L97)*(A$2:A$201&lt;A97))+1)</f>
        <v/>
      </c>
      <c r="N97" s="46" t="str" cm="1">
        <f t="array" aca="1" ref="N97" ca="1">IF(A97="","",SUMPRODUCT(((OFFSET(F$2,0,0,COUNTA('Mii List'!A$2:A$200),1)*I97+OFFSET(G$2,0,0,COUNTA('Mii List'!A$2:A$200),1)*J97+OFFSET(H$2,0,0,COUNTA('Mii List'!A$2:A$200),1)*K97)&gt;0)*((F97*OFFSET(I$2,0,0,COUNTA('Mii List'!A$2:A$200),1)+G97*OFFSET(J$2,0,0,COUNTA('Mii List'!A$2:A$200),1)+H97*OFFSET(K$2,0,0,COUNTA('Mii List'!A$2:A$200),1))&gt;0)*(ROW(OFFSET($A$2,0,0,COUNTA('Mii List'!A$2:A$200),1))&lt;&gt;ROW())*IF(OFFSET(L$2,0,0,COUNTA('Mii List'!A$2:A$200),1)&gt;0,1/OFFSET(L$2,0,0,COUNTA('Mii List'!A$2:A$200),1),0)))</f>
        <v/>
      </c>
      <c r="O97" s="46" t="str" cm="1">
        <f t="array" aca="1" ref="O97" ca="1">IF(A97="","",IF(L97=0,0,SUMPRODUCT(((OFFSET(F$2,0,0,COUNTA('Mii List'!A$2:A$200),1)*I97+OFFSET(G$2,0,0,COUNTA('Mii List'!A$2:A$200),1)*J97+OFFSET(H$2,0,0,COUNTA('Mii List'!A$2:A$200),1)*K97)&gt;0)*((F97*OFFSET(I$2,0,0,COUNTA('Mii List'!A$2:A$200),1)+G97*OFFSET(J$2,0,0,COUNTA('Mii List'!A$2:A$200),1)+H97*OFFSET(K$2,0,0,COUNTA('Mii List'!A$2:A$200),1))&gt;0)*(ROW(OFFSET($A$2,0,0,COUNTA('Mii List'!A$2:A$200),1))&lt;&gt;ROW())*OFFSET(L$2,0,0,COUNTA('Mii List'!A$2:A$200),1))/L97))</f>
        <v/>
      </c>
      <c r="P97" s="46" t="str">
        <f t="shared" si="13"/>
        <v/>
      </c>
    </row>
    <row r="98" spans="1:16" x14ac:dyDescent="0.35">
      <c r="A98" s="46" t="str" cm="1">
        <f t="array" ref="A98">IF(ROW()-1&gt;COUNTA('Mii List'!A$2:A$200),"",INDEX('Mii List'!A$2:A$200,ROW()-1))</f>
        <v/>
      </c>
      <c r="B98" s="46" t="str">
        <f>IF(A98="","",INDEX('Mii List'!B$2:B$200,MATCH(A98,'Mii List'!A$2:A$200,0)))</f>
        <v/>
      </c>
      <c r="C98" s="46" t="str">
        <f>IF(A98="","",INDEX('Mii List'!C$2:C$200,MATCH(A98,'Mii List'!A$2:A$200,0)))</f>
        <v/>
      </c>
      <c r="D98" s="46" t="str">
        <f>IF(A98="","",INDEX('Mii List'!D$2:D$200,MATCH(A98,'Mii List'!A$2:A$200,0)))</f>
        <v/>
      </c>
      <c r="E98" s="46" t="str">
        <f>IF(A98="","",INDEX('Mii List'!E$2:E$200,MATCH(A98,'Mii List'!A$2:A$200,0)))</f>
        <v/>
      </c>
      <c r="F98" s="46">
        <f t="shared" si="7"/>
        <v>0</v>
      </c>
      <c r="G98" s="46">
        <f t="shared" si="8"/>
        <v>0</v>
      </c>
      <c r="H98" s="46">
        <f t="shared" si="9"/>
        <v>0</v>
      </c>
      <c r="I98" s="46">
        <f t="shared" si="10"/>
        <v>0</v>
      </c>
      <c r="J98" s="46">
        <f t="shared" si="11"/>
        <v>0</v>
      </c>
      <c r="K98" s="46">
        <f t="shared" si="12"/>
        <v>0</v>
      </c>
      <c r="L98" s="46" cm="1">
        <f t="array" ref="L98">IF(A98="",0,SUMPRODUCT((A$2:A$201&lt;&gt;"")*((F$2:F$201*I98+G$2:G$201*J98+H$2:H$201*K98)&gt;0)*((F98*I$2:I$201+G98*J$2:J$201+H98*K$2:K$201)&gt;0))-IF(F98*I98+G98*J98+H98*K98&gt;0,1,0))</f>
        <v>0</v>
      </c>
      <c r="M98" s="46" t="str" cm="1">
        <f t="array" ref="M98">IF(A98="","",SUMPRODUCT((A$2:A$201&lt;&gt;"")*(L$2:L$201&lt;L98))+SUMPRODUCT((A$2:A$201&lt;&gt;"")*(L$2:L$201=L98)*(A$2:A$201&lt;A98))+1)</f>
        <v/>
      </c>
      <c r="N98" s="46" t="str" cm="1">
        <f t="array" aca="1" ref="N98" ca="1">IF(A98="","",SUMPRODUCT(((OFFSET(F$2,0,0,COUNTA('Mii List'!A$2:A$200),1)*I98+OFFSET(G$2,0,0,COUNTA('Mii List'!A$2:A$200),1)*J98+OFFSET(H$2,0,0,COUNTA('Mii List'!A$2:A$200),1)*K98)&gt;0)*((F98*OFFSET(I$2,0,0,COUNTA('Mii List'!A$2:A$200),1)+G98*OFFSET(J$2,0,0,COUNTA('Mii List'!A$2:A$200),1)+H98*OFFSET(K$2,0,0,COUNTA('Mii List'!A$2:A$200),1))&gt;0)*(ROW(OFFSET($A$2,0,0,COUNTA('Mii List'!A$2:A$200),1))&lt;&gt;ROW())*IF(OFFSET(L$2,0,0,COUNTA('Mii List'!A$2:A$200),1)&gt;0,1/OFFSET(L$2,0,0,COUNTA('Mii List'!A$2:A$200),1),0)))</f>
        <v/>
      </c>
      <c r="O98" s="46" t="str" cm="1">
        <f t="array" aca="1" ref="O98" ca="1">IF(A98="","",IF(L98=0,0,SUMPRODUCT(((OFFSET(F$2,0,0,COUNTA('Mii List'!A$2:A$200),1)*I98+OFFSET(G$2,0,0,COUNTA('Mii List'!A$2:A$200),1)*J98+OFFSET(H$2,0,0,COUNTA('Mii List'!A$2:A$200),1)*K98)&gt;0)*((F98*OFFSET(I$2,0,0,COUNTA('Mii List'!A$2:A$200),1)+G98*OFFSET(J$2,0,0,COUNTA('Mii List'!A$2:A$200),1)+H98*OFFSET(K$2,0,0,COUNTA('Mii List'!A$2:A$200),1))&gt;0)*(ROW(OFFSET($A$2,0,0,COUNTA('Mii List'!A$2:A$200),1))&lt;&gt;ROW())*OFFSET(L$2,0,0,COUNTA('Mii List'!A$2:A$200),1))/L98))</f>
        <v/>
      </c>
      <c r="P98" s="46" t="str">
        <f t="shared" si="13"/>
        <v/>
      </c>
    </row>
    <row r="99" spans="1:16" x14ac:dyDescent="0.35">
      <c r="A99" s="46" t="str" cm="1">
        <f t="array" ref="A99">IF(ROW()-1&gt;COUNTA('Mii List'!A$2:A$200),"",INDEX('Mii List'!A$2:A$200,ROW()-1))</f>
        <v/>
      </c>
      <c r="B99" s="46" t="str">
        <f>IF(A99="","",INDEX('Mii List'!B$2:B$200,MATCH(A99,'Mii List'!A$2:A$200,0)))</f>
        <v/>
      </c>
      <c r="C99" s="46" t="str">
        <f>IF(A99="","",INDEX('Mii List'!C$2:C$200,MATCH(A99,'Mii List'!A$2:A$200,0)))</f>
        <v/>
      </c>
      <c r="D99" s="46" t="str">
        <f>IF(A99="","",INDEX('Mii List'!D$2:D$200,MATCH(A99,'Mii List'!A$2:A$200,0)))</f>
        <v/>
      </c>
      <c r="E99" s="46" t="str">
        <f>IF(A99="","",INDEX('Mii List'!E$2:E$200,MATCH(A99,'Mii List'!A$2:A$200,0)))</f>
        <v/>
      </c>
      <c r="F99" s="46">
        <f t="shared" si="7"/>
        <v>0</v>
      </c>
      <c r="G99" s="46">
        <f t="shared" si="8"/>
        <v>0</v>
      </c>
      <c r="H99" s="46">
        <f t="shared" si="9"/>
        <v>0</v>
      </c>
      <c r="I99" s="46">
        <f t="shared" si="10"/>
        <v>0</v>
      </c>
      <c r="J99" s="46">
        <f t="shared" si="11"/>
        <v>0</v>
      </c>
      <c r="K99" s="46">
        <f t="shared" si="12"/>
        <v>0</v>
      </c>
      <c r="L99" s="46" cm="1">
        <f t="array" ref="L99">IF(A99="",0,SUMPRODUCT((A$2:A$201&lt;&gt;"")*((F$2:F$201*I99+G$2:G$201*J99+H$2:H$201*K99)&gt;0)*((F99*I$2:I$201+G99*J$2:J$201+H99*K$2:K$201)&gt;0))-IF(F99*I99+G99*J99+H99*K99&gt;0,1,0))</f>
        <v>0</v>
      </c>
      <c r="M99" s="46" t="str" cm="1">
        <f t="array" ref="M99">IF(A99="","",SUMPRODUCT((A$2:A$201&lt;&gt;"")*(L$2:L$201&lt;L99))+SUMPRODUCT((A$2:A$201&lt;&gt;"")*(L$2:L$201=L99)*(A$2:A$201&lt;A99))+1)</f>
        <v/>
      </c>
      <c r="N99" s="46" t="str" cm="1">
        <f t="array" aca="1" ref="N99" ca="1">IF(A99="","",SUMPRODUCT(((OFFSET(F$2,0,0,COUNTA('Mii List'!A$2:A$200),1)*I99+OFFSET(G$2,0,0,COUNTA('Mii List'!A$2:A$200),1)*J99+OFFSET(H$2,0,0,COUNTA('Mii List'!A$2:A$200),1)*K99)&gt;0)*((F99*OFFSET(I$2,0,0,COUNTA('Mii List'!A$2:A$200),1)+G99*OFFSET(J$2,0,0,COUNTA('Mii List'!A$2:A$200),1)+H99*OFFSET(K$2,0,0,COUNTA('Mii List'!A$2:A$200),1))&gt;0)*(ROW(OFFSET($A$2,0,0,COUNTA('Mii List'!A$2:A$200),1))&lt;&gt;ROW())*IF(OFFSET(L$2,0,0,COUNTA('Mii List'!A$2:A$200),1)&gt;0,1/OFFSET(L$2,0,0,COUNTA('Mii List'!A$2:A$200),1),0)))</f>
        <v/>
      </c>
      <c r="O99" s="46" t="str" cm="1">
        <f t="array" aca="1" ref="O99" ca="1">IF(A99="","",IF(L99=0,0,SUMPRODUCT(((OFFSET(F$2,0,0,COUNTA('Mii List'!A$2:A$200),1)*I99+OFFSET(G$2,0,0,COUNTA('Mii List'!A$2:A$200),1)*J99+OFFSET(H$2,0,0,COUNTA('Mii List'!A$2:A$200),1)*K99)&gt;0)*((F99*OFFSET(I$2,0,0,COUNTA('Mii List'!A$2:A$200),1)+G99*OFFSET(J$2,0,0,COUNTA('Mii List'!A$2:A$200),1)+H99*OFFSET(K$2,0,0,COUNTA('Mii List'!A$2:A$200),1))&gt;0)*(ROW(OFFSET($A$2,0,0,COUNTA('Mii List'!A$2:A$200),1))&lt;&gt;ROW())*OFFSET(L$2,0,0,COUNTA('Mii List'!A$2:A$200),1))/L99))</f>
        <v/>
      </c>
      <c r="P99" s="46" t="str">
        <f t="shared" si="13"/>
        <v/>
      </c>
    </row>
    <row r="100" spans="1:16" x14ac:dyDescent="0.35">
      <c r="A100" s="46" t="str" cm="1">
        <f t="array" ref="A100">IF(ROW()-1&gt;COUNTA('Mii List'!A$2:A$200),"",INDEX('Mii List'!A$2:A$200,ROW()-1))</f>
        <v/>
      </c>
      <c r="B100" s="46" t="str">
        <f>IF(A100="","",INDEX('Mii List'!B$2:B$200,MATCH(A100,'Mii List'!A$2:A$200,0)))</f>
        <v/>
      </c>
      <c r="C100" s="46" t="str">
        <f>IF(A100="","",INDEX('Mii List'!C$2:C$200,MATCH(A100,'Mii List'!A$2:A$200,0)))</f>
        <v/>
      </c>
      <c r="D100" s="46" t="str">
        <f>IF(A100="","",INDEX('Mii List'!D$2:D$200,MATCH(A100,'Mii List'!A$2:A$200,0)))</f>
        <v/>
      </c>
      <c r="E100" s="46" t="str">
        <f>IF(A100="","",INDEX('Mii List'!E$2:E$200,MATCH(A100,'Mii List'!A$2:A$200,0)))</f>
        <v/>
      </c>
      <c r="F100" s="46">
        <f t="shared" si="7"/>
        <v>0</v>
      </c>
      <c r="G100" s="46">
        <f t="shared" si="8"/>
        <v>0</v>
      </c>
      <c r="H100" s="46">
        <f t="shared" si="9"/>
        <v>0</v>
      </c>
      <c r="I100" s="46">
        <f t="shared" si="10"/>
        <v>0</v>
      </c>
      <c r="J100" s="46">
        <f t="shared" si="11"/>
        <v>0</v>
      </c>
      <c r="K100" s="46">
        <f t="shared" si="12"/>
        <v>0</v>
      </c>
      <c r="L100" s="46" cm="1">
        <f t="array" ref="L100">IF(A100="",0,SUMPRODUCT((A$2:A$201&lt;&gt;"")*((F$2:F$201*I100+G$2:G$201*J100+H$2:H$201*K100)&gt;0)*((F100*I$2:I$201+G100*J$2:J$201+H100*K$2:K$201)&gt;0))-IF(F100*I100+G100*J100+H100*K100&gt;0,1,0))</f>
        <v>0</v>
      </c>
      <c r="M100" s="46" t="str" cm="1">
        <f t="array" ref="M100">IF(A100="","",SUMPRODUCT((A$2:A$201&lt;&gt;"")*(L$2:L$201&lt;L100))+SUMPRODUCT((A$2:A$201&lt;&gt;"")*(L$2:L$201=L100)*(A$2:A$201&lt;A100))+1)</f>
        <v/>
      </c>
      <c r="N100" s="46" t="str" cm="1">
        <f t="array" aca="1" ref="N100" ca="1">IF(A100="","",SUMPRODUCT(((OFFSET(F$2,0,0,COUNTA('Mii List'!A$2:A$200),1)*I100+OFFSET(G$2,0,0,COUNTA('Mii List'!A$2:A$200),1)*J100+OFFSET(H$2,0,0,COUNTA('Mii List'!A$2:A$200),1)*K100)&gt;0)*((F100*OFFSET(I$2,0,0,COUNTA('Mii List'!A$2:A$200),1)+G100*OFFSET(J$2,0,0,COUNTA('Mii List'!A$2:A$200),1)+H100*OFFSET(K$2,0,0,COUNTA('Mii List'!A$2:A$200),1))&gt;0)*(ROW(OFFSET($A$2,0,0,COUNTA('Mii List'!A$2:A$200),1))&lt;&gt;ROW())*IF(OFFSET(L$2,0,0,COUNTA('Mii List'!A$2:A$200),1)&gt;0,1/OFFSET(L$2,0,0,COUNTA('Mii List'!A$2:A$200),1),0)))</f>
        <v/>
      </c>
      <c r="O100" s="46" t="str" cm="1">
        <f t="array" aca="1" ref="O100" ca="1">IF(A100="","",IF(L100=0,0,SUMPRODUCT(((OFFSET(F$2,0,0,COUNTA('Mii List'!A$2:A$200),1)*I100+OFFSET(G$2,0,0,COUNTA('Mii List'!A$2:A$200),1)*J100+OFFSET(H$2,0,0,COUNTA('Mii List'!A$2:A$200),1)*K100)&gt;0)*((F100*OFFSET(I$2,0,0,COUNTA('Mii List'!A$2:A$200),1)+G100*OFFSET(J$2,0,0,COUNTA('Mii List'!A$2:A$200),1)+H100*OFFSET(K$2,0,0,COUNTA('Mii List'!A$2:A$200),1))&gt;0)*(ROW(OFFSET($A$2,0,0,COUNTA('Mii List'!A$2:A$200),1))&lt;&gt;ROW())*OFFSET(L$2,0,0,COUNTA('Mii List'!A$2:A$200),1))/L100))</f>
        <v/>
      </c>
      <c r="P100" s="46" t="str">
        <f t="shared" si="13"/>
        <v/>
      </c>
    </row>
    <row r="101" spans="1:16" x14ac:dyDescent="0.35">
      <c r="A101" s="46" t="str" cm="1">
        <f t="array" ref="A101">IF(ROW()-1&gt;COUNTA('Mii List'!A$2:A$200),"",INDEX('Mii List'!A$2:A$200,ROW()-1))</f>
        <v/>
      </c>
      <c r="B101" s="46" t="str">
        <f>IF(A101="","",INDEX('Mii List'!B$2:B$200,MATCH(A101,'Mii List'!A$2:A$200,0)))</f>
        <v/>
      </c>
      <c r="C101" s="46" t="str">
        <f>IF(A101="","",INDEX('Mii List'!C$2:C$200,MATCH(A101,'Mii List'!A$2:A$200,0)))</f>
        <v/>
      </c>
      <c r="D101" s="46" t="str">
        <f>IF(A101="","",INDEX('Mii List'!D$2:D$200,MATCH(A101,'Mii List'!A$2:A$200,0)))</f>
        <v/>
      </c>
      <c r="E101" s="46" t="str">
        <f>IF(A101="","",INDEX('Mii List'!E$2:E$200,MATCH(A101,'Mii List'!A$2:A$200,0)))</f>
        <v/>
      </c>
      <c r="F101" s="46">
        <f t="shared" si="7"/>
        <v>0</v>
      </c>
      <c r="G101" s="46">
        <f t="shared" si="8"/>
        <v>0</v>
      </c>
      <c r="H101" s="46">
        <f t="shared" si="9"/>
        <v>0</v>
      </c>
      <c r="I101" s="46">
        <f t="shared" si="10"/>
        <v>0</v>
      </c>
      <c r="J101" s="46">
        <f t="shared" si="11"/>
        <v>0</v>
      </c>
      <c r="K101" s="46">
        <f t="shared" si="12"/>
        <v>0</v>
      </c>
      <c r="L101" s="46" cm="1">
        <f t="array" ref="L101">IF(A101="",0,SUMPRODUCT((A$2:A$201&lt;&gt;"")*((F$2:F$201*I101+G$2:G$201*J101+H$2:H$201*K101)&gt;0)*((F101*I$2:I$201+G101*J$2:J$201+H101*K$2:K$201)&gt;0))-IF(F101*I101+G101*J101+H101*K101&gt;0,1,0))</f>
        <v>0</v>
      </c>
      <c r="M101" s="46" t="str" cm="1">
        <f t="array" ref="M101">IF(A101="","",SUMPRODUCT((A$2:A$201&lt;&gt;"")*(L$2:L$201&lt;L101))+SUMPRODUCT((A$2:A$201&lt;&gt;"")*(L$2:L$201=L101)*(A$2:A$201&lt;A101))+1)</f>
        <v/>
      </c>
      <c r="N101" s="46" t="str" cm="1">
        <f t="array" aca="1" ref="N101" ca="1">IF(A101="","",SUMPRODUCT(((OFFSET(F$2,0,0,COUNTA('Mii List'!A$2:A$200),1)*I101+OFFSET(G$2,0,0,COUNTA('Mii List'!A$2:A$200),1)*J101+OFFSET(H$2,0,0,COUNTA('Mii List'!A$2:A$200),1)*K101)&gt;0)*((F101*OFFSET(I$2,0,0,COUNTA('Mii List'!A$2:A$200),1)+G101*OFFSET(J$2,0,0,COUNTA('Mii List'!A$2:A$200),1)+H101*OFFSET(K$2,0,0,COUNTA('Mii List'!A$2:A$200),1))&gt;0)*(ROW(OFFSET($A$2,0,0,COUNTA('Mii List'!A$2:A$200),1))&lt;&gt;ROW())*IF(OFFSET(L$2,0,0,COUNTA('Mii List'!A$2:A$200),1)&gt;0,1/OFFSET(L$2,0,0,COUNTA('Mii List'!A$2:A$200),1),0)))</f>
        <v/>
      </c>
      <c r="O101" s="46" t="str" cm="1">
        <f t="array" aca="1" ref="O101" ca="1">IF(A101="","",IF(L101=0,0,SUMPRODUCT(((OFFSET(F$2,0,0,COUNTA('Mii List'!A$2:A$200),1)*I101+OFFSET(G$2,0,0,COUNTA('Mii List'!A$2:A$200),1)*J101+OFFSET(H$2,0,0,COUNTA('Mii List'!A$2:A$200),1)*K101)&gt;0)*((F101*OFFSET(I$2,0,0,COUNTA('Mii List'!A$2:A$200),1)+G101*OFFSET(J$2,0,0,COUNTA('Mii List'!A$2:A$200),1)+H101*OFFSET(K$2,0,0,COUNTA('Mii List'!A$2:A$200),1))&gt;0)*(ROW(OFFSET($A$2,0,0,COUNTA('Mii List'!A$2:A$200),1))&lt;&gt;ROW())*OFFSET(L$2,0,0,COUNTA('Mii List'!A$2:A$200),1))/L101))</f>
        <v/>
      </c>
      <c r="P101" s="46" t="str">
        <f t="shared" si="13"/>
        <v/>
      </c>
    </row>
    <row r="102" spans="1:16" x14ac:dyDescent="0.35">
      <c r="A102" s="46" t="str" cm="1">
        <f t="array" ref="A102">IF(ROW()-1&gt;COUNTA('Mii List'!A$2:A$200),"",INDEX('Mii List'!A$2:A$200,ROW()-1))</f>
        <v/>
      </c>
      <c r="B102" s="46" t="str">
        <f>IF(A102="","",INDEX('Mii List'!B$2:B$200,MATCH(A102,'Mii List'!A$2:A$200,0)))</f>
        <v/>
      </c>
      <c r="C102" s="46" t="str">
        <f>IF(A102="","",INDEX('Mii List'!C$2:C$200,MATCH(A102,'Mii List'!A$2:A$200,0)))</f>
        <v/>
      </c>
      <c r="D102" s="46" t="str">
        <f>IF(A102="","",INDEX('Mii List'!D$2:D$200,MATCH(A102,'Mii List'!A$2:A$200,0)))</f>
        <v/>
      </c>
      <c r="E102" s="46" t="str">
        <f>IF(A102="","",INDEX('Mii List'!E$2:E$200,MATCH(A102,'Mii List'!A$2:A$200,0)))</f>
        <v/>
      </c>
      <c r="F102" s="46">
        <f t="shared" si="7"/>
        <v>0</v>
      </c>
      <c r="G102" s="46">
        <f t="shared" si="8"/>
        <v>0</v>
      </c>
      <c r="H102" s="46">
        <f t="shared" si="9"/>
        <v>0</v>
      </c>
      <c r="I102" s="46">
        <f t="shared" si="10"/>
        <v>0</v>
      </c>
      <c r="J102" s="46">
        <f t="shared" si="11"/>
        <v>0</v>
      </c>
      <c r="K102" s="46">
        <f t="shared" si="12"/>
        <v>0</v>
      </c>
      <c r="L102" s="46" cm="1">
        <f t="array" ref="L102">IF(A102="",0,SUMPRODUCT((A$2:A$201&lt;&gt;"")*((F$2:F$201*I102+G$2:G$201*J102+H$2:H$201*K102)&gt;0)*((F102*I$2:I$201+G102*J$2:J$201+H102*K$2:K$201)&gt;0))-IF(F102*I102+G102*J102+H102*K102&gt;0,1,0))</f>
        <v>0</v>
      </c>
      <c r="M102" s="46" t="str" cm="1">
        <f t="array" ref="M102">IF(A102="","",SUMPRODUCT((A$2:A$201&lt;&gt;"")*(L$2:L$201&lt;L102))+SUMPRODUCT((A$2:A$201&lt;&gt;"")*(L$2:L$201=L102)*(A$2:A$201&lt;A102))+1)</f>
        <v/>
      </c>
      <c r="N102" s="46" t="str" cm="1">
        <f t="array" aca="1" ref="N102" ca="1">IF(A102="","",SUMPRODUCT(((OFFSET(F$2,0,0,COUNTA('Mii List'!A$2:A$200),1)*I102+OFFSET(G$2,0,0,COUNTA('Mii List'!A$2:A$200),1)*J102+OFFSET(H$2,0,0,COUNTA('Mii List'!A$2:A$200),1)*K102)&gt;0)*((F102*OFFSET(I$2,0,0,COUNTA('Mii List'!A$2:A$200),1)+G102*OFFSET(J$2,0,0,COUNTA('Mii List'!A$2:A$200),1)+H102*OFFSET(K$2,0,0,COUNTA('Mii List'!A$2:A$200),1))&gt;0)*(ROW(OFFSET($A$2,0,0,COUNTA('Mii List'!A$2:A$200),1))&lt;&gt;ROW())*IF(OFFSET(L$2,0,0,COUNTA('Mii List'!A$2:A$200),1)&gt;0,1/OFFSET(L$2,0,0,COUNTA('Mii List'!A$2:A$200),1),0)))</f>
        <v/>
      </c>
      <c r="O102" s="46" t="str" cm="1">
        <f t="array" aca="1" ref="O102" ca="1">IF(A102="","",IF(L102=0,0,SUMPRODUCT(((OFFSET(F$2,0,0,COUNTA('Mii List'!A$2:A$200),1)*I102+OFFSET(G$2,0,0,COUNTA('Mii List'!A$2:A$200),1)*J102+OFFSET(H$2,0,0,COUNTA('Mii List'!A$2:A$200),1)*K102)&gt;0)*((F102*OFFSET(I$2,0,0,COUNTA('Mii List'!A$2:A$200),1)+G102*OFFSET(J$2,0,0,COUNTA('Mii List'!A$2:A$200),1)+H102*OFFSET(K$2,0,0,COUNTA('Mii List'!A$2:A$200),1))&gt;0)*(ROW(OFFSET($A$2,0,0,COUNTA('Mii List'!A$2:A$200),1))&lt;&gt;ROW())*OFFSET(L$2,0,0,COUNTA('Mii List'!A$2:A$200),1))/L102))</f>
        <v/>
      </c>
      <c r="P102" s="46" t="str">
        <f t="shared" si="13"/>
        <v/>
      </c>
    </row>
    <row r="103" spans="1:16" x14ac:dyDescent="0.35">
      <c r="A103" s="46" t="str" cm="1">
        <f t="array" ref="A103">IF(ROW()-1&gt;COUNTA('Mii List'!A$2:A$200),"",INDEX('Mii List'!A$2:A$200,ROW()-1))</f>
        <v/>
      </c>
      <c r="B103" s="46" t="str">
        <f>IF(A103="","",INDEX('Mii List'!B$2:B$200,MATCH(A103,'Mii List'!A$2:A$200,0)))</f>
        <v/>
      </c>
      <c r="C103" s="46" t="str">
        <f>IF(A103="","",INDEX('Mii List'!C$2:C$200,MATCH(A103,'Mii List'!A$2:A$200,0)))</f>
        <v/>
      </c>
      <c r="D103" s="46" t="str">
        <f>IF(A103="","",INDEX('Mii List'!D$2:D$200,MATCH(A103,'Mii List'!A$2:A$200,0)))</f>
        <v/>
      </c>
      <c r="E103" s="46" t="str">
        <f>IF(A103="","",INDEX('Mii List'!E$2:E$200,MATCH(A103,'Mii List'!A$2:A$200,0)))</f>
        <v/>
      </c>
      <c r="F103" s="46">
        <f t="shared" si="7"/>
        <v>0</v>
      </c>
      <c r="G103" s="46">
        <f t="shared" si="8"/>
        <v>0</v>
      </c>
      <c r="H103" s="46">
        <f t="shared" si="9"/>
        <v>0</v>
      </c>
      <c r="I103" s="46">
        <f t="shared" si="10"/>
        <v>0</v>
      </c>
      <c r="J103" s="46">
        <f t="shared" si="11"/>
        <v>0</v>
      </c>
      <c r="K103" s="46">
        <f t="shared" si="12"/>
        <v>0</v>
      </c>
      <c r="L103" s="46" cm="1">
        <f t="array" ref="L103">IF(A103="",0,SUMPRODUCT((A$2:A$201&lt;&gt;"")*((F$2:F$201*I103+G$2:G$201*J103+H$2:H$201*K103)&gt;0)*((F103*I$2:I$201+G103*J$2:J$201+H103*K$2:K$201)&gt;0))-IF(F103*I103+G103*J103+H103*K103&gt;0,1,0))</f>
        <v>0</v>
      </c>
      <c r="M103" s="46" t="str" cm="1">
        <f t="array" ref="M103">IF(A103="","",SUMPRODUCT((A$2:A$201&lt;&gt;"")*(L$2:L$201&lt;L103))+SUMPRODUCT((A$2:A$201&lt;&gt;"")*(L$2:L$201=L103)*(A$2:A$201&lt;A103))+1)</f>
        <v/>
      </c>
      <c r="N103" s="46" t="str" cm="1">
        <f t="array" aca="1" ref="N103" ca="1">IF(A103="","",SUMPRODUCT(((OFFSET(F$2,0,0,COUNTA('Mii List'!A$2:A$200),1)*I103+OFFSET(G$2,0,0,COUNTA('Mii List'!A$2:A$200),1)*J103+OFFSET(H$2,0,0,COUNTA('Mii List'!A$2:A$200),1)*K103)&gt;0)*((F103*OFFSET(I$2,0,0,COUNTA('Mii List'!A$2:A$200),1)+G103*OFFSET(J$2,0,0,COUNTA('Mii List'!A$2:A$200),1)+H103*OFFSET(K$2,0,0,COUNTA('Mii List'!A$2:A$200),1))&gt;0)*(ROW(OFFSET($A$2,0,0,COUNTA('Mii List'!A$2:A$200),1))&lt;&gt;ROW())*IF(OFFSET(L$2,0,0,COUNTA('Mii List'!A$2:A$200),1)&gt;0,1/OFFSET(L$2,0,0,COUNTA('Mii List'!A$2:A$200),1),0)))</f>
        <v/>
      </c>
      <c r="O103" s="46" t="str" cm="1">
        <f t="array" aca="1" ref="O103" ca="1">IF(A103="","",IF(L103=0,0,SUMPRODUCT(((OFFSET(F$2,0,0,COUNTA('Mii List'!A$2:A$200),1)*I103+OFFSET(G$2,0,0,COUNTA('Mii List'!A$2:A$200),1)*J103+OFFSET(H$2,0,0,COUNTA('Mii List'!A$2:A$200),1)*K103)&gt;0)*((F103*OFFSET(I$2,0,0,COUNTA('Mii List'!A$2:A$200),1)+G103*OFFSET(J$2,0,0,COUNTA('Mii List'!A$2:A$200),1)+H103*OFFSET(K$2,0,0,COUNTA('Mii List'!A$2:A$200),1))&gt;0)*(ROW(OFFSET($A$2,0,0,COUNTA('Mii List'!A$2:A$200),1))&lt;&gt;ROW())*OFFSET(L$2,0,0,COUNTA('Mii List'!A$2:A$200),1))/L103))</f>
        <v/>
      </c>
      <c r="P103" s="46" t="str">
        <f t="shared" si="13"/>
        <v/>
      </c>
    </row>
    <row r="104" spans="1:16" x14ac:dyDescent="0.35">
      <c r="A104" s="46" t="str" cm="1">
        <f t="array" ref="A104">IF(ROW()-1&gt;COUNTA('Mii List'!A$2:A$200),"",INDEX('Mii List'!A$2:A$200,ROW()-1))</f>
        <v/>
      </c>
      <c r="B104" s="46" t="str">
        <f>IF(A104="","",INDEX('Mii List'!B$2:B$200,MATCH(A104,'Mii List'!A$2:A$200,0)))</f>
        <v/>
      </c>
      <c r="C104" s="46" t="str">
        <f>IF(A104="","",INDEX('Mii List'!C$2:C$200,MATCH(A104,'Mii List'!A$2:A$200,0)))</f>
        <v/>
      </c>
      <c r="D104" s="46" t="str">
        <f>IF(A104="","",INDEX('Mii List'!D$2:D$200,MATCH(A104,'Mii List'!A$2:A$200,0)))</f>
        <v/>
      </c>
      <c r="E104" s="46" t="str">
        <f>IF(A104="","",INDEX('Mii List'!E$2:E$200,MATCH(A104,'Mii List'!A$2:A$200,0)))</f>
        <v/>
      </c>
      <c r="F104" s="46">
        <f t="shared" si="7"/>
        <v>0</v>
      </c>
      <c r="G104" s="46">
        <f t="shared" si="8"/>
        <v>0</v>
      </c>
      <c r="H104" s="46">
        <f t="shared" si="9"/>
        <v>0</v>
      </c>
      <c r="I104" s="46">
        <f t="shared" si="10"/>
        <v>0</v>
      </c>
      <c r="J104" s="46">
        <f t="shared" si="11"/>
        <v>0</v>
      </c>
      <c r="K104" s="46">
        <f t="shared" si="12"/>
        <v>0</v>
      </c>
      <c r="L104" s="46" cm="1">
        <f t="array" ref="L104">IF(A104="",0,SUMPRODUCT((A$2:A$201&lt;&gt;"")*((F$2:F$201*I104+G$2:G$201*J104+H$2:H$201*K104)&gt;0)*((F104*I$2:I$201+G104*J$2:J$201+H104*K$2:K$201)&gt;0))-IF(F104*I104+G104*J104+H104*K104&gt;0,1,0))</f>
        <v>0</v>
      </c>
      <c r="M104" s="46" t="str" cm="1">
        <f t="array" ref="M104">IF(A104="","",SUMPRODUCT((A$2:A$201&lt;&gt;"")*(L$2:L$201&lt;L104))+SUMPRODUCT((A$2:A$201&lt;&gt;"")*(L$2:L$201=L104)*(A$2:A$201&lt;A104))+1)</f>
        <v/>
      </c>
      <c r="N104" s="46" t="str" cm="1">
        <f t="array" aca="1" ref="N104" ca="1">IF(A104="","",SUMPRODUCT(((OFFSET(F$2,0,0,COUNTA('Mii List'!A$2:A$200),1)*I104+OFFSET(G$2,0,0,COUNTA('Mii List'!A$2:A$200),1)*J104+OFFSET(H$2,0,0,COUNTA('Mii List'!A$2:A$200),1)*K104)&gt;0)*((F104*OFFSET(I$2,0,0,COUNTA('Mii List'!A$2:A$200),1)+G104*OFFSET(J$2,0,0,COUNTA('Mii List'!A$2:A$200),1)+H104*OFFSET(K$2,0,0,COUNTA('Mii List'!A$2:A$200),1))&gt;0)*(ROW(OFFSET($A$2,0,0,COUNTA('Mii List'!A$2:A$200),1))&lt;&gt;ROW())*IF(OFFSET(L$2,0,0,COUNTA('Mii List'!A$2:A$200),1)&gt;0,1/OFFSET(L$2,0,0,COUNTA('Mii List'!A$2:A$200),1),0)))</f>
        <v/>
      </c>
      <c r="O104" s="46" t="str" cm="1">
        <f t="array" aca="1" ref="O104" ca="1">IF(A104="","",IF(L104=0,0,SUMPRODUCT(((OFFSET(F$2,0,0,COUNTA('Mii List'!A$2:A$200),1)*I104+OFFSET(G$2,0,0,COUNTA('Mii List'!A$2:A$200),1)*J104+OFFSET(H$2,0,0,COUNTA('Mii List'!A$2:A$200),1)*K104)&gt;0)*((F104*OFFSET(I$2,0,0,COUNTA('Mii List'!A$2:A$200),1)+G104*OFFSET(J$2,0,0,COUNTA('Mii List'!A$2:A$200),1)+H104*OFFSET(K$2,0,0,COUNTA('Mii List'!A$2:A$200),1))&gt;0)*(ROW(OFFSET($A$2,0,0,COUNTA('Mii List'!A$2:A$200),1))&lt;&gt;ROW())*OFFSET(L$2,0,0,COUNTA('Mii List'!A$2:A$200),1))/L104))</f>
        <v/>
      </c>
      <c r="P104" s="46" t="str">
        <f t="shared" si="13"/>
        <v/>
      </c>
    </row>
    <row r="105" spans="1:16" x14ac:dyDescent="0.35">
      <c r="A105" s="46" t="str" cm="1">
        <f t="array" ref="A105">IF(ROW()-1&gt;COUNTA('Mii List'!A$2:A$200),"",INDEX('Mii List'!A$2:A$200,ROW()-1))</f>
        <v/>
      </c>
      <c r="B105" s="46" t="str">
        <f>IF(A105="","",INDEX('Mii List'!B$2:B$200,MATCH(A105,'Mii List'!A$2:A$200,0)))</f>
        <v/>
      </c>
      <c r="C105" s="46" t="str">
        <f>IF(A105="","",INDEX('Mii List'!C$2:C$200,MATCH(A105,'Mii List'!A$2:A$200,0)))</f>
        <v/>
      </c>
      <c r="D105" s="46" t="str">
        <f>IF(A105="","",INDEX('Mii List'!D$2:D$200,MATCH(A105,'Mii List'!A$2:A$200,0)))</f>
        <v/>
      </c>
      <c r="E105" s="46" t="str">
        <f>IF(A105="","",INDEX('Mii List'!E$2:E$200,MATCH(A105,'Mii List'!A$2:A$200,0)))</f>
        <v/>
      </c>
      <c r="F105" s="46">
        <f t="shared" si="7"/>
        <v>0</v>
      </c>
      <c r="G105" s="46">
        <f t="shared" si="8"/>
        <v>0</v>
      </c>
      <c r="H105" s="46">
        <f t="shared" si="9"/>
        <v>0</v>
      </c>
      <c r="I105" s="46">
        <f t="shared" si="10"/>
        <v>0</v>
      </c>
      <c r="J105" s="46">
        <f t="shared" si="11"/>
        <v>0</v>
      </c>
      <c r="K105" s="46">
        <f t="shared" si="12"/>
        <v>0</v>
      </c>
      <c r="L105" s="46" cm="1">
        <f t="array" ref="L105">IF(A105="",0,SUMPRODUCT((A$2:A$201&lt;&gt;"")*((F$2:F$201*I105+G$2:G$201*J105+H$2:H$201*K105)&gt;0)*((F105*I$2:I$201+G105*J$2:J$201+H105*K$2:K$201)&gt;0))-IF(F105*I105+G105*J105+H105*K105&gt;0,1,0))</f>
        <v>0</v>
      </c>
      <c r="M105" s="46" t="str" cm="1">
        <f t="array" ref="M105">IF(A105="","",SUMPRODUCT((A$2:A$201&lt;&gt;"")*(L$2:L$201&lt;L105))+SUMPRODUCT((A$2:A$201&lt;&gt;"")*(L$2:L$201=L105)*(A$2:A$201&lt;A105))+1)</f>
        <v/>
      </c>
      <c r="N105" s="46" t="str" cm="1">
        <f t="array" aca="1" ref="N105" ca="1">IF(A105="","",SUMPRODUCT(((OFFSET(F$2,0,0,COUNTA('Mii List'!A$2:A$200),1)*I105+OFFSET(G$2,0,0,COUNTA('Mii List'!A$2:A$200),1)*J105+OFFSET(H$2,0,0,COUNTA('Mii List'!A$2:A$200),1)*K105)&gt;0)*((F105*OFFSET(I$2,0,0,COUNTA('Mii List'!A$2:A$200),1)+G105*OFFSET(J$2,0,0,COUNTA('Mii List'!A$2:A$200),1)+H105*OFFSET(K$2,0,0,COUNTA('Mii List'!A$2:A$200),1))&gt;0)*(ROW(OFFSET($A$2,0,0,COUNTA('Mii List'!A$2:A$200),1))&lt;&gt;ROW())*IF(OFFSET(L$2,0,0,COUNTA('Mii List'!A$2:A$200),1)&gt;0,1/OFFSET(L$2,0,0,COUNTA('Mii List'!A$2:A$200),1),0)))</f>
        <v/>
      </c>
      <c r="O105" s="46" t="str" cm="1">
        <f t="array" aca="1" ref="O105" ca="1">IF(A105="","",IF(L105=0,0,SUMPRODUCT(((OFFSET(F$2,0,0,COUNTA('Mii List'!A$2:A$200),1)*I105+OFFSET(G$2,0,0,COUNTA('Mii List'!A$2:A$200),1)*J105+OFFSET(H$2,0,0,COUNTA('Mii List'!A$2:A$200),1)*K105)&gt;0)*((F105*OFFSET(I$2,0,0,COUNTA('Mii List'!A$2:A$200),1)+G105*OFFSET(J$2,0,0,COUNTA('Mii List'!A$2:A$200),1)+H105*OFFSET(K$2,0,0,COUNTA('Mii List'!A$2:A$200),1))&gt;0)*(ROW(OFFSET($A$2,0,0,COUNTA('Mii List'!A$2:A$200),1))&lt;&gt;ROW())*OFFSET(L$2,0,0,COUNTA('Mii List'!A$2:A$200),1))/L105))</f>
        <v/>
      </c>
      <c r="P105" s="46" t="str">
        <f t="shared" si="13"/>
        <v/>
      </c>
    </row>
    <row r="106" spans="1:16" x14ac:dyDescent="0.35">
      <c r="A106" s="46" t="str" cm="1">
        <f t="array" ref="A106">IF(ROW()-1&gt;COUNTA('Mii List'!A$2:A$200),"",INDEX('Mii List'!A$2:A$200,ROW()-1))</f>
        <v/>
      </c>
      <c r="B106" s="46" t="str">
        <f>IF(A106="","",INDEX('Mii List'!B$2:B$200,MATCH(A106,'Mii List'!A$2:A$200,0)))</f>
        <v/>
      </c>
      <c r="C106" s="46" t="str">
        <f>IF(A106="","",INDEX('Mii List'!C$2:C$200,MATCH(A106,'Mii List'!A$2:A$200,0)))</f>
        <v/>
      </c>
      <c r="D106" s="46" t="str">
        <f>IF(A106="","",INDEX('Mii List'!D$2:D$200,MATCH(A106,'Mii List'!A$2:A$200,0)))</f>
        <v/>
      </c>
      <c r="E106" s="46" t="str">
        <f>IF(A106="","",INDEX('Mii List'!E$2:E$200,MATCH(A106,'Mii List'!A$2:A$200,0)))</f>
        <v/>
      </c>
      <c r="F106" s="46">
        <f t="shared" si="7"/>
        <v>0</v>
      </c>
      <c r="G106" s="46">
        <f t="shared" si="8"/>
        <v>0</v>
      </c>
      <c r="H106" s="46">
        <f t="shared" si="9"/>
        <v>0</v>
      </c>
      <c r="I106" s="46">
        <f t="shared" si="10"/>
        <v>0</v>
      </c>
      <c r="J106" s="46">
        <f t="shared" si="11"/>
        <v>0</v>
      </c>
      <c r="K106" s="46">
        <f t="shared" si="12"/>
        <v>0</v>
      </c>
      <c r="L106" s="46" cm="1">
        <f t="array" ref="L106">IF(A106="",0,SUMPRODUCT((A$2:A$201&lt;&gt;"")*((F$2:F$201*I106+G$2:G$201*J106+H$2:H$201*K106)&gt;0)*((F106*I$2:I$201+G106*J$2:J$201+H106*K$2:K$201)&gt;0))-IF(F106*I106+G106*J106+H106*K106&gt;0,1,0))</f>
        <v>0</v>
      </c>
      <c r="M106" s="46" t="str" cm="1">
        <f t="array" ref="M106">IF(A106="","",SUMPRODUCT((A$2:A$201&lt;&gt;"")*(L$2:L$201&lt;L106))+SUMPRODUCT((A$2:A$201&lt;&gt;"")*(L$2:L$201=L106)*(A$2:A$201&lt;A106))+1)</f>
        <v/>
      </c>
      <c r="N106" s="46" t="str" cm="1">
        <f t="array" aca="1" ref="N106" ca="1">IF(A106="","",SUMPRODUCT(((OFFSET(F$2,0,0,COUNTA('Mii List'!A$2:A$200),1)*I106+OFFSET(G$2,0,0,COUNTA('Mii List'!A$2:A$200),1)*J106+OFFSET(H$2,0,0,COUNTA('Mii List'!A$2:A$200),1)*K106)&gt;0)*((F106*OFFSET(I$2,0,0,COUNTA('Mii List'!A$2:A$200),1)+G106*OFFSET(J$2,0,0,COUNTA('Mii List'!A$2:A$200),1)+H106*OFFSET(K$2,0,0,COUNTA('Mii List'!A$2:A$200),1))&gt;0)*(ROW(OFFSET($A$2,0,0,COUNTA('Mii List'!A$2:A$200),1))&lt;&gt;ROW())*IF(OFFSET(L$2,0,0,COUNTA('Mii List'!A$2:A$200),1)&gt;0,1/OFFSET(L$2,0,0,COUNTA('Mii List'!A$2:A$200),1),0)))</f>
        <v/>
      </c>
      <c r="O106" s="46" t="str" cm="1">
        <f t="array" aca="1" ref="O106" ca="1">IF(A106="","",IF(L106=0,0,SUMPRODUCT(((OFFSET(F$2,0,0,COUNTA('Mii List'!A$2:A$200),1)*I106+OFFSET(G$2,0,0,COUNTA('Mii List'!A$2:A$200),1)*J106+OFFSET(H$2,0,0,COUNTA('Mii List'!A$2:A$200),1)*K106)&gt;0)*((F106*OFFSET(I$2,0,0,COUNTA('Mii List'!A$2:A$200),1)+G106*OFFSET(J$2,0,0,COUNTA('Mii List'!A$2:A$200),1)+H106*OFFSET(K$2,0,0,COUNTA('Mii List'!A$2:A$200),1))&gt;0)*(ROW(OFFSET($A$2,0,0,COUNTA('Mii List'!A$2:A$200),1))&lt;&gt;ROW())*OFFSET(L$2,0,0,COUNTA('Mii List'!A$2:A$200),1))/L106))</f>
        <v/>
      </c>
      <c r="P106" s="46" t="str">
        <f t="shared" si="13"/>
        <v/>
      </c>
    </row>
    <row r="107" spans="1:16" x14ac:dyDescent="0.35">
      <c r="A107" s="46" t="str" cm="1">
        <f t="array" ref="A107">IF(ROW()-1&gt;COUNTA('Mii List'!A$2:A$200),"",INDEX('Mii List'!A$2:A$200,ROW()-1))</f>
        <v/>
      </c>
      <c r="B107" s="46" t="str">
        <f>IF(A107="","",INDEX('Mii List'!B$2:B$200,MATCH(A107,'Mii List'!A$2:A$200,0)))</f>
        <v/>
      </c>
      <c r="C107" s="46" t="str">
        <f>IF(A107="","",INDEX('Mii List'!C$2:C$200,MATCH(A107,'Mii List'!A$2:A$200,0)))</f>
        <v/>
      </c>
      <c r="D107" s="46" t="str">
        <f>IF(A107="","",INDEX('Mii List'!D$2:D$200,MATCH(A107,'Mii List'!A$2:A$200,0)))</f>
        <v/>
      </c>
      <c r="E107" s="46" t="str">
        <f>IF(A107="","",INDEX('Mii List'!E$2:E$200,MATCH(A107,'Mii List'!A$2:A$200,0)))</f>
        <v/>
      </c>
      <c r="F107" s="46">
        <f t="shared" si="7"/>
        <v>0</v>
      </c>
      <c r="G107" s="46">
        <f t="shared" si="8"/>
        <v>0</v>
      </c>
      <c r="H107" s="46">
        <f t="shared" si="9"/>
        <v>0</v>
      </c>
      <c r="I107" s="46">
        <f t="shared" si="10"/>
        <v>0</v>
      </c>
      <c r="J107" s="46">
        <f t="shared" si="11"/>
        <v>0</v>
      </c>
      <c r="K107" s="46">
        <f t="shared" si="12"/>
        <v>0</v>
      </c>
      <c r="L107" s="46" cm="1">
        <f t="array" ref="L107">IF(A107="",0,SUMPRODUCT((A$2:A$201&lt;&gt;"")*((F$2:F$201*I107+G$2:G$201*J107+H$2:H$201*K107)&gt;0)*((F107*I$2:I$201+G107*J$2:J$201+H107*K$2:K$201)&gt;0))-IF(F107*I107+G107*J107+H107*K107&gt;0,1,0))</f>
        <v>0</v>
      </c>
      <c r="M107" s="46" t="str" cm="1">
        <f t="array" ref="M107">IF(A107="","",SUMPRODUCT((A$2:A$201&lt;&gt;"")*(L$2:L$201&lt;L107))+SUMPRODUCT((A$2:A$201&lt;&gt;"")*(L$2:L$201=L107)*(A$2:A$201&lt;A107))+1)</f>
        <v/>
      </c>
      <c r="N107" s="46" t="str" cm="1">
        <f t="array" aca="1" ref="N107" ca="1">IF(A107="","",SUMPRODUCT(((OFFSET(F$2,0,0,COUNTA('Mii List'!A$2:A$200),1)*I107+OFFSET(G$2,0,0,COUNTA('Mii List'!A$2:A$200),1)*J107+OFFSET(H$2,0,0,COUNTA('Mii List'!A$2:A$200),1)*K107)&gt;0)*((F107*OFFSET(I$2,0,0,COUNTA('Mii List'!A$2:A$200),1)+G107*OFFSET(J$2,0,0,COUNTA('Mii List'!A$2:A$200),1)+H107*OFFSET(K$2,0,0,COUNTA('Mii List'!A$2:A$200),1))&gt;0)*(ROW(OFFSET($A$2,0,0,COUNTA('Mii List'!A$2:A$200),1))&lt;&gt;ROW())*IF(OFFSET(L$2,0,0,COUNTA('Mii List'!A$2:A$200),1)&gt;0,1/OFFSET(L$2,0,0,COUNTA('Mii List'!A$2:A$200),1),0)))</f>
        <v/>
      </c>
      <c r="O107" s="46" t="str" cm="1">
        <f t="array" aca="1" ref="O107" ca="1">IF(A107="","",IF(L107=0,0,SUMPRODUCT(((OFFSET(F$2,0,0,COUNTA('Mii List'!A$2:A$200),1)*I107+OFFSET(G$2,0,0,COUNTA('Mii List'!A$2:A$200),1)*J107+OFFSET(H$2,0,0,COUNTA('Mii List'!A$2:A$200),1)*K107)&gt;0)*((F107*OFFSET(I$2,0,0,COUNTA('Mii List'!A$2:A$200),1)+G107*OFFSET(J$2,0,0,COUNTA('Mii List'!A$2:A$200),1)+H107*OFFSET(K$2,0,0,COUNTA('Mii List'!A$2:A$200),1))&gt;0)*(ROW(OFFSET($A$2,0,0,COUNTA('Mii List'!A$2:A$200),1))&lt;&gt;ROW())*OFFSET(L$2,0,0,COUNTA('Mii List'!A$2:A$200),1))/L107))</f>
        <v/>
      </c>
      <c r="P107" s="46" t="str">
        <f t="shared" si="13"/>
        <v/>
      </c>
    </row>
    <row r="108" spans="1:16" x14ac:dyDescent="0.35">
      <c r="A108" s="46" t="str" cm="1">
        <f t="array" ref="A108">IF(ROW()-1&gt;COUNTA('Mii List'!A$2:A$200),"",INDEX('Mii List'!A$2:A$200,ROW()-1))</f>
        <v/>
      </c>
      <c r="B108" s="46" t="str">
        <f>IF(A108="","",INDEX('Mii List'!B$2:B$200,MATCH(A108,'Mii List'!A$2:A$200,0)))</f>
        <v/>
      </c>
      <c r="C108" s="46" t="str">
        <f>IF(A108="","",INDEX('Mii List'!C$2:C$200,MATCH(A108,'Mii List'!A$2:A$200,0)))</f>
        <v/>
      </c>
      <c r="D108" s="46" t="str">
        <f>IF(A108="","",INDEX('Mii List'!D$2:D$200,MATCH(A108,'Mii List'!A$2:A$200,0)))</f>
        <v/>
      </c>
      <c r="E108" s="46" t="str">
        <f>IF(A108="","",INDEX('Mii List'!E$2:E$200,MATCH(A108,'Mii List'!A$2:A$200,0)))</f>
        <v/>
      </c>
      <c r="F108" s="46">
        <f t="shared" si="7"/>
        <v>0</v>
      </c>
      <c r="G108" s="46">
        <f t="shared" si="8"/>
        <v>0</v>
      </c>
      <c r="H108" s="46">
        <f t="shared" si="9"/>
        <v>0</v>
      </c>
      <c r="I108" s="46">
        <f t="shared" si="10"/>
        <v>0</v>
      </c>
      <c r="J108" s="46">
        <f t="shared" si="11"/>
        <v>0</v>
      </c>
      <c r="K108" s="46">
        <f t="shared" si="12"/>
        <v>0</v>
      </c>
      <c r="L108" s="46" cm="1">
        <f t="array" ref="L108">IF(A108="",0,SUMPRODUCT((A$2:A$201&lt;&gt;"")*((F$2:F$201*I108+G$2:G$201*J108+H$2:H$201*K108)&gt;0)*((F108*I$2:I$201+G108*J$2:J$201+H108*K$2:K$201)&gt;0))-IF(F108*I108+G108*J108+H108*K108&gt;0,1,0))</f>
        <v>0</v>
      </c>
      <c r="M108" s="46" t="str" cm="1">
        <f t="array" ref="M108">IF(A108="","",SUMPRODUCT((A$2:A$201&lt;&gt;"")*(L$2:L$201&lt;L108))+SUMPRODUCT((A$2:A$201&lt;&gt;"")*(L$2:L$201=L108)*(A$2:A$201&lt;A108))+1)</f>
        <v/>
      </c>
      <c r="N108" s="46" t="str" cm="1">
        <f t="array" aca="1" ref="N108" ca="1">IF(A108="","",SUMPRODUCT(((OFFSET(F$2,0,0,COUNTA('Mii List'!A$2:A$200),1)*I108+OFFSET(G$2,0,0,COUNTA('Mii List'!A$2:A$200),1)*J108+OFFSET(H$2,0,0,COUNTA('Mii List'!A$2:A$200),1)*K108)&gt;0)*((F108*OFFSET(I$2,0,0,COUNTA('Mii List'!A$2:A$200),1)+G108*OFFSET(J$2,0,0,COUNTA('Mii List'!A$2:A$200),1)+H108*OFFSET(K$2,0,0,COUNTA('Mii List'!A$2:A$200),1))&gt;0)*(ROW(OFFSET($A$2,0,0,COUNTA('Mii List'!A$2:A$200),1))&lt;&gt;ROW())*IF(OFFSET(L$2,0,0,COUNTA('Mii List'!A$2:A$200),1)&gt;0,1/OFFSET(L$2,0,0,COUNTA('Mii List'!A$2:A$200),1),0)))</f>
        <v/>
      </c>
      <c r="O108" s="46" t="str" cm="1">
        <f t="array" aca="1" ref="O108" ca="1">IF(A108="","",IF(L108=0,0,SUMPRODUCT(((OFFSET(F$2,0,0,COUNTA('Mii List'!A$2:A$200),1)*I108+OFFSET(G$2,0,0,COUNTA('Mii List'!A$2:A$200),1)*J108+OFFSET(H$2,0,0,COUNTA('Mii List'!A$2:A$200),1)*K108)&gt;0)*((F108*OFFSET(I$2,0,0,COUNTA('Mii List'!A$2:A$200),1)+G108*OFFSET(J$2,0,0,COUNTA('Mii List'!A$2:A$200),1)+H108*OFFSET(K$2,0,0,COUNTA('Mii List'!A$2:A$200),1))&gt;0)*(ROW(OFFSET($A$2,0,0,COUNTA('Mii List'!A$2:A$200),1))&lt;&gt;ROW())*OFFSET(L$2,0,0,COUNTA('Mii List'!A$2:A$200),1))/L108))</f>
        <v/>
      </c>
      <c r="P108" s="46" t="str">
        <f t="shared" si="13"/>
        <v/>
      </c>
    </row>
    <row r="109" spans="1:16" x14ac:dyDescent="0.35">
      <c r="A109" s="46" t="str" cm="1">
        <f t="array" ref="A109">IF(ROW()-1&gt;COUNTA('Mii List'!A$2:A$200),"",INDEX('Mii List'!A$2:A$200,ROW()-1))</f>
        <v/>
      </c>
      <c r="B109" s="46" t="str">
        <f>IF(A109="","",INDEX('Mii List'!B$2:B$200,MATCH(A109,'Mii List'!A$2:A$200,0)))</f>
        <v/>
      </c>
      <c r="C109" s="46" t="str">
        <f>IF(A109="","",INDEX('Mii List'!C$2:C$200,MATCH(A109,'Mii List'!A$2:A$200,0)))</f>
        <v/>
      </c>
      <c r="D109" s="46" t="str">
        <f>IF(A109="","",INDEX('Mii List'!D$2:D$200,MATCH(A109,'Mii List'!A$2:A$200,0)))</f>
        <v/>
      </c>
      <c r="E109" s="46" t="str">
        <f>IF(A109="","",INDEX('Mii List'!E$2:E$200,MATCH(A109,'Mii List'!A$2:A$200,0)))</f>
        <v/>
      </c>
      <c r="F109" s="46">
        <f t="shared" si="7"/>
        <v>0</v>
      </c>
      <c r="G109" s="46">
        <f t="shared" si="8"/>
        <v>0</v>
      </c>
      <c r="H109" s="46">
        <f t="shared" si="9"/>
        <v>0</v>
      </c>
      <c r="I109" s="46">
        <f t="shared" si="10"/>
        <v>0</v>
      </c>
      <c r="J109" s="46">
        <f t="shared" si="11"/>
        <v>0</v>
      </c>
      <c r="K109" s="46">
        <f t="shared" si="12"/>
        <v>0</v>
      </c>
      <c r="L109" s="46" cm="1">
        <f t="array" ref="L109">IF(A109="",0,SUMPRODUCT((A$2:A$201&lt;&gt;"")*((F$2:F$201*I109+G$2:G$201*J109+H$2:H$201*K109)&gt;0)*((F109*I$2:I$201+G109*J$2:J$201+H109*K$2:K$201)&gt;0))-IF(F109*I109+G109*J109+H109*K109&gt;0,1,0))</f>
        <v>0</v>
      </c>
      <c r="M109" s="46" t="str" cm="1">
        <f t="array" ref="M109">IF(A109="","",SUMPRODUCT((A$2:A$201&lt;&gt;"")*(L$2:L$201&lt;L109))+SUMPRODUCT((A$2:A$201&lt;&gt;"")*(L$2:L$201=L109)*(A$2:A$201&lt;A109))+1)</f>
        <v/>
      </c>
      <c r="N109" s="46" t="str" cm="1">
        <f t="array" aca="1" ref="N109" ca="1">IF(A109="","",SUMPRODUCT(((OFFSET(F$2,0,0,COUNTA('Mii List'!A$2:A$200),1)*I109+OFFSET(G$2,0,0,COUNTA('Mii List'!A$2:A$200),1)*J109+OFFSET(H$2,0,0,COUNTA('Mii List'!A$2:A$200),1)*K109)&gt;0)*((F109*OFFSET(I$2,0,0,COUNTA('Mii List'!A$2:A$200),1)+G109*OFFSET(J$2,0,0,COUNTA('Mii List'!A$2:A$200),1)+H109*OFFSET(K$2,0,0,COUNTA('Mii List'!A$2:A$200),1))&gt;0)*(ROW(OFFSET($A$2,0,0,COUNTA('Mii List'!A$2:A$200),1))&lt;&gt;ROW())*IF(OFFSET(L$2,0,0,COUNTA('Mii List'!A$2:A$200),1)&gt;0,1/OFFSET(L$2,0,0,COUNTA('Mii List'!A$2:A$200),1),0)))</f>
        <v/>
      </c>
      <c r="O109" s="46" t="str" cm="1">
        <f t="array" aca="1" ref="O109" ca="1">IF(A109="","",IF(L109=0,0,SUMPRODUCT(((OFFSET(F$2,0,0,COUNTA('Mii List'!A$2:A$200),1)*I109+OFFSET(G$2,0,0,COUNTA('Mii List'!A$2:A$200),1)*J109+OFFSET(H$2,0,0,COUNTA('Mii List'!A$2:A$200),1)*K109)&gt;0)*((F109*OFFSET(I$2,0,0,COUNTA('Mii List'!A$2:A$200),1)+G109*OFFSET(J$2,0,0,COUNTA('Mii List'!A$2:A$200),1)+H109*OFFSET(K$2,0,0,COUNTA('Mii List'!A$2:A$200),1))&gt;0)*(ROW(OFFSET($A$2,0,0,COUNTA('Mii List'!A$2:A$200),1))&lt;&gt;ROW())*OFFSET(L$2,0,0,COUNTA('Mii List'!A$2:A$200),1))/L109))</f>
        <v/>
      </c>
      <c r="P109" s="46" t="str">
        <f t="shared" si="13"/>
        <v/>
      </c>
    </row>
    <row r="110" spans="1:16" x14ac:dyDescent="0.35">
      <c r="A110" s="46" t="str" cm="1">
        <f t="array" ref="A110">IF(ROW()-1&gt;COUNTA('Mii List'!A$2:A$200),"",INDEX('Mii List'!A$2:A$200,ROW()-1))</f>
        <v/>
      </c>
      <c r="B110" s="46" t="str">
        <f>IF(A110="","",INDEX('Mii List'!B$2:B$200,MATCH(A110,'Mii List'!A$2:A$200,0)))</f>
        <v/>
      </c>
      <c r="C110" s="46" t="str">
        <f>IF(A110="","",INDEX('Mii List'!C$2:C$200,MATCH(A110,'Mii List'!A$2:A$200,0)))</f>
        <v/>
      </c>
      <c r="D110" s="46" t="str">
        <f>IF(A110="","",INDEX('Mii List'!D$2:D$200,MATCH(A110,'Mii List'!A$2:A$200,0)))</f>
        <v/>
      </c>
      <c r="E110" s="46" t="str">
        <f>IF(A110="","",INDEX('Mii List'!E$2:E$200,MATCH(A110,'Mii List'!A$2:A$200,0)))</f>
        <v/>
      </c>
      <c r="F110" s="46">
        <f t="shared" si="7"/>
        <v>0</v>
      </c>
      <c r="G110" s="46">
        <f t="shared" si="8"/>
        <v>0</v>
      </c>
      <c r="H110" s="46">
        <f t="shared" si="9"/>
        <v>0</v>
      </c>
      <c r="I110" s="46">
        <f t="shared" si="10"/>
        <v>0</v>
      </c>
      <c r="J110" s="46">
        <f t="shared" si="11"/>
        <v>0</v>
      </c>
      <c r="K110" s="46">
        <f t="shared" si="12"/>
        <v>0</v>
      </c>
      <c r="L110" s="46" cm="1">
        <f t="array" ref="L110">IF(A110="",0,SUMPRODUCT((A$2:A$201&lt;&gt;"")*((F$2:F$201*I110+G$2:G$201*J110+H$2:H$201*K110)&gt;0)*((F110*I$2:I$201+G110*J$2:J$201+H110*K$2:K$201)&gt;0))-IF(F110*I110+G110*J110+H110*K110&gt;0,1,0))</f>
        <v>0</v>
      </c>
      <c r="M110" s="46" t="str" cm="1">
        <f t="array" ref="M110">IF(A110="","",SUMPRODUCT((A$2:A$201&lt;&gt;"")*(L$2:L$201&lt;L110))+SUMPRODUCT((A$2:A$201&lt;&gt;"")*(L$2:L$201=L110)*(A$2:A$201&lt;A110))+1)</f>
        <v/>
      </c>
      <c r="N110" s="46" t="str" cm="1">
        <f t="array" aca="1" ref="N110" ca="1">IF(A110="","",SUMPRODUCT(((OFFSET(F$2,0,0,COUNTA('Mii List'!A$2:A$200),1)*I110+OFFSET(G$2,0,0,COUNTA('Mii List'!A$2:A$200),1)*J110+OFFSET(H$2,0,0,COUNTA('Mii List'!A$2:A$200),1)*K110)&gt;0)*((F110*OFFSET(I$2,0,0,COUNTA('Mii List'!A$2:A$200),1)+G110*OFFSET(J$2,0,0,COUNTA('Mii List'!A$2:A$200),1)+H110*OFFSET(K$2,0,0,COUNTA('Mii List'!A$2:A$200),1))&gt;0)*(ROW(OFFSET($A$2,0,0,COUNTA('Mii List'!A$2:A$200),1))&lt;&gt;ROW())*IF(OFFSET(L$2,0,0,COUNTA('Mii List'!A$2:A$200),1)&gt;0,1/OFFSET(L$2,0,0,COUNTA('Mii List'!A$2:A$200),1),0)))</f>
        <v/>
      </c>
      <c r="O110" s="46" t="str" cm="1">
        <f t="array" aca="1" ref="O110" ca="1">IF(A110="","",IF(L110=0,0,SUMPRODUCT(((OFFSET(F$2,0,0,COUNTA('Mii List'!A$2:A$200),1)*I110+OFFSET(G$2,0,0,COUNTA('Mii List'!A$2:A$200),1)*J110+OFFSET(H$2,0,0,COUNTA('Mii List'!A$2:A$200),1)*K110)&gt;0)*((F110*OFFSET(I$2,0,0,COUNTA('Mii List'!A$2:A$200),1)+G110*OFFSET(J$2,0,0,COUNTA('Mii List'!A$2:A$200),1)+H110*OFFSET(K$2,0,0,COUNTA('Mii List'!A$2:A$200),1))&gt;0)*(ROW(OFFSET($A$2,0,0,COUNTA('Mii List'!A$2:A$200),1))&lt;&gt;ROW())*OFFSET(L$2,0,0,COUNTA('Mii List'!A$2:A$200),1))/L110))</f>
        <v/>
      </c>
      <c r="P110" s="46" t="str">
        <f t="shared" si="13"/>
        <v/>
      </c>
    </row>
    <row r="111" spans="1:16" x14ac:dyDescent="0.35">
      <c r="A111" s="46" t="str" cm="1">
        <f t="array" ref="A111">IF(ROW()-1&gt;COUNTA('Mii List'!A$2:A$200),"",INDEX('Mii List'!A$2:A$200,ROW()-1))</f>
        <v/>
      </c>
      <c r="B111" s="46" t="str">
        <f>IF(A111="","",INDEX('Mii List'!B$2:B$200,MATCH(A111,'Mii List'!A$2:A$200,0)))</f>
        <v/>
      </c>
      <c r="C111" s="46" t="str">
        <f>IF(A111="","",INDEX('Mii List'!C$2:C$200,MATCH(A111,'Mii List'!A$2:A$200,0)))</f>
        <v/>
      </c>
      <c r="D111" s="46" t="str">
        <f>IF(A111="","",INDEX('Mii List'!D$2:D$200,MATCH(A111,'Mii List'!A$2:A$200,0)))</f>
        <v/>
      </c>
      <c r="E111" s="46" t="str">
        <f>IF(A111="","",INDEX('Mii List'!E$2:E$200,MATCH(A111,'Mii List'!A$2:A$200,0)))</f>
        <v/>
      </c>
      <c r="F111" s="46">
        <f t="shared" si="7"/>
        <v>0</v>
      </c>
      <c r="G111" s="46">
        <f t="shared" si="8"/>
        <v>0</v>
      </c>
      <c r="H111" s="46">
        <f t="shared" si="9"/>
        <v>0</v>
      </c>
      <c r="I111" s="46">
        <f t="shared" si="10"/>
        <v>0</v>
      </c>
      <c r="J111" s="46">
        <f t="shared" si="11"/>
        <v>0</v>
      </c>
      <c r="K111" s="46">
        <f t="shared" si="12"/>
        <v>0</v>
      </c>
      <c r="L111" s="46" cm="1">
        <f t="array" ref="L111">IF(A111="",0,SUMPRODUCT((A$2:A$201&lt;&gt;"")*((F$2:F$201*I111+G$2:G$201*J111+H$2:H$201*K111)&gt;0)*((F111*I$2:I$201+G111*J$2:J$201+H111*K$2:K$201)&gt;0))-IF(F111*I111+G111*J111+H111*K111&gt;0,1,0))</f>
        <v>0</v>
      </c>
      <c r="M111" s="46" t="str" cm="1">
        <f t="array" ref="M111">IF(A111="","",SUMPRODUCT((A$2:A$201&lt;&gt;"")*(L$2:L$201&lt;L111))+SUMPRODUCT((A$2:A$201&lt;&gt;"")*(L$2:L$201=L111)*(A$2:A$201&lt;A111))+1)</f>
        <v/>
      </c>
      <c r="N111" s="46" t="str" cm="1">
        <f t="array" aca="1" ref="N111" ca="1">IF(A111="","",SUMPRODUCT(((OFFSET(F$2,0,0,COUNTA('Mii List'!A$2:A$200),1)*I111+OFFSET(G$2,0,0,COUNTA('Mii List'!A$2:A$200),1)*J111+OFFSET(H$2,0,0,COUNTA('Mii List'!A$2:A$200),1)*K111)&gt;0)*((F111*OFFSET(I$2,0,0,COUNTA('Mii List'!A$2:A$200),1)+G111*OFFSET(J$2,0,0,COUNTA('Mii List'!A$2:A$200),1)+H111*OFFSET(K$2,0,0,COUNTA('Mii List'!A$2:A$200),1))&gt;0)*(ROW(OFFSET($A$2,0,0,COUNTA('Mii List'!A$2:A$200),1))&lt;&gt;ROW())*IF(OFFSET(L$2,0,0,COUNTA('Mii List'!A$2:A$200),1)&gt;0,1/OFFSET(L$2,0,0,COUNTA('Mii List'!A$2:A$200),1),0)))</f>
        <v/>
      </c>
      <c r="O111" s="46" t="str" cm="1">
        <f t="array" aca="1" ref="O111" ca="1">IF(A111="","",IF(L111=0,0,SUMPRODUCT(((OFFSET(F$2,0,0,COUNTA('Mii List'!A$2:A$200),1)*I111+OFFSET(G$2,0,0,COUNTA('Mii List'!A$2:A$200),1)*J111+OFFSET(H$2,0,0,COUNTA('Mii List'!A$2:A$200),1)*K111)&gt;0)*((F111*OFFSET(I$2,0,0,COUNTA('Mii List'!A$2:A$200),1)+G111*OFFSET(J$2,0,0,COUNTA('Mii List'!A$2:A$200),1)+H111*OFFSET(K$2,0,0,COUNTA('Mii List'!A$2:A$200),1))&gt;0)*(ROW(OFFSET($A$2,0,0,COUNTA('Mii List'!A$2:A$200),1))&lt;&gt;ROW())*OFFSET(L$2,0,0,COUNTA('Mii List'!A$2:A$200),1))/L111))</f>
        <v/>
      </c>
      <c r="P111" s="46" t="str">
        <f t="shared" si="13"/>
        <v/>
      </c>
    </row>
    <row r="112" spans="1:16" x14ac:dyDescent="0.35">
      <c r="A112" s="46" t="str" cm="1">
        <f t="array" ref="A112">IF(ROW()-1&gt;COUNTA('Mii List'!A$2:A$200),"",INDEX('Mii List'!A$2:A$200,ROW()-1))</f>
        <v/>
      </c>
      <c r="B112" s="46" t="str">
        <f>IF(A112="","",INDEX('Mii List'!B$2:B$200,MATCH(A112,'Mii List'!A$2:A$200,0)))</f>
        <v/>
      </c>
      <c r="C112" s="46" t="str">
        <f>IF(A112="","",INDEX('Mii List'!C$2:C$200,MATCH(A112,'Mii List'!A$2:A$200,0)))</f>
        <v/>
      </c>
      <c r="D112" s="46" t="str">
        <f>IF(A112="","",INDEX('Mii List'!D$2:D$200,MATCH(A112,'Mii List'!A$2:A$200,0)))</f>
        <v/>
      </c>
      <c r="E112" s="46" t="str">
        <f>IF(A112="","",INDEX('Mii List'!E$2:E$200,MATCH(A112,'Mii List'!A$2:A$200,0)))</f>
        <v/>
      </c>
      <c r="F112" s="46">
        <f t="shared" si="7"/>
        <v>0</v>
      </c>
      <c r="G112" s="46">
        <f t="shared" si="8"/>
        <v>0</v>
      </c>
      <c r="H112" s="46">
        <f t="shared" si="9"/>
        <v>0</v>
      </c>
      <c r="I112" s="46">
        <f t="shared" si="10"/>
        <v>0</v>
      </c>
      <c r="J112" s="46">
        <f t="shared" si="11"/>
        <v>0</v>
      </c>
      <c r="K112" s="46">
        <f t="shared" si="12"/>
        <v>0</v>
      </c>
      <c r="L112" s="46" cm="1">
        <f t="array" ref="L112">IF(A112="",0,SUMPRODUCT((A$2:A$201&lt;&gt;"")*((F$2:F$201*I112+G$2:G$201*J112+H$2:H$201*K112)&gt;0)*((F112*I$2:I$201+G112*J$2:J$201+H112*K$2:K$201)&gt;0))-IF(F112*I112+G112*J112+H112*K112&gt;0,1,0))</f>
        <v>0</v>
      </c>
      <c r="M112" s="46" t="str" cm="1">
        <f t="array" ref="M112">IF(A112="","",SUMPRODUCT((A$2:A$201&lt;&gt;"")*(L$2:L$201&lt;L112))+SUMPRODUCT((A$2:A$201&lt;&gt;"")*(L$2:L$201=L112)*(A$2:A$201&lt;A112))+1)</f>
        <v/>
      </c>
      <c r="N112" s="46" t="str" cm="1">
        <f t="array" aca="1" ref="N112" ca="1">IF(A112="","",SUMPRODUCT(((OFFSET(F$2,0,0,COUNTA('Mii List'!A$2:A$200),1)*I112+OFFSET(G$2,0,0,COUNTA('Mii List'!A$2:A$200),1)*J112+OFFSET(H$2,0,0,COUNTA('Mii List'!A$2:A$200),1)*K112)&gt;0)*((F112*OFFSET(I$2,0,0,COUNTA('Mii List'!A$2:A$200),1)+G112*OFFSET(J$2,0,0,COUNTA('Mii List'!A$2:A$200),1)+H112*OFFSET(K$2,0,0,COUNTA('Mii List'!A$2:A$200),1))&gt;0)*(ROW(OFFSET($A$2,0,0,COUNTA('Mii List'!A$2:A$200),1))&lt;&gt;ROW())*IF(OFFSET(L$2,0,0,COUNTA('Mii List'!A$2:A$200),1)&gt;0,1/OFFSET(L$2,0,0,COUNTA('Mii List'!A$2:A$200),1),0)))</f>
        <v/>
      </c>
      <c r="O112" s="46" t="str" cm="1">
        <f t="array" aca="1" ref="O112" ca="1">IF(A112="","",IF(L112=0,0,SUMPRODUCT(((OFFSET(F$2,0,0,COUNTA('Mii List'!A$2:A$200),1)*I112+OFFSET(G$2,0,0,COUNTA('Mii List'!A$2:A$200),1)*J112+OFFSET(H$2,0,0,COUNTA('Mii List'!A$2:A$200),1)*K112)&gt;0)*((F112*OFFSET(I$2,0,0,COUNTA('Mii List'!A$2:A$200),1)+G112*OFFSET(J$2,0,0,COUNTA('Mii List'!A$2:A$200),1)+H112*OFFSET(K$2,0,0,COUNTA('Mii List'!A$2:A$200),1))&gt;0)*(ROW(OFFSET($A$2,0,0,COUNTA('Mii List'!A$2:A$200),1))&lt;&gt;ROW())*OFFSET(L$2,0,0,COUNTA('Mii List'!A$2:A$200),1))/L112))</f>
        <v/>
      </c>
      <c r="P112" s="46" t="str">
        <f t="shared" si="13"/>
        <v/>
      </c>
    </row>
    <row r="113" spans="1:16" x14ac:dyDescent="0.35">
      <c r="A113" s="46" t="str" cm="1">
        <f t="array" ref="A113">IF(ROW()-1&gt;COUNTA('Mii List'!A$2:A$200),"",INDEX('Mii List'!A$2:A$200,ROW()-1))</f>
        <v/>
      </c>
      <c r="B113" s="46" t="str">
        <f>IF(A113="","",INDEX('Mii List'!B$2:B$200,MATCH(A113,'Mii List'!A$2:A$200,0)))</f>
        <v/>
      </c>
      <c r="C113" s="46" t="str">
        <f>IF(A113="","",INDEX('Mii List'!C$2:C$200,MATCH(A113,'Mii List'!A$2:A$200,0)))</f>
        <v/>
      </c>
      <c r="D113" s="46" t="str">
        <f>IF(A113="","",INDEX('Mii List'!D$2:D$200,MATCH(A113,'Mii List'!A$2:A$200,0)))</f>
        <v/>
      </c>
      <c r="E113" s="46" t="str">
        <f>IF(A113="","",INDEX('Mii List'!E$2:E$200,MATCH(A113,'Mii List'!A$2:A$200,0)))</f>
        <v/>
      </c>
      <c r="F113" s="46">
        <f t="shared" si="7"/>
        <v>0</v>
      </c>
      <c r="G113" s="46">
        <f t="shared" si="8"/>
        <v>0</v>
      </c>
      <c r="H113" s="46">
        <f t="shared" si="9"/>
        <v>0</v>
      </c>
      <c r="I113" s="46">
        <f t="shared" si="10"/>
        <v>0</v>
      </c>
      <c r="J113" s="46">
        <f t="shared" si="11"/>
        <v>0</v>
      </c>
      <c r="K113" s="46">
        <f t="shared" si="12"/>
        <v>0</v>
      </c>
      <c r="L113" s="46" cm="1">
        <f t="array" ref="L113">IF(A113="",0,SUMPRODUCT((A$2:A$201&lt;&gt;"")*((F$2:F$201*I113+G$2:G$201*J113+H$2:H$201*K113)&gt;0)*((F113*I$2:I$201+G113*J$2:J$201+H113*K$2:K$201)&gt;0))-IF(F113*I113+G113*J113+H113*K113&gt;0,1,0))</f>
        <v>0</v>
      </c>
      <c r="M113" s="46" t="str" cm="1">
        <f t="array" ref="M113">IF(A113="","",SUMPRODUCT((A$2:A$201&lt;&gt;"")*(L$2:L$201&lt;L113))+SUMPRODUCT((A$2:A$201&lt;&gt;"")*(L$2:L$201=L113)*(A$2:A$201&lt;A113))+1)</f>
        <v/>
      </c>
      <c r="N113" s="46" t="str" cm="1">
        <f t="array" aca="1" ref="N113" ca="1">IF(A113="","",SUMPRODUCT(((OFFSET(F$2,0,0,COUNTA('Mii List'!A$2:A$200),1)*I113+OFFSET(G$2,0,0,COUNTA('Mii List'!A$2:A$200),1)*J113+OFFSET(H$2,0,0,COUNTA('Mii List'!A$2:A$200),1)*K113)&gt;0)*((F113*OFFSET(I$2,0,0,COUNTA('Mii List'!A$2:A$200),1)+G113*OFFSET(J$2,0,0,COUNTA('Mii List'!A$2:A$200),1)+H113*OFFSET(K$2,0,0,COUNTA('Mii List'!A$2:A$200),1))&gt;0)*(ROW(OFFSET($A$2,0,0,COUNTA('Mii List'!A$2:A$200),1))&lt;&gt;ROW())*IF(OFFSET(L$2,0,0,COUNTA('Mii List'!A$2:A$200),1)&gt;0,1/OFFSET(L$2,0,0,COUNTA('Mii List'!A$2:A$200),1),0)))</f>
        <v/>
      </c>
      <c r="O113" s="46" t="str" cm="1">
        <f t="array" aca="1" ref="O113" ca="1">IF(A113="","",IF(L113=0,0,SUMPRODUCT(((OFFSET(F$2,0,0,COUNTA('Mii List'!A$2:A$200),1)*I113+OFFSET(G$2,0,0,COUNTA('Mii List'!A$2:A$200),1)*J113+OFFSET(H$2,0,0,COUNTA('Mii List'!A$2:A$200),1)*K113)&gt;0)*((F113*OFFSET(I$2,0,0,COUNTA('Mii List'!A$2:A$200),1)+G113*OFFSET(J$2,0,0,COUNTA('Mii List'!A$2:A$200),1)+H113*OFFSET(K$2,0,0,COUNTA('Mii List'!A$2:A$200),1))&gt;0)*(ROW(OFFSET($A$2,0,0,COUNTA('Mii List'!A$2:A$200),1))&lt;&gt;ROW())*OFFSET(L$2,0,0,COUNTA('Mii List'!A$2:A$200),1))/L113))</f>
        <v/>
      </c>
      <c r="P113" s="46" t="str">
        <f t="shared" si="13"/>
        <v/>
      </c>
    </row>
    <row r="114" spans="1:16" x14ac:dyDescent="0.35">
      <c r="A114" s="46" t="str" cm="1">
        <f t="array" ref="A114">IF(ROW()-1&gt;COUNTA('Mii List'!A$2:A$200),"",INDEX('Mii List'!A$2:A$200,ROW()-1))</f>
        <v/>
      </c>
      <c r="B114" s="46" t="str">
        <f>IF(A114="","",INDEX('Mii List'!B$2:B$200,MATCH(A114,'Mii List'!A$2:A$200,0)))</f>
        <v/>
      </c>
      <c r="C114" s="46" t="str">
        <f>IF(A114="","",INDEX('Mii List'!C$2:C$200,MATCH(A114,'Mii List'!A$2:A$200,0)))</f>
        <v/>
      </c>
      <c r="D114" s="46" t="str">
        <f>IF(A114="","",INDEX('Mii List'!D$2:D$200,MATCH(A114,'Mii List'!A$2:A$200,0)))</f>
        <v/>
      </c>
      <c r="E114" s="46" t="str">
        <f>IF(A114="","",INDEX('Mii List'!E$2:E$200,MATCH(A114,'Mii List'!A$2:A$200,0)))</f>
        <v/>
      </c>
      <c r="F114" s="46">
        <f t="shared" si="7"/>
        <v>0</v>
      </c>
      <c r="G114" s="46">
        <f t="shared" si="8"/>
        <v>0</v>
      </c>
      <c r="H114" s="46">
        <f t="shared" si="9"/>
        <v>0</v>
      </c>
      <c r="I114" s="46">
        <f t="shared" si="10"/>
        <v>0</v>
      </c>
      <c r="J114" s="46">
        <f t="shared" si="11"/>
        <v>0</v>
      </c>
      <c r="K114" s="46">
        <f t="shared" si="12"/>
        <v>0</v>
      </c>
      <c r="L114" s="46" cm="1">
        <f t="array" ref="L114">IF(A114="",0,SUMPRODUCT((A$2:A$201&lt;&gt;"")*((F$2:F$201*I114+G$2:G$201*J114+H$2:H$201*K114)&gt;0)*((F114*I$2:I$201+G114*J$2:J$201+H114*K$2:K$201)&gt;0))-IF(F114*I114+G114*J114+H114*K114&gt;0,1,0))</f>
        <v>0</v>
      </c>
      <c r="M114" s="46" t="str" cm="1">
        <f t="array" ref="M114">IF(A114="","",SUMPRODUCT((A$2:A$201&lt;&gt;"")*(L$2:L$201&lt;L114))+SUMPRODUCT((A$2:A$201&lt;&gt;"")*(L$2:L$201=L114)*(A$2:A$201&lt;A114))+1)</f>
        <v/>
      </c>
      <c r="N114" s="46" t="str" cm="1">
        <f t="array" aca="1" ref="N114" ca="1">IF(A114="","",SUMPRODUCT(((OFFSET(F$2,0,0,COUNTA('Mii List'!A$2:A$200),1)*I114+OFFSET(G$2,0,0,COUNTA('Mii List'!A$2:A$200),1)*J114+OFFSET(H$2,0,0,COUNTA('Mii List'!A$2:A$200),1)*K114)&gt;0)*((F114*OFFSET(I$2,0,0,COUNTA('Mii List'!A$2:A$200),1)+G114*OFFSET(J$2,0,0,COUNTA('Mii List'!A$2:A$200),1)+H114*OFFSET(K$2,0,0,COUNTA('Mii List'!A$2:A$200),1))&gt;0)*(ROW(OFFSET($A$2,0,0,COUNTA('Mii List'!A$2:A$200),1))&lt;&gt;ROW())*IF(OFFSET(L$2,0,0,COUNTA('Mii List'!A$2:A$200),1)&gt;0,1/OFFSET(L$2,0,0,COUNTA('Mii List'!A$2:A$200),1),0)))</f>
        <v/>
      </c>
      <c r="O114" s="46" t="str" cm="1">
        <f t="array" aca="1" ref="O114" ca="1">IF(A114="","",IF(L114=0,0,SUMPRODUCT(((OFFSET(F$2,0,0,COUNTA('Mii List'!A$2:A$200),1)*I114+OFFSET(G$2,0,0,COUNTA('Mii List'!A$2:A$200),1)*J114+OFFSET(H$2,0,0,COUNTA('Mii List'!A$2:A$200),1)*K114)&gt;0)*((F114*OFFSET(I$2,0,0,COUNTA('Mii List'!A$2:A$200),1)+G114*OFFSET(J$2,0,0,COUNTA('Mii List'!A$2:A$200),1)+H114*OFFSET(K$2,0,0,COUNTA('Mii List'!A$2:A$200),1))&gt;0)*(ROW(OFFSET($A$2,0,0,COUNTA('Mii List'!A$2:A$200),1))&lt;&gt;ROW())*OFFSET(L$2,0,0,COUNTA('Mii List'!A$2:A$200),1))/L114))</f>
        <v/>
      </c>
      <c r="P114" s="46" t="str">
        <f t="shared" si="13"/>
        <v/>
      </c>
    </row>
    <row r="115" spans="1:16" x14ac:dyDescent="0.35">
      <c r="A115" s="46" t="str" cm="1">
        <f t="array" ref="A115">IF(ROW()-1&gt;COUNTA('Mii List'!A$2:A$200),"",INDEX('Mii List'!A$2:A$200,ROW()-1))</f>
        <v/>
      </c>
      <c r="B115" s="46" t="str">
        <f>IF(A115="","",INDEX('Mii List'!B$2:B$200,MATCH(A115,'Mii List'!A$2:A$200,0)))</f>
        <v/>
      </c>
      <c r="C115" s="46" t="str">
        <f>IF(A115="","",INDEX('Mii List'!C$2:C$200,MATCH(A115,'Mii List'!A$2:A$200,0)))</f>
        <v/>
      </c>
      <c r="D115" s="46" t="str">
        <f>IF(A115="","",INDEX('Mii List'!D$2:D$200,MATCH(A115,'Mii List'!A$2:A$200,0)))</f>
        <v/>
      </c>
      <c r="E115" s="46" t="str">
        <f>IF(A115="","",INDEX('Mii List'!E$2:E$200,MATCH(A115,'Mii List'!A$2:A$200,0)))</f>
        <v/>
      </c>
      <c r="F115" s="46">
        <f t="shared" si="7"/>
        <v>0</v>
      </c>
      <c r="G115" s="46">
        <f t="shared" si="8"/>
        <v>0</v>
      </c>
      <c r="H115" s="46">
        <f t="shared" si="9"/>
        <v>0</v>
      </c>
      <c r="I115" s="46">
        <f t="shared" si="10"/>
        <v>0</v>
      </c>
      <c r="J115" s="46">
        <f t="shared" si="11"/>
        <v>0</v>
      </c>
      <c r="K115" s="46">
        <f t="shared" si="12"/>
        <v>0</v>
      </c>
      <c r="L115" s="46" cm="1">
        <f t="array" ref="L115">IF(A115="",0,SUMPRODUCT((A$2:A$201&lt;&gt;"")*((F$2:F$201*I115+G$2:G$201*J115+H$2:H$201*K115)&gt;0)*((F115*I$2:I$201+G115*J$2:J$201+H115*K$2:K$201)&gt;0))-IF(F115*I115+G115*J115+H115*K115&gt;0,1,0))</f>
        <v>0</v>
      </c>
      <c r="M115" s="46" t="str" cm="1">
        <f t="array" ref="M115">IF(A115="","",SUMPRODUCT((A$2:A$201&lt;&gt;"")*(L$2:L$201&lt;L115))+SUMPRODUCT((A$2:A$201&lt;&gt;"")*(L$2:L$201=L115)*(A$2:A$201&lt;A115))+1)</f>
        <v/>
      </c>
      <c r="N115" s="46" t="str" cm="1">
        <f t="array" aca="1" ref="N115" ca="1">IF(A115="","",SUMPRODUCT(((OFFSET(F$2,0,0,COUNTA('Mii List'!A$2:A$200),1)*I115+OFFSET(G$2,0,0,COUNTA('Mii List'!A$2:A$200),1)*J115+OFFSET(H$2,0,0,COUNTA('Mii List'!A$2:A$200),1)*K115)&gt;0)*((F115*OFFSET(I$2,0,0,COUNTA('Mii List'!A$2:A$200),1)+G115*OFFSET(J$2,0,0,COUNTA('Mii List'!A$2:A$200),1)+H115*OFFSET(K$2,0,0,COUNTA('Mii List'!A$2:A$200),1))&gt;0)*(ROW(OFFSET($A$2,0,0,COUNTA('Mii List'!A$2:A$200),1))&lt;&gt;ROW())*IF(OFFSET(L$2,0,0,COUNTA('Mii List'!A$2:A$200),1)&gt;0,1/OFFSET(L$2,0,0,COUNTA('Mii List'!A$2:A$200),1),0)))</f>
        <v/>
      </c>
      <c r="O115" s="46" t="str" cm="1">
        <f t="array" aca="1" ref="O115" ca="1">IF(A115="","",IF(L115=0,0,SUMPRODUCT(((OFFSET(F$2,0,0,COUNTA('Mii List'!A$2:A$200),1)*I115+OFFSET(G$2,0,0,COUNTA('Mii List'!A$2:A$200),1)*J115+OFFSET(H$2,0,0,COUNTA('Mii List'!A$2:A$200),1)*K115)&gt;0)*((F115*OFFSET(I$2,0,0,COUNTA('Mii List'!A$2:A$200),1)+G115*OFFSET(J$2,0,0,COUNTA('Mii List'!A$2:A$200),1)+H115*OFFSET(K$2,0,0,COUNTA('Mii List'!A$2:A$200),1))&gt;0)*(ROW(OFFSET($A$2,0,0,COUNTA('Mii List'!A$2:A$200),1))&lt;&gt;ROW())*OFFSET(L$2,0,0,COUNTA('Mii List'!A$2:A$200),1))/L115))</f>
        <v/>
      </c>
      <c r="P115" s="46" t="str">
        <f t="shared" si="13"/>
        <v/>
      </c>
    </row>
    <row r="116" spans="1:16" x14ac:dyDescent="0.35">
      <c r="A116" s="46" t="str" cm="1">
        <f t="array" ref="A116">IF(ROW()-1&gt;COUNTA('Mii List'!A$2:A$200),"",INDEX('Mii List'!A$2:A$200,ROW()-1))</f>
        <v/>
      </c>
      <c r="B116" s="46" t="str">
        <f>IF(A116="","",INDEX('Mii List'!B$2:B$200,MATCH(A116,'Mii List'!A$2:A$200,0)))</f>
        <v/>
      </c>
      <c r="C116" s="46" t="str">
        <f>IF(A116="","",INDEX('Mii List'!C$2:C$200,MATCH(A116,'Mii List'!A$2:A$200,0)))</f>
        <v/>
      </c>
      <c r="D116" s="46" t="str">
        <f>IF(A116="","",INDEX('Mii List'!D$2:D$200,MATCH(A116,'Mii List'!A$2:A$200,0)))</f>
        <v/>
      </c>
      <c r="E116" s="46" t="str">
        <f>IF(A116="","",INDEX('Mii List'!E$2:E$200,MATCH(A116,'Mii List'!A$2:A$200,0)))</f>
        <v/>
      </c>
      <c r="F116" s="46">
        <f t="shared" si="7"/>
        <v>0</v>
      </c>
      <c r="G116" s="46">
        <f t="shared" si="8"/>
        <v>0</v>
      </c>
      <c r="H116" s="46">
        <f t="shared" si="9"/>
        <v>0</v>
      </c>
      <c r="I116" s="46">
        <f t="shared" si="10"/>
        <v>0</v>
      </c>
      <c r="J116" s="46">
        <f t="shared" si="11"/>
        <v>0</v>
      </c>
      <c r="K116" s="46">
        <f t="shared" si="12"/>
        <v>0</v>
      </c>
      <c r="L116" s="46" cm="1">
        <f t="array" ref="L116">IF(A116="",0,SUMPRODUCT((A$2:A$201&lt;&gt;"")*((F$2:F$201*I116+G$2:G$201*J116+H$2:H$201*K116)&gt;0)*((F116*I$2:I$201+G116*J$2:J$201+H116*K$2:K$201)&gt;0))-IF(F116*I116+G116*J116+H116*K116&gt;0,1,0))</f>
        <v>0</v>
      </c>
      <c r="M116" s="46" t="str" cm="1">
        <f t="array" ref="M116">IF(A116="","",SUMPRODUCT((A$2:A$201&lt;&gt;"")*(L$2:L$201&lt;L116))+SUMPRODUCT((A$2:A$201&lt;&gt;"")*(L$2:L$201=L116)*(A$2:A$201&lt;A116))+1)</f>
        <v/>
      </c>
      <c r="N116" s="46" t="str" cm="1">
        <f t="array" aca="1" ref="N116" ca="1">IF(A116="","",SUMPRODUCT(((OFFSET(F$2,0,0,COUNTA('Mii List'!A$2:A$200),1)*I116+OFFSET(G$2,0,0,COUNTA('Mii List'!A$2:A$200),1)*J116+OFFSET(H$2,0,0,COUNTA('Mii List'!A$2:A$200),1)*K116)&gt;0)*((F116*OFFSET(I$2,0,0,COUNTA('Mii List'!A$2:A$200),1)+G116*OFFSET(J$2,0,0,COUNTA('Mii List'!A$2:A$200),1)+H116*OFFSET(K$2,0,0,COUNTA('Mii List'!A$2:A$200),1))&gt;0)*(ROW(OFFSET($A$2,0,0,COUNTA('Mii List'!A$2:A$200),1))&lt;&gt;ROW())*IF(OFFSET(L$2,0,0,COUNTA('Mii List'!A$2:A$200),1)&gt;0,1/OFFSET(L$2,0,0,COUNTA('Mii List'!A$2:A$200),1),0)))</f>
        <v/>
      </c>
      <c r="O116" s="46" t="str" cm="1">
        <f t="array" aca="1" ref="O116" ca="1">IF(A116="","",IF(L116=0,0,SUMPRODUCT(((OFFSET(F$2,0,0,COUNTA('Mii List'!A$2:A$200),1)*I116+OFFSET(G$2,0,0,COUNTA('Mii List'!A$2:A$200),1)*J116+OFFSET(H$2,0,0,COUNTA('Mii List'!A$2:A$200),1)*K116)&gt;0)*((F116*OFFSET(I$2,0,0,COUNTA('Mii List'!A$2:A$200),1)+G116*OFFSET(J$2,0,0,COUNTA('Mii List'!A$2:A$200),1)+H116*OFFSET(K$2,0,0,COUNTA('Mii List'!A$2:A$200),1))&gt;0)*(ROW(OFFSET($A$2,0,0,COUNTA('Mii List'!A$2:A$200),1))&lt;&gt;ROW())*OFFSET(L$2,0,0,COUNTA('Mii List'!A$2:A$200),1))/L116))</f>
        <v/>
      </c>
      <c r="P116" s="46" t="str">
        <f t="shared" si="13"/>
        <v/>
      </c>
    </row>
    <row r="117" spans="1:16" x14ac:dyDescent="0.35">
      <c r="A117" s="46" t="str" cm="1">
        <f t="array" ref="A117">IF(ROW()-1&gt;COUNTA('Mii List'!A$2:A$200),"",INDEX('Mii List'!A$2:A$200,ROW()-1))</f>
        <v/>
      </c>
      <c r="B117" s="46" t="str">
        <f>IF(A117="","",INDEX('Mii List'!B$2:B$200,MATCH(A117,'Mii List'!A$2:A$200,0)))</f>
        <v/>
      </c>
      <c r="C117" s="46" t="str">
        <f>IF(A117="","",INDEX('Mii List'!C$2:C$200,MATCH(A117,'Mii List'!A$2:A$200,0)))</f>
        <v/>
      </c>
      <c r="D117" s="46" t="str">
        <f>IF(A117="","",INDEX('Mii List'!D$2:D$200,MATCH(A117,'Mii List'!A$2:A$200,0)))</f>
        <v/>
      </c>
      <c r="E117" s="46" t="str">
        <f>IF(A117="","",INDEX('Mii List'!E$2:E$200,MATCH(A117,'Mii List'!A$2:A$200,0)))</f>
        <v/>
      </c>
      <c r="F117" s="46">
        <f t="shared" si="7"/>
        <v>0</v>
      </c>
      <c r="G117" s="46">
        <f t="shared" si="8"/>
        <v>0</v>
      </c>
      <c r="H117" s="46">
        <f t="shared" si="9"/>
        <v>0</v>
      </c>
      <c r="I117" s="46">
        <f t="shared" si="10"/>
        <v>0</v>
      </c>
      <c r="J117" s="46">
        <f t="shared" si="11"/>
        <v>0</v>
      </c>
      <c r="K117" s="46">
        <f t="shared" si="12"/>
        <v>0</v>
      </c>
      <c r="L117" s="46" cm="1">
        <f t="array" ref="L117">IF(A117="",0,SUMPRODUCT((A$2:A$201&lt;&gt;"")*((F$2:F$201*I117+G$2:G$201*J117+H$2:H$201*K117)&gt;0)*((F117*I$2:I$201+G117*J$2:J$201+H117*K$2:K$201)&gt;0))-IF(F117*I117+G117*J117+H117*K117&gt;0,1,0))</f>
        <v>0</v>
      </c>
      <c r="M117" s="46" t="str" cm="1">
        <f t="array" ref="M117">IF(A117="","",SUMPRODUCT((A$2:A$201&lt;&gt;"")*(L$2:L$201&lt;L117))+SUMPRODUCT((A$2:A$201&lt;&gt;"")*(L$2:L$201=L117)*(A$2:A$201&lt;A117))+1)</f>
        <v/>
      </c>
      <c r="N117" s="46" t="str" cm="1">
        <f t="array" aca="1" ref="N117" ca="1">IF(A117="","",SUMPRODUCT(((OFFSET(F$2,0,0,COUNTA('Mii List'!A$2:A$200),1)*I117+OFFSET(G$2,0,0,COUNTA('Mii List'!A$2:A$200),1)*J117+OFFSET(H$2,0,0,COUNTA('Mii List'!A$2:A$200),1)*K117)&gt;0)*((F117*OFFSET(I$2,0,0,COUNTA('Mii List'!A$2:A$200),1)+G117*OFFSET(J$2,0,0,COUNTA('Mii List'!A$2:A$200),1)+H117*OFFSET(K$2,0,0,COUNTA('Mii List'!A$2:A$200),1))&gt;0)*(ROW(OFFSET($A$2,0,0,COUNTA('Mii List'!A$2:A$200),1))&lt;&gt;ROW())*IF(OFFSET(L$2,0,0,COUNTA('Mii List'!A$2:A$200),1)&gt;0,1/OFFSET(L$2,0,0,COUNTA('Mii List'!A$2:A$200),1),0)))</f>
        <v/>
      </c>
      <c r="O117" s="46" t="str" cm="1">
        <f t="array" aca="1" ref="O117" ca="1">IF(A117="","",IF(L117=0,0,SUMPRODUCT(((OFFSET(F$2,0,0,COUNTA('Mii List'!A$2:A$200),1)*I117+OFFSET(G$2,0,0,COUNTA('Mii List'!A$2:A$200),1)*J117+OFFSET(H$2,0,0,COUNTA('Mii List'!A$2:A$200),1)*K117)&gt;0)*((F117*OFFSET(I$2,0,0,COUNTA('Mii List'!A$2:A$200),1)+G117*OFFSET(J$2,0,0,COUNTA('Mii List'!A$2:A$200),1)+H117*OFFSET(K$2,0,0,COUNTA('Mii List'!A$2:A$200),1))&gt;0)*(ROW(OFFSET($A$2,0,0,COUNTA('Mii List'!A$2:A$200),1))&lt;&gt;ROW())*OFFSET(L$2,0,0,COUNTA('Mii List'!A$2:A$200),1))/L117))</f>
        <v/>
      </c>
      <c r="P117" s="46" t="str">
        <f t="shared" si="13"/>
        <v/>
      </c>
    </row>
    <row r="118" spans="1:16" x14ac:dyDescent="0.35">
      <c r="A118" s="46" t="str" cm="1">
        <f t="array" ref="A118">IF(ROW()-1&gt;COUNTA('Mii List'!A$2:A$200),"",INDEX('Mii List'!A$2:A$200,ROW()-1))</f>
        <v/>
      </c>
      <c r="B118" s="46" t="str">
        <f>IF(A118="","",INDEX('Mii List'!B$2:B$200,MATCH(A118,'Mii List'!A$2:A$200,0)))</f>
        <v/>
      </c>
      <c r="C118" s="46" t="str">
        <f>IF(A118="","",INDEX('Mii List'!C$2:C$200,MATCH(A118,'Mii List'!A$2:A$200,0)))</f>
        <v/>
      </c>
      <c r="D118" s="46" t="str">
        <f>IF(A118="","",INDEX('Mii List'!D$2:D$200,MATCH(A118,'Mii List'!A$2:A$200,0)))</f>
        <v/>
      </c>
      <c r="E118" s="46" t="str">
        <f>IF(A118="","",INDEX('Mii List'!E$2:E$200,MATCH(A118,'Mii List'!A$2:A$200,0)))</f>
        <v/>
      </c>
      <c r="F118" s="46">
        <f t="shared" si="7"/>
        <v>0</v>
      </c>
      <c r="G118" s="46">
        <f t="shared" si="8"/>
        <v>0</v>
      </c>
      <c r="H118" s="46">
        <f t="shared" si="9"/>
        <v>0</v>
      </c>
      <c r="I118" s="46">
        <f t="shared" si="10"/>
        <v>0</v>
      </c>
      <c r="J118" s="46">
        <f t="shared" si="11"/>
        <v>0</v>
      </c>
      <c r="K118" s="46">
        <f t="shared" si="12"/>
        <v>0</v>
      </c>
      <c r="L118" s="46" cm="1">
        <f t="array" ref="L118">IF(A118="",0,SUMPRODUCT((A$2:A$201&lt;&gt;"")*((F$2:F$201*I118+G$2:G$201*J118+H$2:H$201*K118)&gt;0)*((F118*I$2:I$201+G118*J$2:J$201+H118*K$2:K$201)&gt;0))-IF(F118*I118+G118*J118+H118*K118&gt;0,1,0))</f>
        <v>0</v>
      </c>
      <c r="M118" s="46" t="str" cm="1">
        <f t="array" ref="M118">IF(A118="","",SUMPRODUCT((A$2:A$201&lt;&gt;"")*(L$2:L$201&lt;L118))+SUMPRODUCT((A$2:A$201&lt;&gt;"")*(L$2:L$201=L118)*(A$2:A$201&lt;A118))+1)</f>
        <v/>
      </c>
      <c r="N118" s="46" t="str" cm="1">
        <f t="array" aca="1" ref="N118" ca="1">IF(A118="","",SUMPRODUCT(((OFFSET(F$2,0,0,COUNTA('Mii List'!A$2:A$200),1)*I118+OFFSET(G$2,0,0,COUNTA('Mii List'!A$2:A$200),1)*J118+OFFSET(H$2,0,0,COUNTA('Mii List'!A$2:A$200),1)*K118)&gt;0)*((F118*OFFSET(I$2,0,0,COUNTA('Mii List'!A$2:A$200),1)+G118*OFFSET(J$2,0,0,COUNTA('Mii List'!A$2:A$200),1)+H118*OFFSET(K$2,0,0,COUNTA('Mii List'!A$2:A$200),1))&gt;0)*(ROW(OFFSET($A$2,0,0,COUNTA('Mii List'!A$2:A$200),1))&lt;&gt;ROW())*IF(OFFSET(L$2,0,0,COUNTA('Mii List'!A$2:A$200),1)&gt;0,1/OFFSET(L$2,0,0,COUNTA('Mii List'!A$2:A$200),1),0)))</f>
        <v/>
      </c>
      <c r="O118" s="46" t="str" cm="1">
        <f t="array" aca="1" ref="O118" ca="1">IF(A118="","",IF(L118=0,0,SUMPRODUCT(((OFFSET(F$2,0,0,COUNTA('Mii List'!A$2:A$200),1)*I118+OFFSET(G$2,0,0,COUNTA('Mii List'!A$2:A$200),1)*J118+OFFSET(H$2,0,0,COUNTA('Mii List'!A$2:A$200),1)*K118)&gt;0)*((F118*OFFSET(I$2,0,0,COUNTA('Mii List'!A$2:A$200),1)+G118*OFFSET(J$2,0,0,COUNTA('Mii List'!A$2:A$200),1)+H118*OFFSET(K$2,0,0,COUNTA('Mii List'!A$2:A$200),1))&gt;0)*(ROW(OFFSET($A$2,0,0,COUNTA('Mii List'!A$2:A$200),1))&lt;&gt;ROW())*OFFSET(L$2,0,0,COUNTA('Mii List'!A$2:A$200),1))/L118))</f>
        <v/>
      </c>
      <c r="P118" s="46" t="str">
        <f t="shared" si="13"/>
        <v/>
      </c>
    </row>
    <row r="119" spans="1:16" x14ac:dyDescent="0.35">
      <c r="A119" s="46" t="str" cm="1">
        <f t="array" ref="A119">IF(ROW()-1&gt;COUNTA('Mii List'!A$2:A$200),"",INDEX('Mii List'!A$2:A$200,ROW()-1))</f>
        <v/>
      </c>
      <c r="B119" s="46" t="str">
        <f>IF(A119="","",INDEX('Mii List'!B$2:B$200,MATCH(A119,'Mii List'!A$2:A$200,0)))</f>
        <v/>
      </c>
      <c r="C119" s="46" t="str">
        <f>IF(A119="","",INDEX('Mii List'!C$2:C$200,MATCH(A119,'Mii List'!A$2:A$200,0)))</f>
        <v/>
      </c>
      <c r="D119" s="46" t="str">
        <f>IF(A119="","",INDEX('Mii List'!D$2:D$200,MATCH(A119,'Mii List'!A$2:A$200,0)))</f>
        <v/>
      </c>
      <c r="E119" s="46" t="str">
        <f>IF(A119="","",INDEX('Mii List'!E$2:E$200,MATCH(A119,'Mii List'!A$2:A$200,0)))</f>
        <v/>
      </c>
      <c r="F119" s="46">
        <f t="shared" si="7"/>
        <v>0</v>
      </c>
      <c r="G119" s="46">
        <f t="shared" si="8"/>
        <v>0</v>
      </c>
      <c r="H119" s="46">
        <f t="shared" si="9"/>
        <v>0</v>
      </c>
      <c r="I119" s="46">
        <f t="shared" si="10"/>
        <v>0</v>
      </c>
      <c r="J119" s="46">
        <f t="shared" si="11"/>
        <v>0</v>
      </c>
      <c r="K119" s="46">
        <f t="shared" si="12"/>
        <v>0</v>
      </c>
      <c r="L119" s="46" cm="1">
        <f t="array" ref="L119">IF(A119="",0,SUMPRODUCT((A$2:A$201&lt;&gt;"")*((F$2:F$201*I119+G$2:G$201*J119+H$2:H$201*K119)&gt;0)*((F119*I$2:I$201+G119*J$2:J$201+H119*K$2:K$201)&gt;0))-IF(F119*I119+G119*J119+H119*K119&gt;0,1,0))</f>
        <v>0</v>
      </c>
      <c r="M119" s="46" t="str" cm="1">
        <f t="array" ref="M119">IF(A119="","",SUMPRODUCT((A$2:A$201&lt;&gt;"")*(L$2:L$201&lt;L119))+SUMPRODUCT((A$2:A$201&lt;&gt;"")*(L$2:L$201=L119)*(A$2:A$201&lt;A119))+1)</f>
        <v/>
      </c>
      <c r="N119" s="46" t="str" cm="1">
        <f t="array" aca="1" ref="N119" ca="1">IF(A119="","",SUMPRODUCT(((OFFSET(F$2,0,0,COUNTA('Mii List'!A$2:A$200),1)*I119+OFFSET(G$2,0,0,COUNTA('Mii List'!A$2:A$200),1)*J119+OFFSET(H$2,0,0,COUNTA('Mii List'!A$2:A$200),1)*K119)&gt;0)*((F119*OFFSET(I$2,0,0,COUNTA('Mii List'!A$2:A$200),1)+G119*OFFSET(J$2,0,0,COUNTA('Mii List'!A$2:A$200),1)+H119*OFFSET(K$2,0,0,COUNTA('Mii List'!A$2:A$200),1))&gt;0)*(ROW(OFFSET($A$2,0,0,COUNTA('Mii List'!A$2:A$200),1))&lt;&gt;ROW())*IF(OFFSET(L$2,0,0,COUNTA('Mii List'!A$2:A$200),1)&gt;0,1/OFFSET(L$2,0,0,COUNTA('Mii List'!A$2:A$200),1),0)))</f>
        <v/>
      </c>
      <c r="O119" s="46" t="str" cm="1">
        <f t="array" aca="1" ref="O119" ca="1">IF(A119="","",IF(L119=0,0,SUMPRODUCT(((OFFSET(F$2,0,0,COUNTA('Mii List'!A$2:A$200),1)*I119+OFFSET(G$2,0,0,COUNTA('Mii List'!A$2:A$200),1)*J119+OFFSET(H$2,0,0,COUNTA('Mii List'!A$2:A$200),1)*K119)&gt;0)*((F119*OFFSET(I$2,0,0,COUNTA('Mii List'!A$2:A$200),1)+G119*OFFSET(J$2,0,0,COUNTA('Mii List'!A$2:A$200),1)+H119*OFFSET(K$2,0,0,COUNTA('Mii List'!A$2:A$200),1))&gt;0)*(ROW(OFFSET($A$2,0,0,COUNTA('Mii List'!A$2:A$200),1))&lt;&gt;ROW())*OFFSET(L$2,0,0,COUNTA('Mii List'!A$2:A$200),1))/L119))</f>
        <v/>
      </c>
      <c r="P119" s="46" t="str">
        <f t="shared" si="13"/>
        <v/>
      </c>
    </row>
    <row r="120" spans="1:16" x14ac:dyDescent="0.35">
      <c r="A120" s="46" t="str" cm="1">
        <f t="array" ref="A120">IF(ROW()-1&gt;COUNTA('Mii List'!A$2:A$200),"",INDEX('Mii List'!A$2:A$200,ROW()-1))</f>
        <v/>
      </c>
      <c r="B120" s="46" t="str">
        <f>IF(A120="","",INDEX('Mii List'!B$2:B$200,MATCH(A120,'Mii List'!A$2:A$200,0)))</f>
        <v/>
      </c>
      <c r="C120" s="46" t="str">
        <f>IF(A120="","",INDEX('Mii List'!C$2:C$200,MATCH(A120,'Mii List'!A$2:A$200,0)))</f>
        <v/>
      </c>
      <c r="D120" s="46" t="str">
        <f>IF(A120="","",INDEX('Mii List'!D$2:D$200,MATCH(A120,'Mii List'!A$2:A$200,0)))</f>
        <v/>
      </c>
      <c r="E120" s="46" t="str">
        <f>IF(A120="","",INDEX('Mii List'!E$2:E$200,MATCH(A120,'Mii List'!A$2:A$200,0)))</f>
        <v/>
      </c>
      <c r="F120" s="46">
        <f t="shared" si="7"/>
        <v>0</v>
      </c>
      <c r="G120" s="46">
        <f t="shared" si="8"/>
        <v>0</v>
      </c>
      <c r="H120" s="46">
        <f t="shared" si="9"/>
        <v>0</v>
      </c>
      <c r="I120" s="46">
        <f t="shared" si="10"/>
        <v>0</v>
      </c>
      <c r="J120" s="46">
        <f t="shared" si="11"/>
        <v>0</v>
      </c>
      <c r="K120" s="46">
        <f t="shared" si="12"/>
        <v>0</v>
      </c>
      <c r="L120" s="46" cm="1">
        <f t="array" ref="L120">IF(A120="",0,SUMPRODUCT((A$2:A$201&lt;&gt;"")*((F$2:F$201*I120+G$2:G$201*J120+H$2:H$201*K120)&gt;0)*((F120*I$2:I$201+G120*J$2:J$201+H120*K$2:K$201)&gt;0))-IF(F120*I120+G120*J120+H120*K120&gt;0,1,0))</f>
        <v>0</v>
      </c>
      <c r="M120" s="46" t="str" cm="1">
        <f t="array" ref="M120">IF(A120="","",SUMPRODUCT((A$2:A$201&lt;&gt;"")*(L$2:L$201&lt;L120))+SUMPRODUCT((A$2:A$201&lt;&gt;"")*(L$2:L$201=L120)*(A$2:A$201&lt;A120))+1)</f>
        <v/>
      </c>
      <c r="N120" s="46" t="str" cm="1">
        <f t="array" aca="1" ref="N120" ca="1">IF(A120="","",SUMPRODUCT(((OFFSET(F$2,0,0,COUNTA('Mii List'!A$2:A$200),1)*I120+OFFSET(G$2,0,0,COUNTA('Mii List'!A$2:A$200),1)*J120+OFFSET(H$2,0,0,COUNTA('Mii List'!A$2:A$200),1)*K120)&gt;0)*((F120*OFFSET(I$2,0,0,COUNTA('Mii List'!A$2:A$200),1)+G120*OFFSET(J$2,0,0,COUNTA('Mii List'!A$2:A$200),1)+H120*OFFSET(K$2,0,0,COUNTA('Mii List'!A$2:A$200),1))&gt;0)*(ROW(OFFSET($A$2,0,0,COUNTA('Mii List'!A$2:A$200),1))&lt;&gt;ROW())*IF(OFFSET(L$2,0,0,COUNTA('Mii List'!A$2:A$200),1)&gt;0,1/OFFSET(L$2,0,0,COUNTA('Mii List'!A$2:A$200),1),0)))</f>
        <v/>
      </c>
      <c r="O120" s="46" t="str" cm="1">
        <f t="array" aca="1" ref="O120" ca="1">IF(A120="","",IF(L120=0,0,SUMPRODUCT(((OFFSET(F$2,0,0,COUNTA('Mii List'!A$2:A$200),1)*I120+OFFSET(G$2,0,0,COUNTA('Mii List'!A$2:A$200),1)*J120+OFFSET(H$2,0,0,COUNTA('Mii List'!A$2:A$200),1)*K120)&gt;0)*((F120*OFFSET(I$2,0,0,COUNTA('Mii List'!A$2:A$200),1)+G120*OFFSET(J$2,0,0,COUNTA('Mii List'!A$2:A$200),1)+H120*OFFSET(K$2,0,0,COUNTA('Mii List'!A$2:A$200),1))&gt;0)*(ROW(OFFSET($A$2,0,0,COUNTA('Mii List'!A$2:A$200),1))&lt;&gt;ROW())*OFFSET(L$2,0,0,COUNTA('Mii List'!A$2:A$200),1))/L120))</f>
        <v/>
      </c>
      <c r="P120" s="46" t="str">
        <f t="shared" si="13"/>
        <v/>
      </c>
    </row>
    <row r="121" spans="1:16" x14ac:dyDescent="0.35">
      <c r="A121" s="46" t="str" cm="1">
        <f t="array" ref="A121">IF(ROW()-1&gt;COUNTA('Mii List'!A$2:A$200),"",INDEX('Mii List'!A$2:A$200,ROW()-1))</f>
        <v/>
      </c>
      <c r="B121" s="46" t="str">
        <f>IF(A121="","",INDEX('Mii List'!B$2:B$200,MATCH(A121,'Mii List'!A$2:A$200,0)))</f>
        <v/>
      </c>
      <c r="C121" s="46" t="str">
        <f>IF(A121="","",INDEX('Mii List'!C$2:C$200,MATCH(A121,'Mii List'!A$2:A$200,0)))</f>
        <v/>
      </c>
      <c r="D121" s="46" t="str">
        <f>IF(A121="","",INDEX('Mii List'!D$2:D$200,MATCH(A121,'Mii List'!A$2:A$200,0)))</f>
        <v/>
      </c>
      <c r="E121" s="46" t="str">
        <f>IF(A121="","",INDEX('Mii List'!E$2:E$200,MATCH(A121,'Mii List'!A$2:A$200,0)))</f>
        <v/>
      </c>
      <c r="F121" s="46">
        <f t="shared" si="7"/>
        <v>0</v>
      </c>
      <c r="G121" s="46">
        <f t="shared" si="8"/>
        <v>0</v>
      </c>
      <c r="H121" s="46">
        <f t="shared" si="9"/>
        <v>0</v>
      </c>
      <c r="I121" s="46">
        <f t="shared" si="10"/>
        <v>0</v>
      </c>
      <c r="J121" s="46">
        <f t="shared" si="11"/>
        <v>0</v>
      </c>
      <c r="K121" s="46">
        <f t="shared" si="12"/>
        <v>0</v>
      </c>
      <c r="L121" s="46" cm="1">
        <f t="array" ref="L121">IF(A121="",0,SUMPRODUCT((A$2:A$201&lt;&gt;"")*((F$2:F$201*I121+G$2:G$201*J121+H$2:H$201*K121)&gt;0)*((F121*I$2:I$201+G121*J$2:J$201+H121*K$2:K$201)&gt;0))-IF(F121*I121+G121*J121+H121*K121&gt;0,1,0))</f>
        <v>0</v>
      </c>
      <c r="M121" s="46" t="str" cm="1">
        <f t="array" ref="M121">IF(A121="","",SUMPRODUCT((A$2:A$201&lt;&gt;"")*(L$2:L$201&lt;L121))+SUMPRODUCT((A$2:A$201&lt;&gt;"")*(L$2:L$201=L121)*(A$2:A$201&lt;A121))+1)</f>
        <v/>
      </c>
      <c r="N121" s="46" t="str" cm="1">
        <f t="array" aca="1" ref="N121" ca="1">IF(A121="","",SUMPRODUCT(((OFFSET(F$2,0,0,COUNTA('Mii List'!A$2:A$200),1)*I121+OFFSET(G$2,0,0,COUNTA('Mii List'!A$2:A$200),1)*J121+OFFSET(H$2,0,0,COUNTA('Mii List'!A$2:A$200),1)*K121)&gt;0)*((F121*OFFSET(I$2,0,0,COUNTA('Mii List'!A$2:A$200),1)+G121*OFFSET(J$2,0,0,COUNTA('Mii List'!A$2:A$200),1)+H121*OFFSET(K$2,0,0,COUNTA('Mii List'!A$2:A$200),1))&gt;0)*(ROW(OFFSET($A$2,0,0,COUNTA('Mii List'!A$2:A$200),1))&lt;&gt;ROW())*IF(OFFSET(L$2,0,0,COUNTA('Mii List'!A$2:A$200),1)&gt;0,1/OFFSET(L$2,0,0,COUNTA('Mii List'!A$2:A$200),1),0)))</f>
        <v/>
      </c>
      <c r="O121" s="46" t="str" cm="1">
        <f t="array" aca="1" ref="O121" ca="1">IF(A121="","",IF(L121=0,0,SUMPRODUCT(((OFFSET(F$2,0,0,COUNTA('Mii List'!A$2:A$200),1)*I121+OFFSET(G$2,0,0,COUNTA('Mii List'!A$2:A$200),1)*J121+OFFSET(H$2,0,0,COUNTA('Mii List'!A$2:A$200),1)*K121)&gt;0)*((F121*OFFSET(I$2,0,0,COUNTA('Mii List'!A$2:A$200),1)+G121*OFFSET(J$2,0,0,COUNTA('Mii List'!A$2:A$200),1)+H121*OFFSET(K$2,0,0,COUNTA('Mii List'!A$2:A$200),1))&gt;0)*(ROW(OFFSET($A$2,0,0,COUNTA('Mii List'!A$2:A$200),1))&lt;&gt;ROW())*OFFSET(L$2,0,0,COUNTA('Mii List'!A$2:A$200),1))/L121))</f>
        <v/>
      </c>
      <c r="P121" s="46" t="str">
        <f t="shared" si="13"/>
        <v/>
      </c>
    </row>
    <row r="122" spans="1:16" x14ac:dyDescent="0.35">
      <c r="A122" s="46" t="str" cm="1">
        <f t="array" ref="A122">IF(ROW()-1&gt;COUNTA('Mii List'!A$2:A$200),"",INDEX('Mii List'!A$2:A$200,ROW()-1))</f>
        <v/>
      </c>
      <c r="B122" s="46" t="str">
        <f>IF(A122="","",INDEX('Mii List'!B$2:B$200,MATCH(A122,'Mii List'!A$2:A$200,0)))</f>
        <v/>
      </c>
      <c r="C122" s="46" t="str">
        <f>IF(A122="","",INDEX('Mii List'!C$2:C$200,MATCH(A122,'Mii List'!A$2:A$200,0)))</f>
        <v/>
      </c>
      <c r="D122" s="46" t="str">
        <f>IF(A122="","",INDEX('Mii List'!D$2:D$200,MATCH(A122,'Mii List'!A$2:A$200,0)))</f>
        <v/>
      </c>
      <c r="E122" s="46" t="str">
        <f>IF(A122="","",INDEX('Mii List'!E$2:E$200,MATCH(A122,'Mii List'!A$2:A$200,0)))</f>
        <v/>
      </c>
      <c r="F122" s="46">
        <f t="shared" si="7"/>
        <v>0</v>
      </c>
      <c r="G122" s="46">
        <f t="shared" si="8"/>
        <v>0</v>
      </c>
      <c r="H122" s="46">
        <f t="shared" si="9"/>
        <v>0</v>
      </c>
      <c r="I122" s="46">
        <f t="shared" si="10"/>
        <v>0</v>
      </c>
      <c r="J122" s="46">
        <f t="shared" si="11"/>
        <v>0</v>
      </c>
      <c r="K122" s="46">
        <f t="shared" si="12"/>
        <v>0</v>
      </c>
      <c r="L122" s="46" cm="1">
        <f t="array" ref="L122">IF(A122="",0,SUMPRODUCT((A$2:A$201&lt;&gt;"")*((F$2:F$201*I122+G$2:G$201*J122+H$2:H$201*K122)&gt;0)*((F122*I$2:I$201+G122*J$2:J$201+H122*K$2:K$201)&gt;0))-IF(F122*I122+G122*J122+H122*K122&gt;0,1,0))</f>
        <v>0</v>
      </c>
      <c r="M122" s="46" t="str" cm="1">
        <f t="array" ref="M122">IF(A122="","",SUMPRODUCT((A$2:A$201&lt;&gt;"")*(L$2:L$201&lt;L122))+SUMPRODUCT((A$2:A$201&lt;&gt;"")*(L$2:L$201=L122)*(A$2:A$201&lt;A122))+1)</f>
        <v/>
      </c>
      <c r="N122" s="46" t="str" cm="1">
        <f t="array" aca="1" ref="N122" ca="1">IF(A122="","",SUMPRODUCT(((OFFSET(F$2,0,0,COUNTA('Mii List'!A$2:A$200),1)*I122+OFFSET(G$2,0,0,COUNTA('Mii List'!A$2:A$200),1)*J122+OFFSET(H$2,0,0,COUNTA('Mii List'!A$2:A$200),1)*K122)&gt;0)*((F122*OFFSET(I$2,0,0,COUNTA('Mii List'!A$2:A$200),1)+G122*OFFSET(J$2,0,0,COUNTA('Mii List'!A$2:A$200),1)+H122*OFFSET(K$2,0,0,COUNTA('Mii List'!A$2:A$200),1))&gt;0)*(ROW(OFFSET($A$2,0,0,COUNTA('Mii List'!A$2:A$200),1))&lt;&gt;ROW())*IF(OFFSET(L$2,0,0,COUNTA('Mii List'!A$2:A$200),1)&gt;0,1/OFFSET(L$2,0,0,COUNTA('Mii List'!A$2:A$200),1),0)))</f>
        <v/>
      </c>
      <c r="O122" s="46" t="str" cm="1">
        <f t="array" aca="1" ref="O122" ca="1">IF(A122="","",IF(L122=0,0,SUMPRODUCT(((OFFSET(F$2,0,0,COUNTA('Mii List'!A$2:A$200),1)*I122+OFFSET(G$2,0,0,COUNTA('Mii List'!A$2:A$200),1)*J122+OFFSET(H$2,0,0,COUNTA('Mii List'!A$2:A$200),1)*K122)&gt;0)*((F122*OFFSET(I$2,0,0,COUNTA('Mii List'!A$2:A$200),1)+G122*OFFSET(J$2,0,0,COUNTA('Mii List'!A$2:A$200),1)+H122*OFFSET(K$2,0,0,COUNTA('Mii List'!A$2:A$200),1))&gt;0)*(ROW(OFFSET($A$2,0,0,COUNTA('Mii List'!A$2:A$200),1))&lt;&gt;ROW())*OFFSET(L$2,0,0,COUNTA('Mii List'!A$2:A$200),1))/L122))</f>
        <v/>
      </c>
      <c r="P122" s="46" t="str">
        <f t="shared" si="13"/>
        <v/>
      </c>
    </row>
    <row r="123" spans="1:16" x14ac:dyDescent="0.35">
      <c r="A123" s="46" t="str" cm="1">
        <f t="array" ref="A123">IF(ROW()-1&gt;COUNTA('Mii List'!A$2:A$200),"",INDEX('Mii List'!A$2:A$200,ROW()-1))</f>
        <v/>
      </c>
      <c r="B123" s="46" t="str">
        <f>IF(A123="","",INDEX('Mii List'!B$2:B$200,MATCH(A123,'Mii List'!A$2:A$200,0)))</f>
        <v/>
      </c>
      <c r="C123" s="46" t="str">
        <f>IF(A123="","",INDEX('Mii List'!C$2:C$200,MATCH(A123,'Mii List'!A$2:A$200,0)))</f>
        <v/>
      </c>
      <c r="D123" s="46" t="str">
        <f>IF(A123="","",INDEX('Mii List'!D$2:D$200,MATCH(A123,'Mii List'!A$2:A$200,0)))</f>
        <v/>
      </c>
      <c r="E123" s="46" t="str">
        <f>IF(A123="","",INDEX('Mii List'!E$2:E$200,MATCH(A123,'Mii List'!A$2:A$200,0)))</f>
        <v/>
      </c>
      <c r="F123" s="46">
        <f t="shared" si="7"/>
        <v>0</v>
      </c>
      <c r="G123" s="46">
        <f t="shared" si="8"/>
        <v>0</v>
      </c>
      <c r="H123" s="46">
        <f t="shared" si="9"/>
        <v>0</v>
      </c>
      <c r="I123" s="46">
        <f t="shared" si="10"/>
        <v>0</v>
      </c>
      <c r="J123" s="46">
        <f t="shared" si="11"/>
        <v>0</v>
      </c>
      <c r="K123" s="46">
        <f t="shared" si="12"/>
        <v>0</v>
      </c>
      <c r="L123" s="46" cm="1">
        <f t="array" ref="L123">IF(A123="",0,SUMPRODUCT((A$2:A$201&lt;&gt;"")*((F$2:F$201*I123+G$2:G$201*J123+H$2:H$201*K123)&gt;0)*((F123*I$2:I$201+G123*J$2:J$201+H123*K$2:K$201)&gt;0))-IF(F123*I123+G123*J123+H123*K123&gt;0,1,0))</f>
        <v>0</v>
      </c>
      <c r="M123" s="46" t="str" cm="1">
        <f t="array" ref="M123">IF(A123="","",SUMPRODUCT((A$2:A$201&lt;&gt;"")*(L$2:L$201&lt;L123))+SUMPRODUCT((A$2:A$201&lt;&gt;"")*(L$2:L$201=L123)*(A$2:A$201&lt;A123))+1)</f>
        <v/>
      </c>
      <c r="N123" s="46" t="str" cm="1">
        <f t="array" aca="1" ref="N123" ca="1">IF(A123="","",SUMPRODUCT(((OFFSET(F$2,0,0,COUNTA('Mii List'!A$2:A$200),1)*I123+OFFSET(G$2,0,0,COUNTA('Mii List'!A$2:A$200),1)*J123+OFFSET(H$2,0,0,COUNTA('Mii List'!A$2:A$200),1)*K123)&gt;0)*((F123*OFFSET(I$2,0,0,COUNTA('Mii List'!A$2:A$200),1)+G123*OFFSET(J$2,0,0,COUNTA('Mii List'!A$2:A$200),1)+H123*OFFSET(K$2,0,0,COUNTA('Mii List'!A$2:A$200),1))&gt;0)*(ROW(OFFSET($A$2,0,0,COUNTA('Mii List'!A$2:A$200),1))&lt;&gt;ROW())*IF(OFFSET(L$2,0,0,COUNTA('Mii List'!A$2:A$200),1)&gt;0,1/OFFSET(L$2,0,0,COUNTA('Mii List'!A$2:A$200),1),0)))</f>
        <v/>
      </c>
      <c r="O123" s="46" t="str" cm="1">
        <f t="array" aca="1" ref="O123" ca="1">IF(A123="","",IF(L123=0,0,SUMPRODUCT(((OFFSET(F$2,0,0,COUNTA('Mii List'!A$2:A$200),1)*I123+OFFSET(G$2,0,0,COUNTA('Mii List'!A$2:A$200),1)*J123+OFFSET(H$2,0,0,COUNTA('Mii List'!A$2:A$200),1)*K123)&gt;0)*((F123*OFFSET(I$2,0,0,COUNTA('Mii List'!A$2:A$200),1)+G123*OFFSET(J$2,0,0,COUNTA('Mii List'!A$2:A$200),1)+H123*OFFSET(K$2,0,0,COUNTA('Mii List'!A$2:A$200),1))&gt;0)*(ROW(OFFSET($A$2,0,0,COUNTA('Mii List'!A$2:A$200),1))&lt;&gt;ROW())*OFFSET(L$2,0,0,COUNTA('Mii List'!A$2:A$200),1))/L123))</f>
        <v/>
      </c>
      <c r="P123" s="46" t="str">
        <f t="shared" si="13"/>
        <v/>
      </c>
    </row>
    <row r="124" spans="1:16" x14ac:dyDescent="0.35">
      <c r="A124" s="46" t="str" cm="1">
        <f t="array" ref="A124">IF(ROW()-1&gt;COUNTA('Mii List'!A$2:A$200),"",INDEX('Mii List'!A$2:A$200,ROW()-1))</f>
        <v/>
      </c>
      <c r="B124" s="46" t="str">
        <f>IF(A124="","",INDEX('Mii List'!B$2:B$200,MATCH(A124,'Mii List'!A$2:A$200,0)))</f>
        <v/>
      </c>
      <c r="C124" s="46" t="str">
        <f>IF(A124="","",INDEX('Mii List'!C$2:C$200,MATCH(A124,'Mii List'!A$2:A$200,0)))</f>
        <v/>
      </c>
      <c r="D124" s="46" t="str">
        <f>IF(A124="","",INDEX('Mii List'!D$2:D$200,MATCH(A124,'Mii List'!A$2:A$200,0)))</f>
        <v/>
      </c>
      <c r="E124" s="46" t="str">
        <f>IF(A124="","",INDEX('Mii List'!E$2:E$200,MATCH(A124,'Mii List'!A$2:A$200,0)))</f>
        <v/>
      </c>
      <c r="F124" s="46">
        <f t="shared" si="7"/>
        <v>0</v>
      </c>
      <c r="G124" s="46">
        <f t="shared" si="8"/>
        <v>0</v>
      </c>
      <c r="H124" s="46">
        <f t="shared" si="9"/>
        <v>0</v>
      </c>
      <c r="I124" s="46">
        <f t="shared" si="10"/>
        <v>0</v>
      </c>
      <c r="J124" s="46">
        <f t="shared" si="11"/>
        <v>0</v>
      </c>
      <c r="K124" s="46">
        <f t="shared" si="12"/>
        <v>0</v>
      </c>
      <c r="L124" s="46" cm="1">
        <f t="array" ref="L124">IF(A124="",0,SUMPRODUCT((A$2:A$201&lt;&gt;"")*((F$2:F$201*I124+G$2:G$201*J124+H$2:H$201*K124)&gt;0)*((F124*I$2:I$201+G124*J$2:J$201+H124*K$2:K$201)&gt;0))-IF(F124*I124+G124*J124+H124*K124&gt;0,1,0))</f>
        <v>0</v>
      </c>
      <c r="M124" s="46" t="str" cm="1">
        <f t="array" ref="M124">IF(A124="","",SUMPRODUCT((A$2:A$201&lt;&gt;"")*(L$2:L$201&lt;L124))+SUMPRODUCT((A$2:A$201&lt;&gt;"")*(L$2:L$201=L124)*(A$2:A$201&lt;A124))+1)</f>
        <v/>
      </c>
      <c r="N124" s="46" t="str" cm="1">
        <f t="array" aca="1" ref="N124" ca="1">IF(A124="","",SUMPRODUCT(((OFFSET(F$2,0,0,COUNTA('Mii List'!A$2:A$200),1)*I124+OFFSET(G$2,0,0,COUNTA('Mii List'!A$2:A$200),1)*J124+OFFSET(H$2,0,0,COUNTA('Mii List'!A$2:A$200),1)*K124)&gt;0)*((F124*OFFSET(I$2,0,0,COUNTA('Mii List'!A$2:A$200),1)+G124*OFFSET(J$2,0,0,COUNTA('Mii List'!A$2:A$200),1)+H124*OFFSET(K$2,0,0,COUNTA('Mii List'!A$2:A$200),1))&gt;0)*(ROW(OFFSET($A$2,0,0,COUNTA('Mii List'!A$2:A$200),1))&lt;&gt;ROW())*IF(OFFSET(L$2,0,0,COUNTA('Mii List'!A$2:A$200),1)&gt;0,1/OFFSET(L$2,0,0,COUNTA('Mii List'!A$2:A$200),1),0)))</f>
        <v/>
      </c>
      <c r="O124" s="46" t="str" cm="1">
        <f t="array" aca="1" ref="O124" ca="1">IF(A124="","",IF(L124=0,0,SUMPRODUCT(((OFFSET(F$2,0,0,COUNTA('Mii List'!A$2:A$200),1)*I124+OFFSET(G$2,0,0,COUNTA('Mii List'!A$2:A$200),1)*J124+OFFSET(H$2,0,0,COUNTA('Mii List'!A$2:A$200),1)*K124)&gt;0)*((F124*OFFSET(I$2,0,0,COUNTA('Mii List'!A$2:A$200),1)+G124*OFFSET(J$2,0,0,COUNTA('Mii List'!A$2:A$200),1)+H124*OFFSET(K$2,0,0,COUNTA('Mii List'!A$2:A$200),1))&gt;0)*(ROW(OFFSET($A$2,0,0,COUNTA('Mii List'!A$2:A$200),1))&lt;&gt;ROW())*OFFSET(L$2,0,0,COUNTA('Mii List'!A$2:A$200),1))/L124))</f>
        <v/>
      </c>
      <c r="P124" s="46" t="str">
        <f t="shared" si="13"/>
        <v/>
      </c>
    </row>
    <row r="125" spans="1:16" x14ac:dyDescent="0.35">
      <c r="A125" s="46" t="str" cm="1">
        <f t="array" ref="A125">IF(ROW()-1&gt;COUNTA('Mii List'!A$2:A$200),"",INDEX('Mii List'!A$2:A$200,ROW()-1))</f>
        <v/>
      </c>
      <c r="B125" s="46" t="str">
        <f>IF(A125="","",INDEX('Mii List'!B$2:B$200,MATCH(A125,'Mii List'!A$2:A$200,0)))</f>
        <v/>
      </c>
      <c r="C125" s="46" t="str">
        <f>IF(A125="","",INDEX('Mii List'!C$2:C$200,MATCH(A125,'Mii List'!A$2:A$200,0)))</f>
        <v/>
      </c>
      <c r="D125" s="46" t="str">
        <f>IF(A125="","",INDEX('Mii List'!D$2:D$200,MATCH(A125,'Mii List'!A$2:A$200,0)))</f>
        <v/>
      </c>
      <c r="E125" s="46" t="str">
        <f>IF(A125="","",INDEX('Mii List'!E$2:E$200,MATCH(A125,'Mii List'!A$2:A$200,0)))</f>
        <v/>
      </c>
      <c r="F125" s="46">
        <f t="shared" si="7"/>
        <v>0</v>
      </c>
      <c r="G125" s="46">
        <f t="shared" si="8"/>
        <v>0</v>
      </c>
      <c r="H125" s="46">
        <f t="shared" si="9"/>
        <v>0</v>
      </c>
      <c r="I125" s="46">
        <f t="shared" si="10"/>
        <v>0</v>
      </c>
      <c r="J125" s="46">
        <f t="shared" si="11"/>
        <v>0</v>
      </c>
      <c r="K125" s="46">
        <f t="shared" si="12"/>
        <v>0</v>
      </c>
      <c r="L125" s="46" cm="1">
        <f t="array" ref="L125">IF(A125="",0,SUMPRODUCT((A$2:A$201&lt;&gt;"")*((F$2:F$201*I125+G$2:G$201*J125+H$2:H$201*K125)&gt;0)*((F125*I$2:I$201+G125*J$2:J$201+H125*K$2:K$201)&gt;0))-IF(F125*I125+G125*J125+H125*K125&gt;0,1,0))</f>
        <v>0</v>
      </c>
      <c r="M125" s="46" t="str" cm="1">
        <f t="array" ref="M125">IF(A125="","",SUMPRODUCT((A$2:A$201&lt;&gt;"")*(L$2:L$201&lt;L125))+SUMPRODUCT((A$2:A$201&lt;&gt;"")*(L$2:L$201=L125)*(A$2:A$201&lt;A125))+1)</f>
        <v/>
      </c>
      <c r="N125" s="46" t="str" cm="1">
        <f t="array" aca="1" ref="N125" ca="1">IF(A125="","",SUMPRODUCT(((OFFSET(F$2,0,0,COUNTA('Mii List'!A$2:A$200),1)*I125+OFFSET(G$2,0,0,COUNTA('Mii List'!A$2:A$200),1)*J125+OFFSET(H$2,0,0,COUNTA('Mii List'!A$2:A$200),1)*K125)&gt;0)*((F125*OFFSET(I$2,0,0,COUNTA('Mii List'!A$2:A$200),1)+G125*OFFSET(J$2,0,0,COUNTA('Mii List'!A$2:A$200),1)+H125*OFFSET(K$2,0,0,COUNTA('Mii List'!A$2:A$200),1))&gt;0)*(ROW(OFFSET($A$2,0,0,COUNTA('Mii List'!A$2:A$200),1))&lt;&gt;ROW())*IF(OFFSET(L$2,0,0,COUNTA('Mii List'!A$2:A$200),1)&gt;0,1/OFFSET(L$2,0,0,COUNTA('Mii List'!A$2:A$200),1),0)))</f>
        <v/>
      </c>
      <c r="O125" s="46" t="str" cm="1">
        <f t="array" aca="1" ref="O125" ca="1">IF(A125="","",IF(L125=0,0,SUMPRODUCT(((OFFSET(F$2,0,0,COUNTA('Mii List'!A$2:A$200),1)*I125+OFFSET(G$2,0,0,COUNTA('Mii List'!A$2:A$200),1)*J125+OFFSET(H$2,0,0,COUNTA('Mii List'!A$2:A$200),1)*K125)&gt;0)*((F125*OFFSET(I$2,0,0,COUNTA('Mii List'!A$2:A$200),1)+G125*OFFSET(J$2,0,0,COUNTA('Mii List'!A$2:A$200),1)+H125*OFFSET(K$2,0,0,COUNTA('Mii List'!A$2:A$200),1))&gt;0)*(ROW(OFFSET($A$2,0,0,COUNTA('Mii List'!A$2:A$200),1))&lt;&gt;ROW())*OFFSET(L$2,0,0,COUNTA('Mii List'!A$2:A$200),1))/L125))</f>
        <v/>
      </c>
      <c r="P125" s="46" t="str">
        <f t="shared" si="13"/>
        <v/>
      </c>
    </row>
    <row r="126" spans="1:16" x14ac:dyDescent="0.35">
      <c r="A126" s="46" t="str" cm="1">
        <f t="array" ref="A126">IF(ROW()-1&gt;COUNTA('Mii List'!A$2:A$200),"",INDEX('Mii List'!A$2:A$200,ROW()-1))</f>
        <v/>
      </c>
      <c r="B126" s="46" t="str">
        <f>IF(A126="","",INDEX('Mii List'!B$2:B$200,MATCH(A126,'Mii List'!A$2:A$200,0)))</f>
        <v/>
      </c>
      <c r="C126" s="46" t="str">
        <f>IF(A126="","",INDEX('Mii List'!C$2:C$200,MATCH(A126,'Mii List'!A$2:A$200,0)))</f>
        <v/>
      </c>
      <c r="D126" s="46" t="str">
        <f>IF(A126="","",INDEX('Mii List'!D$2:D$200,MATCH(A126,'Mii List'!A$2:A$200,0)))</f>
        <v/>
      </c>
      <c r="E126" s="46" t="str">
        <f>IF(A126="","",INDEX('Mii List'!E$2:E$200,MATCH(A126,'Mii List'!A$2:A$200,0)))</f>
        <v/>
      </c>
      <c r="F126" s="46">
        <f t="shared" si="7"/>
        <v>0</v>
      </c>
      <c r="G126" s="46">
        <f t="shared" si="8"/>
        <v>0</v>
      </c>
      <c r="H126" s="46">
        <f t="shared" si="9"/>
        <v>0</v>
      </c>
      <c r="I126" s="46">
        <f t="shared" si="10"/>
        <v>0</v>
      </c>
      <c r="J126" s="46">
        <f t="shared" si="11"/>
        <v>0</v>
      </c>
      <c r="K126" s="46">
        <f t="shared" si="12"/>
        <v>0</v>
      </c>
      <c r="L126" s="46" cm="1">
        <f t="array" ref="L126">IF(A126="",0,SUMPRODUCT((A$2:A$201&lt;&gt;"")*((F$2:F$201*I126+G$2:G$201*J126+H$2:H$201*K126)&gt;0)*((F126*I$2:I$201+G126*J$2:J$201+H126*K$2:K$201)&gt;0))-IF(F126*I126+G126*J126+H126*K126&gt;0,1,0))</f>
        <v>0</v>
      </c>
      <c r="M126" s="46" t="str" cm="1">
        <f t="array" ref="M126">IF(A126="","",SUMPRODUCT((A$2:A$201&lt;&gt;"")*(L$2:L$201&lt;L126))+SUMPRODUCT((A$2:A$201&lt;&gt;"")*(L$2:L$201=L126)*(A$2:A$201&lt;A126))+1)</f>
        <v/>
      </c>
      <c r="N126" s="46" t="str" cm="1">
        <f t="array" aca="1" ref="N126" ca="1">IF(A126="","",SUMPRODUCT(((OFFSET(F$2,0,0,COUNTA('Mii List'!A$2:A$200),1)*I126+OFFSET(G$2,0,0,COUNTA('Mii List'!A$2:A$200),1)*J126+OFFSET(H$2,0,0,COUNTA('Mii List'!A$2:A$200),1)*K126)&gt;0)*((F126*OFFSET(I$2,0,0,COUNTA('Mii List'!A$2:A$200),1)+G126*OFFSET(J$2,0,0,COUNTA('Mii List'!A$2:A$200),1)+H126*OFFSET(K$2,0,0,COUNTA('Mii List'!A$2:A$200),1))&gt;0)*(ROW(OFFSET($A$2,0,0,COUNTA('Mii List'!A$2:A$200),1))&lt;&gt;ROW())*IF(OFFSET(L$2,0,0,COUNTA('Mii List'!A$2:A$200),1)&gt;0,1/OFFSET(L$2,0,0,COUNTA('Mii List'!A$2:A$200),1),0)))</f>
        <v/>
      </c>
      <c r="O126" s="46" t="str" cm="1">
        <f t="array" aca="1" ref="O126" ca="1">IF(A126="","",IF(L126=0,0,SUMPRODUCT(((OFFSET(F$2,0,0,COUNTA('Mii List'!A$2:A$200),1)*I126+OFFSET(G$2,0,0,COUNTA('Mii List'!A$2:A$200),1)*J126+OFFSET(H$2,0,0,COUNTA('Mii List'!A$2:A$200),1)*K126)&gt;0)*((F126*OFFSET(I$2,0,0,COUNTA('Mii List'!A$2:A$200),1)+G126*OFFSET(J$2,0,0,COUNTA('Mii List'!A$2:A$200),1)+H126*OFFSET(K$2,0,0,COUNTA('Mii List'!A$2:A$200),1))&gt;0)*(ROW(OFFSET($A$2,0,0,COUNTA('Mii List'!A$2:A$200),1))&lt;&gt;ROW())*OFFSET(L$2,0,0,COUNTA('Mii List'!A$2:A$200),1))/L126))</f>
        <v/>
      </c>
      <c r="P126" s="46" t="str">
        <f t="shared" si="13"/>
        <v/>
      </c>
    </row>
    <row r="127" spans="1:16" x14ac:dyDescent="0.35">
      <c r="A127" s="46" t="str" cm="1">
        <f t="array" ref="A127">IF(ROW()-1&gt;COUNTA('Mii List'!A$2:A$200),"",INDEX('Mii List'!A$2:A$200,ROW()-1))</f>
        <v/>
      </c>
      <c r="B127" s="46" t="str">
        <f>IF(A127="","",INDEX('Mii List'!B$2:B$200,MATCH(A127,'Mii List'!A$2:A$200,0)))</f>
        <v/>
      </c>
      <c r="C127" s="46" t="str">
        <f>IF(A127="","",INDEX('Mii List'!C$2:C$200,MATCH(A127,'Mii List'!A$2:A$200,0)))</f>
        <v/>
      </c>
      <c r="D127" s="46" t="str">
        <f>IF(A127="","",INDEX('Mii List'!D$2:D$200,MATCH(A127,'Mii List'!A$2:A$200,0)))</f>
        <v/>
      </c>
      <c r="E127" s="46" t="str">
        <f>IF(A127="","",INDEX('Mii List'!E$2:E$200,MATCH(A127,'Mii List'!A$2:A$200,0)))</f>
        <v/>
      </c>
      <c r="F127" s="46">
        <f t="shared" si="7"/>
        <v>0</v>
      </c>
      <c r="G127" s="46">
        <f t="shared" si="8"/>
        <v>0</v>
      </c>
      <c r="H127" s="46">
        <f t="shared" si="9"/>
        <v>0</v>
      </c>
      <c r="I127" s="46">
        <f t="shared" si="10"/>
        <v>0</v>
      </c>
      <c r="J127" s="46">
        <f t="shared" si="11"/>
        <v>0</v>
      </c>
      <c r="K127" s="46">
        <f t="shared" si="12"/>
        <v>0</v>
      </c>
      <c r="L127" s="46" cm="1">
        <f t="array" ref="L127">IF(A127="",0,SUMPRODUCT((A$2:A$201&lt;&gt;"")*((F$2:F$201*I127+G$2:G$201*J127+H$2:H$201*K127)&gt;0)*((F127*I$2:I$201+G127*J$2:J$201+H127*K$2:K$201)&gt;0))-IF(F127*I127+G127*J127+H127*K127&gt;0,1,0))</f>
        <v>0</v>
      </c>
      <c r="M127" s="46" t="str" cm="1">
        <f t="array" ref="M127">IF(A127="","",SUMPRODUCT((A$2:A$201&lt;&gt;"")*(L$2:L$201&lt;L127))+SUMPRODUCT((A$2:A$201&lt;&gt;"")*(L$2:L$201=L127)*(A$2:A$201&lt;A127))+1)</f>
        <v/>
      </c>
      <c r="N127" s="46" t="str" cm="1">
        <f t="array" aca="1" ref="N127" ca="1">IF(A127="","",SUMPRODUCT(((OFFSET(F$2,0,0,COUNTA('Mii List'!A$2:A$200),1)*I127+OFFSET(G$2,0,0,COUNTA('Mii List'!A$2:A$200),1)*J127+OFFSET(H$2,0,0,COUNTA('Mii List'!A$2:A$200),1)*K127)&gt;0)*((F127*OFFSET(I$2,0,0,COUNTA('Mii List'!A$2:A$200),1)+G127*OFFSET(J$2,0,0,COUNTA('Mii List'!A$2:A$200),1)+H127*OFFSET(K$2,0,0,COUNTA('Mii List'!A$2:A$200),1))&gt;0)*(ROW(OFFSET($A$2,0,0,COUNTA('Mii List'!A$2:A$200),1))&lt;&gt;ROW())*IF(OFFSET(L$2,0,0,COUNTA('Mii List'!A$2:A$200),1)&gt;0,1/OFFSET(L$2,0,0,COUNTA('Mii List'!A$2:A$200),1),0)))</f>
        <v/>
      </c>
      <c r="O127" s="46" t="str" cm="1">
        <f t="array" aca="1" ref="O127" ca="1">IF(A127="","",IF(L127=0,0,SUMPRODUCT(((OFFSET(F$2,0,0,COUNTA('Mii List'!A$2:A$200),1)*I127+OFFSET(G$2,0,0,COUNTA('Mii List'!A$2:A$200),1)*J127+OFFSET(H$2,0,0,COUNTA('Mii List'!A$2:A$200),1)*K127)&gt;0)*((F127*OFFSET(I$2,0,0,COUNTA('Mii List'!A$2:A$200),1)+G127*OFFSET(J$2,0,0,COUNTA('Mii List'!A$2:A$200),1)+H127*OFFSET(K$2,0,0,COUNTA('Mii List'!A$2:A$200),1))&gt;0)*(ROW(OFFSET($A$2,0,0,COUNTA('Mii List'!A$2:A$200),1))&lt;&gt;ROW())*OFFSET(L$2,0,0,COUNTA('Mii List'!A$2:A$200),1))/L127))</f>
        <v/>
      </c>
      <c r="P127" s="46" t="str">
        <f t="shared" si="13"/>
        <v/>
      </c>
    </row>
    <row r="128" spans="1:16" x14ac:dyDescent="0.35">
      <c r="A128" s="46" t="str" cm="1">
        <f t="array" ref="A128">IF(ROW()-1&gt;COUNTA('Mii List'!A$2:A$200),"",INDEX('Mii List'!A$2:A$200,ROW()-1))</f>
        <v/>
      </c>
      <c r="B128" s="46" t="str">
        <f>IF(A128="","",INDEX('Mii List'!B$2:B$200,MATCH(A128,'Mii List'!A$2:A$200,0)))</f>
        <v/>
      </c>
      <c r="C128" s="46" t="str">
        <f>IF(A128="","",INDEX('Mii List'!C$2:C$200,MATCH(A128,'Mii List'!A$2:A$200,0)))</f>
        <v/>
      </c>
      <c r="D128" s="46" t="str">
        <f>IF(A128="","",INDEX('Mii List'!D$2:D$200,MATCH(A128,'Mii List'!A$2:A$200,0)))</f>
        <v/>
      </c>
      <c r="E128" s="46" t="str">
        <f>IF(A128="","",INDEX('Mii List'!E$2:E$200,MATCH(A128,'Mii List'!A$2:A$200,0)))</f>
        <v/>
      </c>
      <c r="F128" s="46">
        <f t="shared" si="7"/>
        <v>0</v>
      </c>
      <c r="G128" s="46">
        <f t="shared" si="8"/>
        <v>0</v>
      </c>
      <c r="H128" s="46">
        <f t="shared" si="9"/>
        <v>0</v>
      </c>
      <c r="I128" s="46">
        <f t="shared" si="10"/>
        <v>0</v>
      </c>
      <c r="J128" s="46">
        <f t="shared" si="11"/>
        <v>0</v>
      </c>
      <c r="K128" s="46">
        <f t="shared" si="12"/>
        <v>0</v>
      </c>
      <c r="L128" s="46" cm="1">
        <f t="array" ref="L128">IF(A128="",0,SUMPRODUCT((A$2:A$201&lt;&gt;"")*((F$2:F$201*I128+G$2:G$201*J128+H$2:H$201*K128)&gt;0)*((F128*I$2:I$201+G128*J$2:J$201+H128*K$2:K$201)&gt;0))-IF(F128*I128+G128*J128+H128*K128&gt;0,1,0))</f>
        <v>0</v>
      </c>
      <c r="M128" s="46" t="str" cm="1">
        <f t="array" ref="M128">IF(A128="","",SUMPRODUCT((A$2:A$201&lt;&gt;"")*(L$2:L$201&lt;L128))+SUMPRODUCT((A$2:A$201&lt;&gt;"")*(L$2:L$201=L128)*(A$2:A$201&lt;A128))+1)</f>
        <v/>
      </c>
      <c r="N128" s="46" t="str" cm="1">
        <f t="array" aca="1" ref="N128" ca="1">IF(A128="","",SUMPRODUCT(((OFFSET(F$2,0,0,COUNTA('Mii List'!A$2:A$200),1)*I128+OFFSET(G$2,0,0,COUNTA('Mii List'!A$2:A$200),1)*J128+OFFSET(H$2,0,0,COUNTA('Mii List'!A$2:A$200),1)*K128)&gt;0)*((F128*OFFSET(I$2,0,0,COUNTA('Mii List'!A$2:A$200),1)+G128*OFFSET(J$2,0,0,COUNTA('Mii List'!A$2:A$200),1)+H128*OFFSET(K$2,0,0,COUNTA('Mii List'!A$2:A$200),1))&gt;0)*(ROW(OFFSET($A$2,0,0,COUNTA('Mii List'!A$2:A$200),1))&lt;&gt;ROW())*IF(OFFSET(L$2,0,0,COUNTA('Mii List'!A$2:A$200),1)&gt;0,1/OFFSET(L$2,0,0,COUNTA('Mii List'!A$2:A$200),1),0)))</f>
        <v/>
      </c>
      <c r="O128" s="46" t="str" cm="1">
        <f t="array" aca="1" ref="O128" ca="1">IF(A128="","",IF(L128=0,0,SUMPRODUCT(((OFFSET(F$2,0,0,COUNTA('Mii List'!A$2:A$200),1)*I128+OFFSET(G$2,0,0,COUNTA('Mii List'!A$2:A$200),1)*J128+OFFSET(H$2,0,0,COUNTA('Mii List'!A$2:A$200),1)*K128)&gt;0)*((F128*OFFSET(I$2,0,0,COUNTA('Mii List'!A$2:A$200),1)+G128*OFFSET(J$2,0,0,COUNTA('Mii List'!A$2:A$200),1)+H128*OFFSET(K$2,0,0,COUNTA('Mii List'!A$2:A$200),1))&gt;0)*(ROW(OFFSET($A$2,0,0,COUNTA('Mii List'!A$2:A$200),1))&lt;&gt;ROW())*OFFSET(L$2,0,0,COUNTA('Mii List'!A$2:A$200),1))/L128))</f>
        <v/>
      </c>
      <c r="P128" s="46" t="str">
        <f t="shared" si="13"/>
        <v/>
      </c>
    </row>
    <row r="129" spans="1:16" x14ac:dyDescent="0.35">
      <c r="A129" s="46" t="str" cm="1">
        <f t="array" ref="A129">IF(ROW()-1&gt;COUNTA('Mii List'!A$2:A$200),"",INDEX('Mii List'!A$2:A$200,ROW()-1))</f>
        <v/>
      </c>
      <c r="B129" s="46" t="str">
        <f>IF(A129="","",INDEX('Mii List'!B$2:B$200,MATCH(A129,'Mii List'!A$2:A$200,0)))</f>
        <v/>
      </c>
      <c r="C129" s="46" t="str">
        <f>IF(A129="","",INDEX('Mii List'!C$2:C$200,MATCH(A129,'Mii List'!A$2:A$200,0)))</f>
        <v/>
      </c>
      <c r="D129" s="46" t="str">
        <f>IF(A129="","",INDEX('Mii List'!D$2:D$200,MATCH(A129,'Mii List'!A$2:A$200,0)))</f>
        <v/>
      </c>
      <c r="E129" s="46" t="str">
        <f>IF(A129="","",INDEX('Mii List'!E$2:E$200,MATCH(A129,'Mii List'!A$2:A$200,0)))</f>
        <v/>
      </c>
      <c r="F129" s="46">
        <f t="shared" si="7"/>
        <v>0</v>
      </c>
      <c r="G129" s="46">
        <f t="shared" si="8"/>
        <v>0</v>
      </c>
      <c r="H129" s="46">
        <f t="shared" si="9"/>
        <v>0</v>
      </c>
      <c r="I129" s="46">
        <f t="shared" si="10"/>
        <v>0</v>
      </c>
      <c r="J129" s="46">
        <f t="shared" si="11"/>
        <v>0</v>
      </c>
      <c r="K129" s="46">
        <f t="shared" si="12"/>
        <v>0</v>
      </c>
      <c r="L129" s="46" cm="1">
        <f t="array" ref="L129">IF(A129="",0,SUMPRODUCT((A$2:A$201&lt;&gt;"")*((F$2:F$201*I129+G$2:G$201*J129+H$2:H$201*K129)&gt;0)*((F129*I$2:I$201+G129*J$2:J$201+H129*K$2:K$201)&gt;0))-IF(F129*I129+G129*J129+H129*K129&gt;0,1,0))</f>
        <v>0</v>
      </c>
      <c r="M129" s="46" t="str" cm="1">
        <f t="array" ref="M129">IF(A129="","",SUMPRODUCT((A$2:A$201&lt;&gt;"")*(L$2:L$201&lt;L129))+SUMPRODUCT((A$2:A$201&lt;&gt;"")*(L$2:L$201=L129)*(A$2:A$201&lt;A129))+1)</f>
        <v/>
      </c>
      <c r="N129" s="46" t="str" cm="1">
        <f t="array" aca="1" ref="N129" ca="1">IF(A129="","",SUMPRODUCT(((OFFSET(F$2,0,0,COUNTA('Mii List'!A$2:A$200),1)*I129+OFFSET(G$2,0,0,COUNTA('Mii List'!A$2:A$200),1)*J129+OFFSET(H$2,0,0,COUNTA('Mii List'!A$2:A$200),1)*K129)&gt;0)*((F129*OFFSET(I$2,0,0,COUNTA('Mii List'!A$2:A$200),1)+G129*OFFSET(J$2,0,0,COUNTA('Mii List'!A$2:A$200),1)+H129*OFFSET(K$2,0,0,COUNTA('Mii List'!A$2:A$200),1))&gt;0)*(ROW(OFFSET($A$2,0,0,COUNTA('Mii List'!A$2:A$200),1))&lt;&gt;ROW())*IF(OFFSET(L$2,0,0,COUNTA('Mii List'!A$2:A$200),1)&gt;0,1/OFFSET(L$2,0,0,COUNTA('Mii List'!A$2:A$200),1),0)))</f>
        <v/>
      </c>
      <c r="O129" s="46" t="str" cm="1">
        <f t="array" aca="1" ref="O129" ca="1">IF(A129="","",IF(L129=0,0,SUMPRODUCT(((OFFSET(F$2,0,0,COUNTA('Mii List'!A$2:A$200),1)*I129+OFFSET(G$2,0,0,COUNTA('Mii List'!A$2:A$200),1)*J129+OFFSET(H$2,0,0,COUNTA('Mii List'!A$2:A$200),1)*K129)&gt;0)*((F129*OFFSET(I$2,0,0,COUNTA('Mii List'!A$2:A$200),1)+G129*OFFSET(J$2,0,0,COUNTA('Mii List'!A$2:A$200),1)+H129*OFFSET(K$2,0,0,COUNTA('Mii List'!A$2:A$200),1))&gt;0)*(ROW(OFFSET($A$2,0,0,COUNTA('Mii List'!A$2:A$200),1))&lt;&gt;ROW())*OFFSET(L$2,0,0,COUNTA('Mii List'!A$2:A$200),1))/L129))</f>
        <v/>
      </c>
      <c r="P129" s="46" t="str">
        <f t="shared" si="13"/>
        <v/>
      </c>
    </row>
    <row r="130" spans="1:16" x14ac:dyDescent="0.35">
      <c r="A130" s="46" t="str" cm="1">
        <f t="array" ref="A130">IF(ROW()-1&gt;COUNTA('Mii List'!A$2:A$200),"",INDEX('Mii List'!A$2:A$200,ROW()-1))</f>
        <v/>
      </c>
      <c r="B130" s="46" t="str">
        <f>IF(A130="","",INDEX('Mii List'!B$2:B$200,MATCH(A130,'Mii List'!A$2:A$200,0)))</f>
        <v/>
      </c>
      <c r="C130" s="46" t="str">
        <f>IF(A130="","",INDEX('Mii List'!C$2:C$200,MATCH(A130,'Mii List'!A$2:A$200,0)))</f>
        <v/>
      </c>
      <c r="D130" s="46" t="str">
        <f>IF(A130="","",INDEX('Mii List'!D$2:D$200,MATCH(A130,'Mii List'!A$2:A$200,0)))</f>
        <v/>
      </c>
      <c r="E130" s="46" t="str">
        <f>IF(A130="","",INDEX('Mii List'!E$2:E$200,MATCH(A130,'Mii List'!A$2:A$200,0)))</f>
        <v/>
      </c>
      <c r="F130" s="46">
        <f t="shared" si="7"/>
        <v>0</v>
      </c>
      <c r="G130" s="46">
        <f t="shared" si="8"/>
        <v>0</v>
      </c>
      <c r="H130" s="46">
        <f t="shared" si="9"/>
        <v>0</v>
      </c>
      <c r="I130" s="46">
        <f t="shared" si="10"/>
        <v>0</v>
      </c>
      <c r="J130" s="46">
        <f t="shared" si="11"/>
        <v>0</v>
      </c>
      <c r="K130" s="46">
        <f t="shared" si="12"/>
        <v>0</v>
      </c>
      <c r="L130" s="46" cm="1">
        <f t="array" ref="L130">IF(A130="",0,SUMPRODUCT((A$2:A$201&lt;&gt;"")*((F$2:F$201*I130+G$2:G$201*J130+H$2:H$201*K130)&gt;0)*((F130*I$2:I$201+G130*J$2:J$201+H130*K$2:K$201)&gt;0))-IF(F130*I130+G130*J130+H130*K130&gt;0,1,0))</f>
        <v>0</v>
      </c>
      <c r="M130" s="46" t="str" cm="1">
        <f t="array" ref="M130">IF(A130="","",SUMPRODUCT((A$2:A$201&lt;&gt;"")*(L$2:L$201&lt;L130))+SUMPRODUCT((A$2:A$201&lt;&gt;"")*(L$2:L$201=L130)*(A$2:A$201&lt;A130))+1)</f>
        <v/>
      </c>
      <c r="N130" s="46" t="str" cm="1">
        <f t="array" aca="1" ref="N130" ca="1">IF(A130="","",SUMPRODUCT(((OFFSET(F$2,0,0,COUNTA('Mii List'!A$2:A$200),1)*I130+OFFSET(G$2,0,0,COUNTA('Mii List'!A$2:A$200),1)*J130+OFFSET(H$2,0,0,COUNTA('Mii List'!A$2:A$200),1)*K130)&gt;0)*((F130*OFFSET(I$2,0,0,COUNTA('Mii List'!A$2:A$200),1)+G130*OFFSET(J$2,0,0,COUNTA('Mii List'!A$2:A$200),1)+H130*OFFSET(K$2,0,0,COUNTA('Mii List'!A$2:A$200),1))&gt;0)*(ROW(OFFSET($A$2,0,0,COUNTA('Mii List'!A$2:A$200),1))&lt;&gt;ROW())*IF(OFFSET(L$2,0,0,COUNTA('Mii List'!A$2:A$200),1)&gt;0,1/OFFSET(L$2,0,0,COUNTA('Mii List'!A$2:A$200),1),0)))</f>
        <v/>
      </c>
      <c r="O130" s="46" t="str" cm="1">
        <f t="array" aca="1" ref="O130" ca="1">IF(A130="","",IF(L130=0,0,SUMPRODUCT(((OFFSET(F$2,0,0,COUNTA('Mii List'!A$2:A$200),1)*I130+OFFSET(G$2,0,0,COUNTA('Mii List'!A$2:A$200),1)*J130+OFFSET(H$2,0,0,COUNTA('Mii List'!A$2:A$200),1)*K130)&gt;0)*((F130*OFFSET(I$2,0,0,COUNTA('Mii List'!A$2:A$200),1)+G130*OFFSET(J$2,0,0,COUNTA('Mii List'!A$2:A$200),1)+H130*OFFSET(K$2,0,0,COUNTA('Mii List'!A$2:A$200),1))&gt;0)*(ROW(OFFSET($A$2,0,0,COUNTA('Mii List'!A$2:A$200),1))&lt;&gt;ROW())*OFFSET(L$2,0,0,COUNTA('Mii List'!A$2:A$200),1))/L130))</f>
        <v/>
      </c>
      <c r="P130" s="46" t="str">
        <f t="shared" si="13"/>
        <v/>
      </c>
    </row>
    <row r="131" spans="1:16" x14ac:dyDescent="0.35">
      <c r="A131" s="46" t="str" cm="1">
        <f t="array" ref="A131">IF(ROW()-1&gt;COUNTA('Mii List'!A$2:A$200),"",INDEX('Mii List'!A$2:A$200,ROW()-1))</f>
        <v/>
      </c>
      <c r="B131" s="46" t="str">
        <f>IF(A131="","",INDEX('Mii List'!B$2:B$200,MATCH(A131,'Mii List'!A$2:A$200,0)))</f>
        <v/>
      </c>
      <c r="C131" s="46" t="str">
        <f>IF(A131="","",INDEX('Mii List'!C$2:C$200,MATCH(A131,'Mii List'!A$2:A$200,0)))</f>
        <v/>
      </c>
      <c r="D131" s="46" t="str">
        <f>IF(A131="","",INDEX('Mii List'!D$2:D$200,MATCH(A131,'Mii List'!A$2:A$200,0)))</f>
        <v/>
      </c>
      <c r="E131" s="46" t="str">
        <f>IF(A131="","",INDEX('Mii List'!E$2:E$200,MATCH(A131,'Mii List'!A$2:A$200,0)))</f>
        <v/>
      </c>
      <c r="F131" s="46">
        <f t="shared" ref="F131:F194" si="14">IF(A131="",0,(C131="✓")*1)</f>
        <v>0</v>
      </c>
      <c r="G131" s="46">
        <f t="shared" ref="G131:G194" si="15">IF(A131="",0,(D131="✓")*1)</f>
        <v>0</v>
      </c>
      <c r="H131" s="46">
        <f t="shared" ref="H131:H194" si="16">IF(A131="",0,(E131="✓")*1)</f>
        <v>0</v>
      </c>
      <c r="I131" s="46">
        <f t="shared" ref="I131:I194" si="17">IF(A131="",0,(B131="Male")*1)</f>
        <v>0</v>
      </c>
      <c r="J131" s="46">
        <f t="shared" ref="J131:J194" si="18">IF(A131="",0,(B131="Female")*1)</f>
        <v>0</v>
      </c>
      <c r="K131" s="46">
        <f t="shared" ref="K131:K194" si="19">IF(A131="",0,(B131="Nonbinary")*1)</f>
        <v>0</v>
      </c>
      <c r="L131" s="46" cm="1">
        <f t="array" ref="L131">IF(A131="",0,SUMPRODUCT((A$2:A$201&lt;&gt;"")*((F$2:F$201*I131+G$2:G$201*J131+H$2:H$201*K131)&gt;0)*((F131*I$2:I$201+G131*J$2:J$201+H131*K$2:K$201)&gt;0))-IF(F131*I131+G131*J131+H131*K131&gt;0,1,0))</f>
        <v>0</v>
      </c>
      <c r="M131" s="46" t="str" cm="1">
        <f t="array" ref="M131">IF(A131="","",SUMPRODUCT((A$2:A$201&lt;&gt;"")*(L$2:L$201&lt;L131))+SUMPRODUCT((A$2:A$201&lt;&gt;"")*(L$2:L$201=L131)*(A$2:A$201&lt;A131))+1)</f>
        <v/>
      </c>
      <c r="N131" s="46" t="str" cm="1">
        <f t="array" aca="1" ref="N131" ca="1">IF(A131="","",SUMPRODUCT(((OFFSET(F$2,0,0,COUNTA('Mii List'!A$2:A$200),1)*I131+OFFSET(G$2,0,0,COUNTA('Mii List'!A$2:A$200),1)*J131+OFFSET(H$2,0,0,COUNTA('Mii List'!A$2:A$200),1)*K131)&gt;0)*((F131*OFFSET(I$2,0,0,COUNTA('Mii List'!A$2:A$200),1)+G131*OFFSET(J$2,0,0,COUNTA('Mii List'!A$2:A$200),1)+H131*OFFSET(K$2,0,0,COUNTA('Mii List'!A$2:A$200),1))&gt;0)*(ROW(OFFSET($A$2,0,0,COUNTA('Mii List'!A$2:A$200),1))&lt;&gt;ROW())*IF(OFFSET(L$2,0,0,COUNTA('Mii List'!A$2:A$200),1)&gt;0,1/OFFSET(L$2,0,0,COUNTA('Mii List'!A$2:A$200),1),0)))</f>
        <v/>
      </c>
      <c r="O131" s="46" t="str" cm="1">
        <f t="array" aca="1" ref="O131" ca="1">IF(A131="","",IF(L131=0,0,SUMPRODUCT(((OFFSET(F$2,0,0,COUNTA('Mii List'!A$2:A$200),1)*I131+OFFSET(G$2,0,0,COUNTA('Mii List'!A$2:A$200),1)*J131+OFFSET(H$2,0,0,COUNTA('Mii List'!A$2:A$200),1)*K131)&gt;0)*((F131*OFFSET(I$2,0,0,COUNTA('Mii List'!A$2:A$200),1)+G131*OFFSET(J$2,0,0,COUNTA('Mii List'!A$2:A$200),1)+H131*OFFSET(K$2,0,0,COUNTA('Mii List'!A$2:A$200),1))&gt;0)*(ROW(OFFSET($A$2,0,0,COUNTA('Mii List'!A$2:A$200),1))&lt;&gt;ROW())*OFFSET(L$2,0,0,COUNTA('Mii List'!A$2:A$200),1))/L131))</f>
        <v/>
      </c>
      <c r="P131" s="46" t="str">
        <f t="shared" ref="P131:P194" si="20">IF(A131="","",IF(L131*O131&gt;0,MIN(1,L131/O131),0))</f>
        <v/>
      </c>
    </row>
    <row r="132" spans="1:16" x14ac:dyDescent="0.35">
      <c r="A132" s="46" t="str" cm="1">
        <f t="array" ref="A132">IF(ROW()-1&gt;COUNTA('Mii List'!A$2:A$200),"",INDEX('Mii List'!A$2:A$200,ROW()-1))</f>
        <v/>
      </c>
      <c r="B132" s="46" t="str">
        <f>IF(A132="","",INDEX('Mii List'!B$2:B$200,MATCH(A132,'Mii List'!A$2:A$200,0)))</f>
        <v/>
      </c>
      <c r="C132" s="46" t="str">
        <f>IF(A132="","",INDEX('Mii List'!C$2:C$200,MATCH(A132,'Mii List'!A$2:A$200,0)))</f>
        <v/>
      </c>
      <c r="D132" s="46" t="str">
        <f>IF(A132="","",INDEX('Mii List'!D$2:D$200,MATCH(A132,'Mii List'!A$2:A$200,0)))</f>
        <v/>
      </c>
      <c r="E132" s="46" t="str">
        <f>IF(A132="","",INDEX('Mii List'!E$2:E$200,MATCH(A132,'Mii List'!A$2:A$200,0)))</f>
        <v/>
      </c>
      <c r="F132" s="46">
        <f t="shared" si="14"/>
        <v>0</v>
      </c>
      <c r="G132" s="46">
        <f t="shared" si="15"/>
        <v>0</v>
      </c>
      <c r="H132" s="46">
        <f t="shared" si="16"/>
        <v>0</v>
      </c>
      <c r="I132" s="46">
        <f t="shared" si="17"/>
        <v>0</v>
      </c>
      <c r="J132" s="46">
        <f t="shared" si="18"/>
        <v>0</v>
      </c>
      <c r="K132" s="46">
        <f t="shared" si="19"/>
        <v>0</v>
      </c>
      <c r="L132" s="46" cm="1">
        <f t="array" ref="L132">IF(A132="",0,SUMPRODUCT((A$2:A$201&lt;&gt;"")*((F$2:F$201*I132+G$2:G$201*J132+H$2:H$201*K132)&gt;0)*((F132*I$2:I$201+G132*J$2:J$201+H132*K$2:K$201)&gt;0))-IF(F132*I132+G132*J132+H132*K132&gt;0,1,0))</f>
        <v>0</v>
      </c>
      <c r="M132" s="46" t="str" cm="1">
        <f t="array" ref="M132">IF(A132="","",SUMPRODUCT((A$2:A$201&lt;&gt;"")*(L$2:L$201&lt;L132))+SUMPRODUCT((A$2:A$201&lt;&gt;"")*(L$2:L$201=L132)*(A$2:A$201&lt;A132))+1)</f>
        <v/>
      </c>
      <c r="N132" s="46" t="str" cm="1">
        <f t="array" aca="1" ref="N132" ca="1">IF(A132="","",SUMPRODUCT(((OFFSET(F$2,0,0,COUNTA('Mii List'!A$2:A$200),1)*I132+OFFSET(G$2,0,0,COUNTA('Mii List'!A$2:A$200),1)*J132+OFFSET(H$2,0,0,COUNTA('Mii List'!A$2:A$200),1)*K132)&gt;0)*((F132*OFFSET(I$2,0,0,COUNTA('Mii List'!A$2:A$200),1)+G132*OFFSET(J$2,0,0,COUNTA('Mii List'!A$2:A$200),1)+H132*OFFSET(K$2,0,0,COUNTA('Mii List'!A$2:A$200),1))&gt;0)*(ROW(OFFSET($A$2,0,0,COUNTA('Mii List'!A$2:A$200),1))&lt;&gt;ROW())*IF(OFFSET(L$2,0,0,COUNTA('Mii List'!A$2:A$200),1)&gt;0,1/OFFSET(L$2,0,0,COUNTA('Mii List'!A$2:A$200),1),0)))</f>
        <v/>
      </c>
      <c r="O132" s="46" t="str" cm="1">
        <f t="array" aca="1" ref="O132" ca="1">IF(A132="","",IF(L132=0,0,SUMPRODUCT(((OFFSET(F$2,0,0,COUNTA('Mii List'!A$2:A$200),1)*I132+OFFSET(G$2,0,0,COUNTA('Mii List'!A$2:A$200),1)*J132+OFFSET(H$2,0,0,COUNTA('Mii List'!A$2:A$200),1)*K132)&gt;0)*((F132*OFFSET(I$2,0,0,COUNTA('Mii List'!A$2:A$200),1)+G132*OFFSET(J$2,0,0,COUNTA('Mii List'!A$2:A$200),1)+H132*OFFSET(K$2,0,0,COUNTA('Mii List'!A$2:A$200),1))&gt;0)*(ROW(OFFSET($A$2,0,0,COUNTA('Mii List'!A$2:A$200),1))&lt;&gt;ROW())*OFFSET(L$2,0,0,COUNTA('Mii List'!A$2:A$200),1))/L132))</f>
        <v/>
      </c>
      <c r="P132" s="46" t="str">
        <f t="shared" si="20"/>
        <v/>
      </c>
    </row>
    <row r="133" spans="1:16" x14ac:dyDescent="0.35">
      <c r="A133" s="46" t="str" cm="1">
        <f t="array" ref="A133">IF(ROW()-1&gt;COUNTA('Mii List'!A$2:A$200),"",INDEX('Mii List'!A$2:A$200,ROW()-1))</f>
        <v/>
      </c>
      <c r="B133" s="46" t="str">
        <f>IF(A133="","",INDEX('Mii List'!B$2:B$200,MATCH(A133,'Mii List'!A$2:A$200,0)))</f>
        <v/>
      </c>
      <c r="C133" s="46" t="str">
        <f>IF(A133="","",INDEX('Mii List'!C$2:C$200,MATCH(A133,'Mii List'!A$2:A$200,0)))</f>
        <v/>
      </c>
      <c r="D133" s="46" t="str">
        <f>IF(A133="","",INDEX('Mii List'!D$2:D$200,MATCH(A133,'Mii List'!A$2:A$200,0)))</f>
        <v/>
      </c>
      <c r="E133" s="46" t="str">
        <f>IF(A133="","",INDEX('Mii List'!E$2:E$200,MATCH(A133,'Mii List'!A$2:A$200,0)))</f>
        <v/>
      </c>
      <c r="F133" s="46">
        <f t="shared" si="14"/>
        <v>0</v>
      </c>
      <c r="G133" s="46">
        <f t="shared" si="15"/>
        <v>0</v>
      </c>
      <c r="H133" s="46">
        <f t="shared" si="16"/>
        <v>0</v>
      </c>
      <c r="I133" s="46">
        <f t="shared" si="17"/>
        <v>0</v>
      </c>
      <c r="J133" s="46">
        <f t="shared" si="18"/>
        <v>0</v>
      </c>
      <c r="K133" s="46">
        <f t="shared" si="19"/>
        <v>0</v>
      </c>
      <c r="L133" s="46" cm="1">
        <f t="array" ref="L133">IF(A133="",0,SUMPRODUCT((A$2:A$201&lt;&gt;"")*((F$2:F$201*I133+G$2:G$201*J133+H$2:H$201*K133)&gt;0)*((F133*I$2:I$201+G133*J$2:J$201+H133*K$2:K$201)&gt;0))-IF(F133*I133+G133*J133+H133*K133&gt;0,1,0))</f>
        <v>0</v>
      </c>
      <c r="M133" s="46" t="str" cm="1">
        <f t="array" ref="M133">IF(A133="","",SUMPRODUCT((A$2:A$201&lt;&gt;"")*(L$2:L$201&lt;L133))+SUMPRODUCT((A$2:A$201&lt;&gt;"")*(L$2:L$201=L133)*(A$2:A$201&lt;A133))+1)</f>
        <v/>
      </c>
      <c r="N133" s="46" t="str" cm="1">
        <f t="array" aca="1" ref="N133" ca="1">IF(A133="","",SUMPRODUCT(((OFFSET(F$2,0,0,COUNTA('Mii List'!A$2:A$200),1)*I133+OFFSET(G$2,0,0,COUNTA('Mii List'!A$2:A$200),1)*J133+OFFSET(H$2,0,0,COUNTA('Mii List'!A$2:A$200),1)*K133)&gt;0)*((F133*OFFSET(I$2,0,0,COUNTA('Mii List'!A$2:A$200),1)+G133*OFFSET(J$2,0,0,COUNTA('Mii List'!A$2:A$200),1)+H133*OFFSET(K$2,0,0,COUNTA('Mii List'!A$2:A$200),1))&gt;0)*(ROW(OFFSET($A$2,0,0,COUNTA('Mii List'!A$2:A$200),1))&lt;&gt;ROW())*IF(OFFSET(L$2,0,0,COUNTA('Mii List'!A$2:A$200),1)&gt;0,1/OFFSET(L$2,0,0,COUNTA('Mii List'!A$2:A$200),1),0)))</f>
        <v/>
      </c>
      <c r="O133" s="46" t="str" cm="1">
        <f t="array" aca="1" ref="O133" ca="1">IF(A133="","",IF(L133=0,0,SUMPRODUCT(((OFFSET(F$2,0,0,COUNTA('Mii List'!A$2:A$200),1)*I133+OFFSET(G$2,0,0,COUNTA('Mii List'!A$2:A$200),1)*J133+OFFSET(H$2,0,0,COUNTA('Mii List'!A$2:A$200),1)*K133)&gt;0)*((F133*OFFSET(I$2,0,0,COUNTA('Mii List'!A$2:A$200),1)+G133*OFFSET(J$2,0,0,COUNTA('Mii List'!A$2:A$200),1)+H133*OFFSET(K$2,0,0,COUNTA('Mii List'!A$2:A$200),1))&gt;0)*(ROW(OFFSET($A$2,0,0,COUNTA('Mii List'!A$2:A$200),1))&lt;&gt;ROW())*OFFSET(L$2,0,0,COUNTA('Mii List'!A$2:A$200),1))/L133))</f>
        <v/>
      </c>
      <c r="P133" s="46" t="str">
        <f t="shared" si="20"/>
        <v/>
      </c>
    </row>
    <row r="134" spans="1:16" x14ac:dyDescent="0.35">
      <c r="A134" s="46" t="str" cm="1">
        <f t="array" ref="A134">IF(ROW()-1&gt;COUNTA('Mii List'!A$2:A$200),"",INDEX('Mii List'!A$2:A$200,ROW()-1))</f>
        <v/>
      </c>
      <c r="B134" s="46" t="str">
        <f>IF(A134="","",INDEX('Mii List'!B$2:B$200,MATCH(A134,'Mii List'!A$2:A$200,0)))</f>
        <v/>
      </c>
      <c r="C134" s="46" t="str">
        <f>IF(A134="","",INDEX('Mii List'!C$2:C$200,MATCH(A134,'Mii List'!A$2:A$200,0)))</f>
        <v/>
      </c>
      <c r="D134" s="46" t="str">
        <f>IF(A134="","",INDEX('Mii List'!D$2:D$200,MATCH(A134,'Mii List'!A$2:A$200,0)))</f>
        <v/>
      </c>
      <c r="E134" s="46" t="str">
        <f>IF(A134="","",INDEX('Mii List'!E$2:E$200,MATCH(A134,'Mii List'!A$2:A$200,0)))</f>
        <v/>
      </c>
      <c r="F134" s="46">
        <f t="shared" si="14"/>
        <v>0</v>
      </c>
      <c r="G134" s="46">
        <f t="shared" si="15"/>
        <v>0</v>
      </c>
      <c r="H134" s="46">
        <f t="shared" si="16"/>
        <v>0</v>
      </c>
      <c r="I134" s="46">
        <f t="shared" si="17"/>
        <v>0</v>
      </c>
      <c r="J134" s="46">
        <f t="shared" si="18"/>
        <v>0</v>
      </c>
      <c r="K134" s="46">
        <f t="shared" si="19"/>
        <v>0</v>
      </c>
      <c r="L134" s="46" cm="1">
        <f t="array" ref="L134">IF(A134="",0,SUMPRODUCT((A$2:A$201&lt;&gt;"")*((F$2:F$201*I134+G$2:G$201*J134+H$2:H$201*K134)&gt;0)*((F134*I$2:I$201+G134*J$2:J$201+H134*K$2:K$201)&gt;0))-IF(F134*I134+G134*J134+H134*K134&gt;0,1,0))</f>
        <v>0</v>
      </c>
      <c r="M134" s="46" t="str" cm="1">
        <f t="array" ref="M134">IF(A134="","",SUMPRODUCT((A$2:A$201&lt;&gt;"")*(L$2:L$201&lt;L134))+SUMPRODUCT((A$2:A$201&lt;&gt;"")*(L$2:L$201=L134)*(A$2:A$201&lt;A134))+1)</f>
        <v/>
      </c>
      <c r="N134" s="46" t="str" cm="1">
        <f t="array" aca="1" ref="N134" ca="1">IF(A134="","",SUMPRODUCT(((OFFSET(F$2,0,0,COUNTA('Mii List'!A$2:A$200),1)*I134+OFFSET(G$2,0,0,COUNTA('Mii List'!A$2:A$200),1)*J134+OFFSET(H$2,0,0,COUNTA('Mii List'!A$2:A$200),1)*K134)&gt;0)*((F134*OFFSET(I$2,0,0,COUNTA('Mii List'!A$2:A$200),1)+G134*OFFSET(J$2,0,0,COUNTA('Mii List'!A$2:A$200),1)+H134*OFFSET(K$2,0,0,COUNTA('Mii List'!A$2:A$200),1))&gt;0)*(ROW(OFFSET($A$2,0,0,COUNTA('Mii List'!A$2:A$200),1))&lt;&gt;ROW())*IF(OFFSET(L$2,0,0,COUNTA('Mii List'!A$2:A$200),1)&gt;0,1/OFFSET(L$2,0,0,COUNTA('Mii List'!A$2:A$200),1),0)))</f>
        <v/>
      </c>
      <c r="O134" s="46" t="str" cm="1">
        <f t="array" aca="1" ref="O134" ca="1">IF(A134="","",IF(L134=0,0,SUMPRODUCT(((OFFSET(F$2,0,0,COUNTA('Mii List'!A$2:A$200),1)*I134+OFFSET(G$2,0,0,COUNTA('Mii List'!A$2:A$200),1)*J134+OFFSET(H$2,0,0,COUNTA('Mii List'!A$2:A$200),1)*K134)&gt;0)*((F134*OFFSET(I$2,0,0,COUNTA('Mii List'!A$2:A$200),1)+G134*OFFSET(J$2,0,0,COUNTA('Mii List'!A$2:A$200),1)+H134*OFFSET(K$2,0,0,COUNTA('Mii List'!A$2:A$200),1))&gt;0)*(ROW(OFFSET($A$2,0,0,COUNTA('Mii List'!A$2:A$200),1))&lt;&gt;ROW())*OFFSET(L$2,0,0,COUNTA('Mii List'!A$2:A$200),1))/L134))</f>
        <v/>
      </c>
      <c r="P134" s="46" t="str">
        <f t="shared" si="20"/>
        <v/>
      </c>
    </row>
    <row r="135" spans="1:16" x14ac:dyDescent="0.35">
      <c r="A135" s="46" t="str" cm="1">
        <f t="array" ref="A135">IF(ROW()-1&gt;COUNTA('Mii List'!A$2:A$200),"",INDEX('Mii List'!A$2:A$200,ROW()-1))</f>
        <v/>
      </c>
      <c r="B135" s="46" t="str">
        <f>IF(A135="","",INDEX('Mii List'!B$2:B$200,MATCH(A135,'Mii List'!A$2:A$200,0)))</f>
        <v/>
      </c>
      <c r="C135" s="46" t="str">
        <f>IF(A135="","",INDEX('Mii List'!C$2:C$200,MATCH(A135,'Mii List'!A$2:A$200,0)))</f>
        <v/>
      </c>
      <c r="D135" s="46" t="str">
        <f>IF(A135="","",INDEX('Mii List'!D$2:D$200,MATCH(A135,'Mii List'!A$2:A$200,0)))</f>
        <v/>
      </c>
      <c r="E135" s="46" t="str">
        <f>IF(A135="","",INDEX('Mii List'!E$2:E$200,MATCH(A135,'Mii List'!A$2:A$200,0)))</f>
        <v/>
      </c>
      <c r="F135" s="46">
        <f t="shared" si="14"/>
        <v>0</v>
      </c>
      <c r="G135" s="46">
        <f t="shared" si="15"/>
        <v>0</v>
      </c>
      <c r="H135" s="46">
        <f t="shared" si="16"/>
        <v>0</v>
      </c>
      <c r="I135" s="46">
        <f t="shared" si="17"/>
        <v>0</v>
      </c>
      <c r="J135" s="46">
        <f t="shared" si="18"/>
        <v>0</v>
      </c>
      <c r="K135" s="46">
        <f t="shared" si="19"/>
        <v>0</v>
      </c>
      <c r="L135" s="46" cm="1">
        <f t="array" ref="L135">IF(A135="",0,SUMPRODUCT((A$2:A$201&lt;&gt;"")*((F$2:F$201*I135+G$2:G$201*J135+H$2:H$201*K135)&gt;0)*((F135*I$2:I$201+G135*J$2:J$201+H135*K$2:K$201)&gt;0))-IF(F135*I135+G135*J135+H135*K135&gt;0,1,0))</f>
        <v>0</v>
      </c>
      <c r="M135" s="46" t="str" cm="1">
        <f t="array" ref="M135">IF(A135="","",SUMPRODUCT((A$2:A$201&lt;&gt;"")*(L$2:L$201&lt;L135))+SUMPRODUCT((A$2:A$201&lt;&gt;"")*(L$2:L$201=L135)*(A$2:A$201&lt;A135))+1)</f>
        <v/>
      </c>
      <c r="N135" s="46" t="str" cm="1">
        <f t="array" aca="1" ref="N135" ca="1">IF(A135="","",SUMPRODUCT(((OFFSET(F$2,0,0,COUNTA('Mii List'!A$2:A$200),1)*I135+OFFSET(G$2,0,0,COUNTA('Mii List'!A$2:A$200),1)*J135+OFFSET(H$2,0,0,COUNTA('Mii List'!A$2:A$200),1)*K135)&gt;0)*((F135*OFFSET(I$2,0,0,COUNTA('Mii List'!A$2:A$200),1)+G135*OFFSET(J$2,0,0,COUNTA('Mii List'!A$2:A$200),1)+H135*OFFSET(K$2,0,0,COUNTA('Mii List'!A$2:A$200),1))&gt;0)*(ROW(OFFSET($A$2,0,0,COUNTA('Mii List'!A$2:A$200),1))&lt;&gt;ROW())*IF(OFFSET(L$2,0,0,COUNTA('Mii List'!A$2:A$200),1)&gt;0,1/OFFSET(L$2,0,0,COUNTA('Mii List'!A$2:A$200),1),0)))</f>
        <v/>
      </c>
      <c r="O135" s="46" t="str" cm="1">
        <f t="array" aca="1" ref="O135" ca="1">IF(A135="","",IF(L135=0,0,SUMPRODUCT(((OFFSET(F$2,0,0,COUNTA('Mii List'!A$2:A$200),1)*I135+OFFSET(G$2,0,0,COUNTA('Mii List'!A$2:A$200),1)*J135+OFFSET(H$2,0,0,COUNTA('Mii List'!A$2:A$200),1)*K135)&gt;0)*((F135*OFFSET(I$2,0,0,COUNTA('Mii List'!A$2:A$200),1)+G135*OFFSET(J$2,0,0,COUNTA('Mii List'!A$2:A$200),1)+H135*OFFSET(K$2,0,0,COUNTA('Mii List'!A$2:A$200),1))&gt;0)*(ROW(OFFSET($A$2,0,0,COUNTA('Mii List'!A$2:A$200),1))&lt;&gt;ROW())*OFFSET(L$2,0,0,COUNTA('Mii List'!A$2:A$200),1))/L135))</f>
        <v/>
      </c>
      <c r="P135" s="46" t="str">
        <f t="shared" si="20"/>
        <v/>
      </c>
    </row>
    <row r="136" spans="1:16" x14ac:dyDescent="0.35">
      <c r="A136" s="46" t="str" cm="1">
        <f t="array" ref="A136">IF(ROW()-1&gt;COUNTA('Mii List'!A$2:A$200),"",INDEX('Mii List'!A$2:A$200,ROW()-1))</f>
        <v/>
      </c>
      <c r="B136" s="46" t="str">
        <f>IF(A136="","",INDEX('Mii List'!B$2:B$200,MATCH(A136,'Mii List'!A$2:A$200,0)))</f>
        <v/>
      </c>
      <c r="C136" s="46" t="str">
        <f>IF(A136="","",INDEX('Mii List'!C$2:C$200,MATCH(A136,'Mii List'!A$2:A$200,0)))</f>
        <v/>
      </c>
      <c r="D136" s="46" t="str">
        <f>IF(A136="","",INDEX('Mii List'!D$2:D$200,MATCH(A136,'Mii List'!A$2:A$200,0)))</f>
        <v/>
      </c>
      <c r="E136" s="46" t="str">
        <f>IF(A136="","",INDEX('Mii List'!E$2:E$200,MATCH(A136,'Mii List'!A$2:A$200,0)))</f>
        <v/>
      </c>
      <c r="F136" s="46">
        <f t="shared" si="14"/>
        <v>0</v>
      </c>
      <c r="G136" s="46">
        <f t="shared" si="15"/>
        <v>0</v>
      </c>
      <c r="H136" s="46">
        <f t="shared" si="16"/>
        <v>0</v>
      </c>
      <c r="I136" s="46">
        <f t="shared" si="17"/>
        <v>0</v>
      </c>
      <c r="J136" s="46">
        <f t="shared" si="18"/>
        <v>0</v>
      </c>
      <c r="K136" s="46">
        <f t="shared" si="19"/>
        <v>0</v>
      </c>
      <c r="L136" s="46" cm="1">
        <f t="array" ref="L136">IF(A136="",0,SUMPRODUCT((A$2:A$201&lt;&gt;"")*((F$2:F$201*I136+G$2:G$201*J136+H$2:H$201*K136)&gt;0)*((F136*I$2:I$201+G136*J$2:J$201+H136*K$2:K$201)&gt;0))-IF(F136*I136+G136*J136+H136*K136&gt;0,1,0))</f>
        <v>0</v>
      </c>
      <c r="M136" s="46" t="str" cm="1">
        <f t="array" ref="M136">IF(A136="","",SUMPRODUCT((A$2:A$201&lt;&gt;"")*(L$2:L$201&lt;L136))+SUMPRODUCT((A$2:A$201&lt;&gt;"")*(L$2:L$201=L136)*(A$2:A$201&lt;A136))+1)</f>
        <v/>
      </c>
      <c r="N136" s="46" t="str" cm="1">
        <f t="array" aca="1" ref="N136" ca="1">IF(A136="","",SUMPRODUCT(((OFFSET(F$2,0,0,COUNTA('Mii List'!A$2:A$200),1)*I136+OFFSET(G$2,0,0,COUNTA('Mii List'!A$2:A$200),1)*J136+OFFSET(H$2,0,0,COUNTA('Mii List'!A$2:A$200),1)*K136)&gt;0)*((F136*OFFSET(I$2,0,0,COUNTA('Mii List'!A$2:A$200),1)+G136*OFFSET(J$2,0,0,COUNTA('Mii List'!A$2:A$200),1)+H136*OFFSET(K$2,0,0,COUNTA('Mii List'!A$2:A$200),1))&gt;0)*(ROW(OFFSET($A$2,0,0,COUNTA('Mii List'!A$2:A$200),1))&lt;&gt;ROW())*IF(OFFSET(L$2,0,0,COUNTA('Mii List'!A$2:A$200),1)&gt;0,1/OFFSET(L$2,0,0,COUNTA('Mii List'!A$2:A$200),1),0)))</f>
        <v/>
      </c>
      <c r="O136" s="46" t="str" cm="1">
        <f t="array" aca="1" ref="O136" ca="1">IF(A136="","",IF(L136=0,0,SUMPRODUCT(((OFFSET(F$2,0,0,COUNTA('Mii List'!A$2:A$200),1)*I136+OFFSET(G$2,0,0,COUNTA('Mii List'!A$2:A$200),1)*J136+OFFSET(H$2,0,0,COUNTA('Mii List'!A$2:A$200),1)*K136)&gt;0)*((F136*OFFSET(I$2,0,0,COUNTA('Mii List'!A$2:A$200),1)+G136*OFFSET(J$2,0,0,COUNTA('Mii List'!A$2:A$200),1)+H136*OFFSET(K$2,0,0,COUNTA('Mii List'!A$2:A$200),1))&gt;0)*(ROW(OFFSET($A$2,0,0,COUNTA('Mii List'!A$2:A$200),1))&lt;&gt;ROW())*OFFSET(L$2,0,0,COUNTA('Mii List'!A$2:A$200),1))/L136))</f>
        <v/>
      </c>
      <c r="P136" s="46" t="str">
        <f t="shared" si="20"/>
        <v/>
      </c>
    </row>
    <row r="137" spans="1:16" x14ac:dyDescent="0.35">
      <c r="A137" s="46" t="str" cm="1">
        <f t="array" ref="A137">IF(ROW()-1&gt;COUNTA('Mii List'!A$2:A$200),"",INDEX('Mii List'!A$2:A$200,ROW()-1))</f>
        <v/>
      </c>
      <c r="B137" s="46" t="str">
        <f>IF(A137="","",INDEX('Mii List'!B$2:B$200,MATCH(A137,'Mii List'!A$2:A$200,0)))</f>
        <v/>
      </c>
      <c r="C137" s="46" t="str">
        <f>IF(A137="","",INDEX('Mii List'!C$2:C$200,MATCH(A137,'Mii List'!A$2:A$200,0)))</f>
        <v/>
      </c>
      <c r="D137" s="46" t="str">
        <f>IF(A137="","",INDEX('Mii List'!D$2:D$200,MATCH(A137,'Mii List'!A$2:A$200,0)))</f>
        <v/>
      </c>
      <c r="E137" s="46" t="str">
        <f>IF(A137="","",INDEX('Mii List'!E$2:E$200,MATCH(A137,'Mii List'!A$2:A$200,0)))</f>
        <v/>
      </c>
      <c r="F137" s="46">
        <f t="shared" si="14"/>
        <v>0</v>
      </c>
      <c r="G137" s="46">
        <f t="shared" si="15"/>
        <v>0</v>
      </c>
      <c r="H137" s="46">
        <f t="shared" si="16"/>
        <v>0</v>
      </c>
      <c r="I137" s="46">
        <f t="shared" si="17"/>
        <v>0</v>
      </c>
      <c r="J137" s="46">
        <f t="shared" si="18"/>
        <v>0</v>
      </c>
      <c r="K137" s="46">
        <f t="shared" si="19"/>
        <v>0</v>
      </c>
      <c r="L137" s="46" cm="1">
        <f t="array" ref="L137">IF(A137="",0,SUMPRODUCT((A$2:A$201&lt;&gt;"")*((F$2:F$201*I137+G$2:G$201*J137+H$2:H$201*K137)&gt;0)*((F137*I$2:I$201+G137*J$2:J$201+H137*K$2:K$201)&gt;0))-IF(F137*I137+G137*J137+H137*K137&gt;0,1,0))</f>
        <v>0</v>
      </c>
      <c r="M137" s="46" t="str" cm="1">
        <f t="array" ref="M137">IF(A137="","",SUMPRODUCT((A$2:A$201&lt;&gt;"")*(L$2:L$201&lt;L137))+SUMPRODUCT((A$2:A$201&lt;&gt;"")*(L$2:L$201=L137)*(A$2:A$201&lt;A137))+1)</f>
        <v/>
      </c>
      <c r="N137" s="46" t="str" cm="1">
        <f t="array" aca="1" ref="N137" ca="1">IF(A137="","",SUMPRODUCT(((OFFSET(F$2,0,0,COUNTA('Mii List'!A$2:A$200),1)*I137+OFFSET(G$2,0,0,COUNTA('Mii List'!A$2:A$200),1)*J137+OFFSET(H$2,0,0,COUNTA('Mii List'!A$2:A$200),1)*K137)&gt;0)*((F137*OFFSET(I$2,0,0,COUNTA('Mii List'!A$2:A$200),1)+G137*OFFSET(J$2,0,0,COUNTA('Mii List'!A$2:A$200),1)+H137*OFFSET(K$2,0,0,COUNTA('Mii List'!A$2:A$200),1))&gt;0)*(ROW(OFFSET($A$2,0,0,COUNTA('Mii List'!A$2:A$200),1))&lt;&gt;ROW())*IF(OFFSET(L$2,0,0,COUNTA('Mii List'!A$2:A$200),1)&gt;0,1/OFFSET(L$2,0,0,COUNTA('Mii List'!A$2:A$200),1),0)))</f>
        <v/>
      </c>
      <c r="O137" s="46" t="str" cm="1">
        <f t="array" aca="1" ref="O137" ca="1">IF(A137="","",IF(L137=0,0,SUMPRODUCT(((OFFSET(F$2,0,0,COUNTA('Mii List'!A$2:A$200),1)*I137+OFFSET(G$2,0,0,COUNTA('Mii List'!A$2:A$200),1)*J137+OFFSET(H$2,0,0,COUNTA('Mii List'!A$2:A$200),1)*K137)&gt;0)*((F137*OFFSET(I$2,0,0,COUNTA('Mii List'!A$2:A$200),1)+G137*OFFSET(J$2,0,0,COUNTA('Mii List'!A$2:A$200),1)+H137*OFFSET(K$2,0,0,COUNTA('Mii List'!A$2:A$200),1))&gt;0)*(ROW(OFFSET($A$2,0,0,COUNTA('Mii List'!A$2:A$200),1))&lt;&gt;ROW())*OFFSET(L$2,0,0,COUNTA('Mii List'!A$2:A$200),1))/L137))</f>
        <v/>
      </c>
      <c r="P137" s="46" t="str">
        <f t="shared" si="20"/>
        <v/>
      </c>
    </row>
    <row r="138" spans="1:16" x14ac:dyDescent="0.35">
      <c r="A138" s="46" t="str" cm="1">
        <f t="array" ref="A138">IF(ROW()-1&gt;COUNTA('Mii List'!A$2:A$200),"",INDEX('Mii List'!A$2:A$200,ROW()-1))</f>
        <v/>
      </c>
      <c r="B138" s="46" t="str">
        <f>IF(A138="","",INDEX('Mii List'!B$2:B$200,MATCH(A138,'Mii List'!A$2:A$200,0)))</f>
        <v/>
      </c>
      <c r="C138" s="46" t="str">
        <f>IF(A138="","",INDEX('Mii List'!C$2:C$200,MATCH(A138,'Mii List'!A$2:A$200,0)))</f>
        <v/>
      </c>
      <c r="D138" s="46" t="str">
        <f>IF(A138="","",INDEX('Mii List'!D$2:D$200,MATCH(A138,'Mii List'!A$2:A$200,0)))</f>
        <v/>
      </c>
      <c r="E138" s="46" t="str">
        <f>IF(A138="","",INDEX('Mii List'!E$2:E$200,MATCH(A138,'Mii List'!A$2:A$200,0)))</f>
        <v/>
      </c>
      <c r="F138" s="46">
        <f t="shared" si="14"/>
        <v>0</v>
      </c>
      <c r="G138" s="46">
        <f t="shared" si="15"/>
        <v>0</v>
      </c>
      <c r="H138" s="46">
        <f t="shared" si="16"/>
        <v>0</v>
      </c>
      <c r="I138" s="46">
        <f t="shared" si="17"/>
        <v>0</v>
      </c>
      <c r="J138" s="46">
        <f t="shared" si="18"/>
        <v>0</v>
      </c>
      <c r="K138" s="46">
        <f t="shared" si="19"/>
        <v>0</v>
      </c>
      <c r="L138" s="46" cm="1">
        <f t="array" ref="L138">IF(A138="",0,SUMPRODUCT((A$2:A$201&lt;&gt;"")*((F$2:F$201*I138+G$2:G$201*J138+H$2:H$201*K138)&gt;0)*((F138*I$2:I$201+G138*J$2:J$201+H138*K$2:K$201)&gt;0))-IF(F138*I138+G138*J138+H138*K138&gt;0,1,0))</f>
        <v>0</v>
      </c>
      <c r="M138" s="46" t="str" cm="1">
        <f t="array" ref="M138">IF(A138="","",SUMPRODUCT((A$2:A$201&lt;&gt;"")*(L$2:L$201&lt;L138))+SUMPRODUCT((A$2:A$201&lt;&gt;"")*(L$2:L$201=L138)*(A$2:A$201&lt;A138))+1)</f>
        <v/>
      </c>
      <c r="N138" s="46" t="str" cm="1">
        <f t="array" aca="1" ref="N138" ca="1">IF(A138="","",SUMPRODUCT(((OFFSET(F$2,0,0,COUNTA('Mii List'!A$2:A$200),1)*I138+OFFSET(G$2,0,0,COUNTA('Mii List'!A$2:A$200),1)*J138+OFFSET(H$2,0,0,COUNTA('Mii List'!A$2:A$200),1)*K138)&gt;0)*((F138*OFFSET(I$2,0,0,COUNTA('Mii List'!A$2:A$200),1)+G138*OFFSET(J$2,0,0,COUNTA('Mii List'!A$2:A$200),1)+H138*OFFSET(K$2,0,0,COUNTA('Mii List'!A$2:A$200),1))&gt;0)*(ROW(OFFSET($A$2,0,0,COUNTA('Mii List'!A$2:A$200),1))&lt;&gt;ROW())*IF(OFFSET(L$2,0,0,COUNTA('Mii List'!A$2:A$200),1)&gt;0,1/OFFSET(L$2,0,0,COUNTA('Mii List'!A$2:A$200),1),0)))</f>
        <v/>
      </c>
      <c r="O138" s="46" t="str" cm="1">
        <f t="array" aca="1" ref="O138" ca="1">IF(A138="","",IF(L138=0,0,SUMPRODUCT(((OFFSET(F$2,0,0,COUNTA('Mii List'!A$2:A$200),1)*I138+OFFSET(G$2,0,0,COUNTA('Mii List'!A$2:A$200),1)*J138+OFFSET(H$2,0,0,COUNTA('Mii List'!A$2:A$200),1)*K138)&gt;0)*((F138*OFFSET(I$2,0,0,COUNTA('Mii List'!A$2:A$200),1)+G138*OFFSET(J$2,0,0,COUNTA('Mii List'!A$2:A$200),1)+H138*OFFSET(K$2,0,0,COUNTA('Mii List'!A$2:A$200),1))&gt;0)*(ROW(OFFSET($A$2,0,0,COUNTA('Mii List'!A$2:A$200),1))&lt;&gt;ROW())*OFFSET(L$2,0,0,COUNTA('Mii List'!A$2:A$200),1))/L138))</f>
        <v/>
      </c>
      <c r="P138" s="46" t="str">
        <f t="shared" si="20"/>
        <v/>
      </c>
    </row>
    <row r="139" spans="1:16" x14ac:dyDescent="0.35">
      <c r="A139" s="46" t="str" cm="1">
        <f t="array" ref="A139">IF(ROW()-1&gt;COUNTA('Mii List'!A$2:A$200),"",INDEX('Mii List'!A$2:A$200,ROW()-1))</f>
        <v/>
      </c>
      <c r="B139" s="46" t="str">
        <f>IF(A139="","",INDEX('Mii List'!B$2:B$200,MATCH(A139,'Mii List'!A$2:A$200,0)))</f>
        <v/>
      </c>
      <c r="C139" s="46" t="str">
        <f>IF(A139="","",INDEX('Mii List'!C$2:C$200,MATCH(A139,'Mii List'!A$2:A$200,0)))</f>
        <v/>
      </c>
      <c r="D139" s="46" t="str">
        <f>IF(A139="","",INDEX('Mii List'!D$2:D$200,MATCH(A139,'Mii List'!A$2:A$200,0)))</f>
        <v/>
      </c>
      <c r="E139" s="46" t="str">
        <f>IF(A139="","",INDEX('Mii List'!E$2:E$200,MATCH(A139,'Mii List'!A$2:A$200,0)))</f>
        <v/>
      </c>
      <c r="F139" s="46">
        <f t="shared" si="14"/>
        <v>0</v>
      </c>
      <c r="G139" s="46">
        <f t="shared" si="15"/>
        <v>0</v>
      </c>
      <c r="H139" s="46">
        <f t="shared" si="16"/>
        <v>0</v>
      </c>
      <c r="I139" s="46">
        <f t="shared" si="17"/>
        <v>0</v>
      </c>
      <c r="J139" s="46">
        <f t="shared" si="18"/>
        <v>0</v>
      </c>
      <c r="K139" s="46">
        <f t="shared" si="19"/>
        <v>0</v>
      </c>
      <c r="L139" s="46" cm="1">
        <f t="array" ref="L139">IF(A139="",0,SUMPRODUCT((A$2:A$201&lt;&gt;"")*((F$2:F$201*I139+G$2:G$201*J139+H$2:H$201*K139)&gt;0)*((F139*I$2:I$201+G139*J$2:J$201+H139*K$2:K$201)&gt;0))-IF(F139*I139+G139*J139+H139*K139&gt;0,1,0))</f>
        <v>0</v>
      </c>
      <c r="M139" s="46" t="str" cm="1">
        <f t="array" ref="M139">IF(A139="","",SUMPRODUCT((A$2:A$201&lt;&gt;"")*(L$2:L$201&lt;L139))+SUMPRODUCT((A$2:A$201&lt;&gt;"")*(L$2:L$201=L139)*(A$2:A$201&lt;A139))+1)</f>
        <v/>
      </c>
      <c r="N139" s="46" t="str" cm="1">
        <f t="array" aca="1" ref="N139" ca="1">IF(A139="","",SUMPRODUCT(((OFFSET(F$2,0,0,COUNTA('Mii List'!A$2:A$200),1)*I139+OFFSET(G$2,0,0,COUNTA('Mii List'!A$2:A$200),1)*J139+OFFSET(H$2,0,0,COUNTA('Mii List'!A$2:A$200),1)*K139)&gt;0)*((F139*OFFSET(I$2,0,0,COUNTA('Mii List'!A$2:A$200),1)+G139*OFFSET(J$2,0,0,COUNTA('Mii List'!A$2:A$200),1)+H139*OFFSET(K$2,0,0,COUNTA('Mii List'!A$2:A$200),1))&gt;0)*(ROW(OFFSET($A$2,0,0,COUNTA('Mii List'!A$2:A$200),1))&lt;&gt;ROW())*IF(OFFSET(L$2,0,0,COUNTA('Mii List'!A$2:A$200),1)&gt;0,1/OFFSET(L$2,0,0,COUNTA('Mii List'!A$2:A$200),1),0)))</f>
        <v/>
      </c>
      <c r="O139" s="46" t="str" cm="1">
        <f t="array" aca="1" ref="O139" ca="1">IF(A139="","",IF(L139=0,0,SUMPRODUCT(((OFFSET(F$2,0,0,COUNTA('Mii List'!A$2:A$200),1)*I139+OFFSET(G$2,0,0,COUNTA('Mii List'!A$2:A$200),1)*J139+OFFSET(H$2,0,0,COUNTA('Mii List'!A$2:A$200),1)*K139)&gt;0)*((F139*OFFSET(I$2,0,0,COUNTA('Mii List'!A$2:A$200),1)+G139*OFFSET(J$2,0,0,COUNTA('Mii List'!A$2:A$200),1)+H139*OFFSET(K$2,0,0,COUNTA('Mii List'!A$2:A$200),1))&gt;0)*(ROW(OFFSET($A$2,0,0,COUNTA('Mii List'!A$2:A$200),1))&lt;&gt;ROW())*OFFSET(L$2,0,0,COUNTA('Mii List'!A$2:A$200),1))/L139))</f>
        <v/>
      </c>
      <c r="P139" s="46" t="str">
        <f t="shared" si="20"/>
        <v/>
      </c>
    </row>
    <row r="140" spans="1:16" x14ac:dyDescent="0.35">
      <c r="A140" s="46" t="str" cm="1">
        <f t="array" ref="A140">IF(ROW()-1&gt;COUNTA('Mii List'!A$2:A$200),"",INDEX('Mii List'!A$2:A$200,ROW()-1))</f>
        <v/>
      </c>
      <c r="B140" s="46" t="str">
        <f>IF(A140="","",INDEX('Mii List'!B$2:B$200,MATCH(A140,'Mii List'!A$2:A$200,0)))</f>
        <v/>
      </c>
      <c r="C140" s="46" t="str">
        <f>IF(A140="","",INDEX('Mii List'!C$2:C$200,MATCH(A140,'Mii List'!A$2:A$200,0)))</f>
        <v/>
      </c>
      <c r="D140" s="46" t="str">
        <f>IF(A140="","",INDEX('Mii List'!D$2:D$200,MATCH(A140,'Mii List'!A$2:A$200,0)))</f>
        <v/>
      </c>
      <c r="E140" s="46" t="str">
        <f>IF(A140="","",INDEX('Mii List'!E$2:E$200,MATCH(A140,'Mii List'!A$2:A$200,0)))</f>
        <v/>
      </c>
      <c r="F140" s="46">
        <f t="shared" si="14"/>
        <v>0</v>
      </c>
      <c r="G140" s="46">
        <f t="shared" si="15"/>
        <v>0</v>
      </c>
      <c r="H140" s="46">
        <f t="shared" si="16"/>
        <v>0</v>
      </c>
      <c r="I140" s="46">
        <f t="shared" si="17"/>
        <v>0</v>
      </c>
      <c r="J140" s="46">
        <f t="shared" si="18"/>
        <v>0</v>
      </c>
      <c r="K140" s="46">
        <f t="shared" si="19"/>
        <v>0</v>
      </c>
      <c r="L140" s="46" cm="1">
        <f t="array" ref="L140">IF(A140="",0,SUMPRODUCT((A$2:A$201&lt;&gt;"")*((F$2:F$201*I140+G$2:G$201*J140+H$2:H$201*K140)&gt;0)*((F140*I$2:I$201+G140*J$2:J$201+H140*K$2:K$201)&gt;0))-IF(F140*I140+G140*J140+H140*K140&gt;0,1,0))</f>
        <v>0</v>
      </c>
      <c r="M140" s="46" t="str" cm="1">
        <f t="array" ref="M140">IF(A140="","",SUMPRODUCT((A$2:A$201&lt;&gt;"")*(L$2:L$201&lt;L140))+SUMPRODUCT((A$2:A$201&lt;&gt;"")*(L$2:L$201=L140)*(A$2:A$201&lt;A140))+1)</f>
        <v/>
      </c>
      <c r="N140" s="46" t="str" cm="1">
        <f t="array" aca="1" ref="N140" ca="1">IF(A140="","",SUMPRODUCT(((OFFSET(F$2,0,0,COUNTA('Mii List'!A$2:A$200),1)*I140+OFFSET(G$2,0,0,COUNTA('Mii List'!A$2:A$200),1)*J140+OFFSET(H$2,0,0,COUNTA('Mii List'!A$2:A$200),1)*K140)&gt;0)*((F140*OFFSET(I$2,0,0,COUNTA('Mii List'!A$2:A$200),1)+G140*OFFSET(J$2,0,0,COUNTA('Mii List'!A$2:A$200),1)+H140*OFFSET(K$2,0,0,COUNTA('Mii List'!A$2:A$200),1))&gt;0)*(ROW(OFFSET($A$2,0,0,COUNTA('Mii List'!A$2:A$200),1))&lt;&gt;ROW())*IF(OFFSET(L$2,0,0,COUNTA('Mii List'!A$2:A$200),1)&gt;0,1/OFFSET(L$2,0,0,COUNTA('Mii List'!A$2:A$200),1),0)))</f>
        <v/>
      </c>
      <c r="O140" s="46" t="str" cm="1">
        <f t="array" aca="1" ref="O140" ca="1">IF(A140="","",IF(L140=0,0,SUMPRODUCT(((OFFSET(F$2,0,0,COUNTA('Mii List'!A$2:A$200),1)*I140+OFFSET(G$2,0,0,COUNTA('Mii List'!A$2:A$200),1)*J140+OFFSET(H$2,0,0,COUNTA('Mii List'!A$2:A$200),1)*K140)&gt;0)*((F140*OFFSET(I$2,0,0,COUNTA('Mii List'!A$2:A$200),1)+G140*OFFSET(J$2,0,0,COUNTA('Mii List'!A$2:A$200),1)+H140*OFFSET(K$2,0,0,COUNTA('Mii List'!A$2:A$200),1))&gt;0)*(ROW(OFFSET($A$2,0,0,COUNTA('Mii List'!A$2:A$200),1))&lt;&gt;ROW())*OFFSET(L$2,0,0,COUNTA('Mii List'!A$2:A$200),1))/L140))</f>
        <v/>
      </c>
      <c r="P140" s="46" t="str">
        <f t="shared" si="20"/>
        <v/>
      </c>
    </row>
    <row r="141" spans="1:16" x14ac:dyDescent="0.35">
      <c r="A141" s="46" t="str" cm="1">
        <f t="array" ref="A141">IF(ROW()-1&gt;COUNTA('Mii List'!A$2:A$200),"",INDEX('Mii List'!A$2:A$200,ROW()-1))</f>
        <v/>
      </c>
      <c r="B141" s="46" t="str">
        <f>IF(A141="","",INDEX('Mii List'!B$2:B$200,MATCH(A141,'Mii List'!A$2:A$200,0)))</f>
        <v/>
      </c>
      <c r="C141" s="46" t="str">
        <f>IF(A141="","",INDEX('Mii List'!C$2:C$200,MATCH(A141,'Mii List'!A$2:A$200,0)))</f>
        <v/>
      </c>
      <c r="D141" s="46" t="str">
        <f>IF(A141="","",INDEX('Mii List'!D$2:D$200,MATCH(A141,'Mii List'!A$2:A$200,0)))</f>
        <v/>
      </c>
      <c r="E141" s="46" t="str">
        <f>IF(A141="","",INDEX('Mii List'!E$2:E$200,MATCH(A141,'Mii List'!A$2:A$200,0)))</f>
        <v/>
      </c>
      <c r="F141" s="46">
        <f t="shared" si="14"/>
        <v>0</v>
      </c>
      <c r="G141" s="46">
        <f t="shared" si="15"/>
        <v>0</v>
      </c>
      <c r="H141" s="46">
        <f t="shared" si="16"/>
        <v>0</v>
      </c>
      <c r="I141" s="46">
        <f t="shared" si="17"/>
        <v>0</v>
      </c>
      <c r="J141" s="46">
        <f t="shared" si="18"/>
        <v>0</v>
      </c>
      <c r="K141" s="46">
        <f t="shared" si="19"/>
        <v>0</v>
      </c>
      <c r="L141" s="46" cm="1">
        <f t="array" ref="L141">IF(A141="",0,SUMPRODUCT((A$2:A$201&lt;&gt;"")*((F$2:F$201*I141+G$2:G$201*J141+H$2:H$201*K141)&gt;0)*((F141*I$2:I$201+G141*J$2:J$201+H141*K$2:K$201)&gt;0))-IF(F141*I141+G141*J141+H141*K141&gt;0,1,0))</f>
        <v>0</v>
      </c>
      <c r="M141" s="46" t="str" cm="1">
        <f t="array" ref="M141">IF(A141="","",SUMPRODUCT((A$2:A$201&lt;&gt;"")*(L$2:L$201&lt;L141))+SUMPRODUCT((A$2:A$201&lt;&gt;"")*(L$2:L$201=L141)*(A$2:A$201&lt;A141))+1)</f>
        <v/>
      </c>
      <c r="N141" s="46" t="str" cm="1">
        <f t="array" aca="1" ref="N141" ca="1">IF(A141="","",SUMPRODUCT(((OFFSET(F$2,0,0,COUNTA('Mii List'!A$2:A$200),1)*I141+OFFSET(G$2,0,0,COUNTA('Mii List'!A$2:A$200),1)*J141+OFFSET(H$2,0,0,COUNTA('Mii List'!A$2:A$200),1)*K141)&gt;0)*((F141*OFFSET(I$2,0,0,COUNTA('Mii List'!A$2:A$200),1)+G141*OFFSET(J$2,0,0,COUNTA('Mii List'!A$2:A$200),1)+H141*OFFSET(K$2,0,0,COUNTA('Mii List'!A$2:A$200),1))&gt;0)*(ROW(OFFSET($A$2,0,0,COUNTA('Mii List'!A$2:A$200),1))&lt;&gt;ROW())*IF(OFFSET(L$2,0,0,COUNTA('Mii List'!A$2:A$200),1)&gt;0,1/OFFSET(L$2,0,0,COUNTA('Mii List'!A$2:A$200),1),0)))</f>
        <v/>
      </c>
      <c r="O141" s="46" t="str" cm="1">
        <f t="array" aca="1" ref="O141" ca="1">IF(A141="","",IF(L141=0,0,SUMPRODUCT(((OFFSET(F$2,0,0,COUNTA('Mii List'!A$2:A$200),1)*I141+OFFSET(G$2,0,0,COUNTA('Mii List'!A$2:A$200),1)*J141+OFFSET(H$2,0,0,COUNTA('Mii List'!A$2:A$200),1)*K141)&gt;0)*((F141*OFFSET(I$2,0,0,COUNTA('Mii List'!A$2:A$200),1)+G141*OFFSET(J$2,0,0,COUNTA('Mii List'!A$2:A$200),1)+H141*OFFSET(K$2,0,0,COUNTA('Mii List'!A$2:A$200),1))&gt;0)*(ROW(OFFSET($A$2,0,0,COUNTA('Mii List'!A$2:A$200),1))&lt;&gt;ROW())*OFFSET(L$2,0,0,COUNTA('Mii List'!A$2:A$200),1))/L141))</f>
        <v/>
      </c>
      <c r="P141" s="46" t="str">
        <f t="shared" si="20"/>
        <v/>
      </c>
    </row>
    <row r="142" spans="1:16" x14ac:dyDescent="0.35">
      <c r="A142" s="46" t="str" cm="1">
        <f t="array" ref="A142">IF(ROW()-1&gt;COUNTA('Mii List'!A$2:A$200),"",INDEX('Mii List'!A$2:A$200,ROW()-1))</f>
        <v/>
      </c>
      <c r="B142" s="46" t="str">
        <f>IF(A142="","",INDEX('Mii List'!B$2:B$200,MATCH(A142,'Mii List'!A$2:A$200,0)))</f>
        <v/>
      </c>
      <c r="C142" s="46" t="str">
        <f>IF(A142="","",INDEX('Mii List'!C$2:C$200,MATCH(A142,'Mii List'!A$2:A$200,0)))</f>
        <v/>
      </c>
      <c r="D142" s="46" t="str">
        <f>IF(A142="","",INDEX('Mii List'!D$2:D$200,MATCH(A142,'Mii List'!A$2:A$200,0)))</f>
        <v/>
      </c>
      <c r="E142" s="46" t="str">
        <f>IF(A142="","",INDEX('Mii List'!E$2:E$200,MATCH(A142,'Mii List'!A$2:A$200,0)))</f>
        <v/>
      </c>
      <c r="F142" s="46">
        <f t="shared" si="14"/>
        <v>0</v>
      </c>
      <c r="G142" s="46">
        <f t="shared" si="15"/>
        <v>0</v>
      </c>
      <c r="H142" s="46">
        <f t="shared" si="16"/>
        <v>0</v>
      </c>
      <c r="I142" s="46">
        <f t="shared" si="17"/>
        <v>0</v>
      </c>
      <c r="J142" s="46">
        <f t="shared" si="18"/>
        <v>0</v>
      </c>
      <c r="K142" s="46">
        <f t="shared" si="19"/>
        <v>0</v>
      </c>
      <c r="L142" s="46" cm="1">
        <f t="array" ref="L142">IF(A142="",0,SUMPRODUCT((A$2:A$201&lt;&gt;"")*((F$2:F$201*I142+G$2:G$201*J142+H$2:H$201*K142)&gt;0)*((F142*I$2:I$201+G142*J$2:J$201+H142*K$2:K$201)&gt;0))-IF(F142*I142+G142*J142+H142*K142&gt;0,1,0))</f>
        <v>0</v>
      </c>
      <c r="M142" s="46" t="str" cm="1">
        <f t="array" ref="M142">IF(A142="","",SUMPRODUCT((A$2:A$201&lt;&gt;"")*(L$2:L$201&lt;L142))+SUMPRODUCT((A$2:A$201&lt;&gt;"")*(L$2:L$201=L142)*(A$2:A$201&lt;A142))+1)</f>
        <v/>
      </c>
      <c r="N142" s="46" t="str" cm="1">
        <f t="array" aca="1" ref="N142" ca="1">IF(A142="","",SUMPRODUCT(((OFFSET(F$2,0,0,COUNTA('Mii List'!A$2:A$200),1)*I142+OFFSET(G$2,0,0,COUNTA('Mii List'!A$2:A$200),1)*J142+OFFSET(H$2,0,0,COUNTA('Mii List'!A$2:A$200),1)*K142)&gt;0)*((F142*OFFSET(I$2,0,0,COUNTA('Mii List'!A$2:A$200),1)+G142*OFFSET(J$2,0,0,COUNTA('Mii List'!A$2:A$200),1)+H142*OFFSET(K$2,0,0,COUNTA('Mii List'!A$2:A$200),1))&gt;0)*(ROW(OFFSET($A$2,0,0,COUNTA('Mii List'!A$2:A$200),1))&lt;&gt;ROW())*IF(OFFSET(L$2,0,0,COUNTA('Mii List'!A$2:A$200),1)&gt;0,1/OFFSET(L$2,0,0,COUNTA('Mii List'!A$2:A$200),1),0)))</f>
        <v/>
      </c>
      <c r="O142" s="46" t="str" cm="1">
        <f t="array" aca="1" ref="O142" ca="1">IF(A142="","",IF(L142=0,0,SUMPRODUCT(((OFFSET(F$2,0,0,COUNTA('Mii List'!A$2:A$200),1)*I142+OFFSET(G$2,0,0,COUNTA('Mii List'!A$2:A$200),1)*J142+OFFSET(H$2,0,0,COUNTA('Mii List'!A$2:A$200),1)*K142)&gt;0)*((F142*OFFSET(I$2,0,0,COUNTA('Mii List'!A$2:A$200),1)+G142*OFFSET(J$2,0,0,COUNTA('Mii List'!A$2:A$200),1)+H142*OFFSET(K$2,0,0,COUNTA('Mii List'!A$2:A$200),1))&gt;0)*(ROW(OFFSET($A$2,0,0,COUNTA('Mii List'!A$2:A$200),1))&lt;&gt;ROW())*OFFSET(L$2,0,0,COUNTA('Mii List'!A$2:A$200),1))/L142))</f>
        <v/>
      </c>
      <c r="P142" s="46" t="str">
        <f t="shared" si="20"/>
        <v/>
      </c>
    </row>
    <row r="143" spans="1:16" x14ac:dyDescent="0.35">
      <c r="A143" s="46" t="str" cm="1">
        <f t="array" ref="A143">IF(ROW()-1&gt;COUNTA('Mii List'!A$2:A$200),"",INDEX('Mii List'!A$2:A$200,ROW()-1))</f>
        <v/>
      </c>
      <c r="B143" s="46" t="str">
        <f>IF(A143="","",INDEX('Mii List'!B$2:B$200,MATCH(A143,'Mii List'!A$2:A$200,0)))</f>
        <v/>
      </c>
      <c r="C143" s="46" t="str">
        <f>IF(A143="","",INDEX('Mii List'!C$2:C$200,MATCH(A143,'Mii List'!A$2:A$200,0)))</f>
        <v/>
      </c>
      <c r="D143" s="46" t="str">
        <f>IF(A143="","",INDEX('Mii List'!D$2:D$200,MATCH(A143,'Mii List'!A$2:A$200,0)))</f>
        <v/>
      </c>
      <c r="E143" s="46" t="str">
        <f>IF(A143="","",INDEX('Mii List'!E$2:E$200,MATCH(A143,'Mii List'!A$2:A$200,0)))</f>
        <v/>
      </c>
      <c r="F143" s="46">
        <f t="shared" si="14"/>
        <v>0</v>
      </c>
      <c r="G143" s="46">
        <f t="shared" si="15"/>
        <v>0</v>
      </c>
      <c r="H143" s="46">
        <f t="shared" si="16"/>
        <v>0</v>
      </c>
      <c r="I143" s="46">
        <f t="shared" si="17"/>
        <v>0</v>
      </c>
      <c r="J143" s="46">
        <f t="shared" si="18"/>
        <v>0</v>
      </c>
      <c r="K143" s="46">
        <f t="shared" si="19"/>
        <v>0</v>
      </c>
      <c r="L143" s="46" cm="1">
        <f t="array" ref="L143">IF(A143="",0,SUMPRODUCT((A$2:A$201&lt;&gt;"")*((F$2:F$201*I143+G$2:G$201*J143+H$2:H$201*K143)&gt;0)*((F143*I$2:I$201+G143*J$2:J$201+H143*K$2:K$201)&gt;0))-IF(F143*I143+G143*J143+H143*K143&gt;0,1,0))</f>
        <v>0</v>
      </c>
      <c r="M143" s="46" t="str" cm="1">
        <f t="array" ref="M143">IF(A143="","",SUMPRODUCT((A$2:A$201&lt;&gt;"")*(L$2:L$201&lt;L143))+SUMPRODUCT((A$2:A$201&lt;&gt;"")*(L$2:L$201=L143)*(A$2:A$201&lt;A143))+1)</f>
        <v/>
      </c>
      <c r="N143" s="46" t="str" cm="1">
        <f t="array" aca="1" ref="N143" ca="1">IF(A143="","",SUMPRODUCT(((OFFSET(F$2,0,0,COUNTA('Mii List'!A$2:A$200),1)*I143+OFFSET(G$2,0,0,COUNTA('Mii List'!A$2:A$200),1)*J143+OFFSET(H$2,0,0,COUNTA('Mii List'!A$2:A$200),1)*K143)&gt;0)*((F143*OFFSET(I$2,0,0,COUNTA('Mii List'!A$2:A$200),1)+G143*OFFSET(J$2,0,0,COUNTA('Mii List'!A$2:A$200),1)+H143*OFFSET(K$2,0,0,COUNTA('Mii List'!A$2:A$200),1))&gt;0)*(ROW(OFFSET($A$2,0,0,COUNTA('Mii List'!A$2:A$200),1))&lt;&gt;ROW())*IF(OFFSET(L$2,0,0,COUNTA('Mii List'!A$2:A$200),1)&gt;0,1/OFFSET(L$2,0,0,COUNTA('Mii List'!A$2:A$200),1),0)))</f>
        <v/>
      </c>
      <c r="O143" s="46" t="str" cm="1">
        <f t="array" aca="1" ref="O143" ca="1">IF(A143="","",IF(L143=0,0,SUMPRODUCT(((OFFSET(F$2,0,0,COUNTA('Mii List'!A$2:A$200),1)*I143+OFFSET(G$2,0,0,COUNTA('Mii List'!A$2:A$200),1)*J143+OFFSET(H$2,0,0,COUNTA('Mii List'!A$2:A$200),1)*K143)&gt;0)*((F143*OFFSET(I$2,0,0,COUNTA('Mii List'!A$2:A$200),1)+G143*OFFSET(J$2,0,0,COUNTA('Mii List'!A$2:A$200),1)+H143*OFFSET(K$2,0,0,COUNTA('Mii List'!A$2:A$200),1))&gt;0)*(ROW(OFFSET($A$2,0,0,COUNTA('Mii List'!A$2:A$200),1))&lt;&gt;ROW())*OFFSET(L$2,0,0,COUNTA('Mii List'!A$2:A$200),1))/L143))</f>
        <v/>
      </c>
      <c r="P143" s="46" t="str">
        <f t="shared" si="20"/>
        <v/>
      </c>
    </row>
    <row r="144" spans="1:16" x14ac:dyDescent="0.35">
      <c r="A144" s="46" t="str" cm="1">
        <f t="array" ref="A144">IF(ROW()-1&gt;COUNTA('Mii List'!A$2:A$200),"",INDEX('Mii List'!A$2:A$200,ROW()-1))</f>
        <v/>
      </c>
      <c r="B144" s="46" t="str">
        <f>IF(A144="","",INDEX('Mii List'!B$2:B$200,MATCH(A144,'Mii List'!A$2:A$200,0)))</f>
        <v/>
      </c>
      <c r="C144" s="46" t="str">
        <f>IF(A144="","",INDEX('Mii List'!C$2:C$200,MATCH(A144,'Mii List'!A$2:A$200,0)))</f>
        <v/>
      </c>
      <c r="D144" s="46" t="str">
        <f>IF(A144="","",INDEX('Mii List'!D$2:D$200,MATCH(A144,'Mii List'!A$2:A$200,0)))</f>
        <v/>
      </c>
      <c r="E144" s="46" t="str">
        <f>IF(A144="","",INDEX('Mii List'!E$2:E$200,MATCH(A144,'Mii List'!A$2:A$200,0)))</f>
        <v/>
      </c>
      <c r="F144" s="46">
        <f t="shared" si="14"/>
        <v>0</v>
      </c>
      <c r="G144" s="46">
        <f t="shared" si="15"/>
        <v>0</v>
      </c>
      <c r="H144" s="46">
        <f t="shared" si="16"/>
        <v>0</v>
      </c>
      <c r="I144" s="46">
        <f t="shared" si="17"/>
        <v>0</v>
      </c>
      <c r="J144" s="46">
        <f t="shared" si="18"/>
        <v>0</v>
      </c>
      <c r="K144" s="46">
        <f t="shared" si="19"/>
        <v>0</v>
      </c>
      <c r="L144" s="46" cm="1">
        <f t="array" ref="L144">IF(A144="",0,SUMPRODUCT((A$2:A$201&lt;&gt;"")*((F$2:F$201*I144+G$2:G$201*J144+H$2:H$201*K144)&gt;0)*((F144*I$2:I$201+G144*J$2:J$201+H144*K$2:K$201)&gt;0))-IF(F144*I144+G144*J144+H144*K144&gt;0,1,0))</f>
        <v>0</v>
      </c>
      <c r="M144" s="46" t="str" cm="1">
        <f t="array" ref="M144">IF(A144="","",SUMPRODUCT((A$2:A$201&lt;&gt;"")*(L$2:L$201&lt;L144))+SUMPRODUCT((A$2:A$201&lt;&gt;"")*(L$2:L$201=L144)*(A$2:A$201&lt;A144))+1)</f>
        <v/>
      </c>
      <c r="N144" s="46" t="str" cm="1">
        <f t="array" aca="1" ref="N144" ca="1">IF(A144="","",SUMPRODUCT(((OFFSET(F$2,0,0,COUNTA('Mii List'!A$2:A$200),1)*I144+OFFSET(G$2,0,0,COUNTA('Mii List'!A$2:A$200),1)*J144+OFFSET(H$2,0,0,COUNTA('Mii List'!A$2:A$200),1)*K144)&gt;0)*((F144*OFFSET(I$2,0,0,COUNTA('Mii List'!A$2:A$200),1)+G144*OFFSET(J$2,0,0,COUNTA('Mii List'!A$2:A$200),1)+H144*OFFSET(K$2,0,0,COUNTA('Mii List'!A$2:A$200),1))&gt;0)*(ROW(OFFSET($A$2,0,0,COUNTA('Mii List'!A$2:A$200),1))&lt;&gt;ROW())*IF(OFFSET(L$2,0,0,COUNTA('Mii List'!A$2:A$200),1)&gt;0,1/OFFSET(L$2,0,0,COUNTA('Mii List'!A$2:A$200),1),0)))</f>
        <v/>
      </c>
      <c r="O144" s="46" t="str" cm="1">
        <f t="array" aca="1" ref="O144" ca="1">IF(A144="","",IF(L144=0,0,SUMPRODUCT(((OFFSET(F$2,0,0,COUNTA('Mii List'!A$2:A$200),1)*I144+OFFSET(G$2,0,0,COUNTA('Mii List'!A$2:A$200),1)*J144+OFFSET(H$2,0,0,COUNTA('Mii List'!A$2:A$200),1)*K144)&gt;0)*((F144*OFFSET(I$2,0,0,COUNTA('Mii List'!A$2:A$200),1)+G144*OFFSET(J$2,0,0,COUNTA('Mii List'!A$2:A$200),1)+H144*OFFSET(K$2,0,0,COUNTA('Mii List'!A$2:A$200),1))&gt;0)*(ROW(OFFSET($A$2,0,0,COUNTA('Mii List'!A$2:A$200),1))&lt;&gt;ROW())*OFFSET(L$2,0,0,COUNTA('Mii List'!A$2:A$200),1))/L144))</f>
        <v/>
      </c>
      <c r="P144" s="46" t="str">
        <f t="shared" si="20"/>
        <v/>
      </c>
    </row>
    <row r="145" spans="1:16" x14ac:dyDescent="0.35">
      <c r="A145" s="46" t="str" cm="1">
        <f t="array" ref="A145">IF(ROW()-1&gt;COUNTA('Mii List'!A$2:A$200),"",INDEX('Mii List'!A$2:A$200,ROW()-1))</f>
        <v/>
      </c>
      <c r="B145" s="46" t="str">
        <f>IF(A145="","",INDEX('Mii List'!B$2:B$200,MATCH(A145,'Mii List'!A$2:A$200,0)))</f>
        <v/>
      </c>
      <c r="C145" s="46" t="str">
        <f>IF(A145="","",INDEX('Mii List'!C$2:C$200,MATCH(A145,'Mii List'!A$2:A$200,0)))</f>
        <v/>
      </c>
      <c r="D145" s="46" t="str">
        <f>IF(A145="","",INDEX('Mii List'!D$2:D$200,MATCH(A145,'Mii List'!A$2:A$200,0)))</f>
        <v/>
      </c>
      <c r="E145" s="46" t="str">
        <f>IF(A145="","",INDEX('Mii List'!E$2:E$200,MATCH(A145,'Mii List'!A$2:A$200,0)))</f>
        <v/>
      </c>
      <c r="F145" s="46">
        <f t="shared" si="14"/>
        <v>0</v>
      </c>
      <c r="G145" s="46">
        <f t="shared" si="15"/>
        <v>0</v>
      </c>
      <c r="H145" s="46">
        <f t="shared" si="16"/>
        <v>0</v>
      </c>
      <c r="I145" s="46">
        <f t="shared" si="17"/>
        <v>0</v>
      </c>
      <c r="J145" s="46">
        <f t="shared" si="18"/>
        <v>0</v>
      </c>
      <c r="K145" s="46">
        <f t="shared" si="19"/>
        <v>0</v>
      </c>
      <c r="L145" s="46" cm="1">
        <f t="array" ref="L145">IF(A145="",0,SUMPRODUCT((A$2:A$201&lt;&gt;"")*((F$2:F$201*I145+G$2:G$201*J145+H$2:H$201*K145)&gt;0)*((F145*I$2:I$201+G145*J$2:J$201+H145*K$2:K$201)&gt;0))-IF(F145*I145+G145*J145+H145*K145&gt;0,1,0))</f>
        <v>0</v>
      </c>
      <c r="M145" s="46" t="str" cm="1">
        <f t="array" ref="M145">IF(A145="","",SUMPRODUCT((A$2:A$201&lt;&gt;"")*(L$2:L$201&lt;L145))+SUMPRODUCT((A$2:A$201&lt;&gt;"")*(L$2:L$201=L145)*(A$2:A$201&lt;A145))+1)</f>
        <v/>
      </c>
      <c r="N145" s="46" t="str" cm="1">
        <f t="array" aca="1" ref="N145" ca="1">IF(A145="","",SUMPRODUCT(((OFFSET(F$2,0,0,COUNTA('Mii List'!A$2:A$200),1)*I145+OFFSET(G$2,0,0,COUNTA('Mii List'!A$2:A$200),1)*J145+OFFSET(H$2,0,0,COUNTA('Mii List'!A$2:A$200),1)*K145)&gt;0)*((F145*OFFSET(I$2,0,0,COUNTA('Mii List'!A$2:A$200),1)+G145*OFFSET(J$2,0,0,COUNTA('Mii List'!A$2:A$200),1)+H145*OFFSET(K$2,0,0,COUNTA('Mii List'!A$2:A$200),1))&gt;0)*(ROW(OFFSET($A$2,0,0,COUNTA('Mii List'!A$2:A$200),1))&lt;&gt;ROW())*IF(OFFSET(L$2,0,0,COUNTA('Mii List'!A$2:A$200),1)&gt;0,1/OFFSET(L$2,0,0,COUNTA('Mii List'!A$2:A$200),1),0)))</f>
        <v/>
      </c>
      <c r="O145" s="46" t="str" cm="1">
        <f t="array" aca="1" ref="O145" ca="1">IF(A145="","",IF(L145=0,0,SUMPRODUCT(((OFFSET(F$2,0,0,COUNTA('Mii List'!A$2:A$200),1)*I145+OFFSET(G$2,0,0,COUNTA('Mii List'!A$2:A$200),1)*J145+OFFSET(H$2,0,0,COUNTA('Mii List'!A$2:A$200),1)*K145)&gt;0)*((F145*OFFSET(I$2,0,0,COUNTA('Mii List'!A$2:A$200),1)+G145*OFFSET(J$2,0,0,COUNTA('Mii List'!A$2:A$200),1)+H145*OFFSET(K$2,0,0,COUNTA('Mii List'!A$2:A$200),1))&gt;0)*(ROW(OFFSET($A$2,0,0,COUNTA('Mii List'!A$2:A$200),1))&lt;&gt;ROW())*OFFSET(L$2,0,0,COUNTA('Mii List'!A$2:A$200),1))/L145))</f>
        <v/>
      </c>
      <c r="P145" s="46" t="str">
        <f t="shared" si="20"/>
        <v/>
      </c>
    </row>
    <row r="146" spans="1:16" x14ac:dyDescent="0.35">
      <c r="A146" s="46" t="str" cm="1">
        <f t="array" ref="A146">IF(ROW()-1&gt;COUNTA('Mii List'!A$2:A$200),"",INDEX('Mii List'!A$2:A$200,ROW()-1))</f>
        <v/>
      </c>
      <c r="B146" s="46" t="str">
        <f>IF(A146="","",INDEX('Mii List'!B$2:B$200,MATCH(A146,'Mii List'!A$2:A$200,0)))</f>
        <v/>
      </c>
      <c r="C146" s="46" t="str">
        <f>IF(A146="","",INDEX('Mii List'!C$2:C$200,MATCH(A146,'Mii List'!A$2:A$200,0)))</f>
        <v/>
      </c>
      <c r="D146" s="46" t="str">
        <f>IF(A146="","",INDEX('Mii List'!D$2:D$200,MATCH(A146,'Mii List'!A$2:A$200,0)))</f>
        <v/>
      </c>
      <c r="E146" s="46" t="str">
        <f>IF(A146="","",INDEX('Mii List'!E$2:E$200,MATCH(A146,'Mii List'!A$2:A$200,0)))</f>
        <v/>
      </c>
      <c r="F146" s="46">
        <f t="shared" si="14"/>
        <v>0</v>
      </c>
      <c r="G146" s="46">
        <f t="shared" si="15"/>
        <v>0</v>
      </c>
      <c r="H146" s="46">
        <f t="shared" si="16"/>
        <v>0</v>
      </c>
      <c r="I146" s="46">
        <f t="shared" si="17"/>
        <v>0</v>
      </c>
      <c r="J146" s="46">
        <f t="shared" si="18"/>
        <v>0</v>
      </c>
      <c r="K146" s="46">
        <f t="shared" si="19"/>
        <v>0</v>
      </c>
      <c r="L146" s="46" cm="1">
        <f t="array" ref="L146">IF(A146="",0,SUMPRODUCT((A$2:A$201&lt;&gt;"")*((F$2:F$201*I146+G$2:G$201*J146+H$2:H$201*K146)&gt;0)*((F146*I$2:I$201+G146*J$2:J$201+H146*K$2:K$201)&gt;0))-IF(F146*I146+G146*J146+H146*K146&gt;0,1,0))</f>
        <v>0</v>
      </c>
      <c r="M146" s="46" t="str" cm="1">
        <f t="array" ref="M146">IF(A146="","",SUMPRODUCT((A$2:A$201&lt;&gt;"")*(L$2:L$201&lt;L146))+SUMPRODUCT((A$2:A$201&lt;&gt;"")*(L$2:L$201=L146)*(A$2:A$201&lt;A146))+1)</f>
        <v/>
      </c>
      <c r="N146" s="46" t="str" cm="1">
        <f t="array" aca="1" ref="N146" ca="1">IF(A146="","",SUMPRODUCT(((OFFSET(F$2,0,0,COUNTA('Mii List'!A$2:A$200),1)*I146+OFFSET(G$2,0,0,COUNTA('Mii List'!A$2:A$200),1)*J146+OFFSET(H$2,0,0,COUNTA('Mii List'!A$2:A$200),1)*K146)&gt;0)*((F146*OFFSET(I$2,0,0,COUNTA('Mii List'!A$2:A$200),1)+G146*OFFSET(J$2,0,0,COUNTA('Mii List'!A$2:A$200),1)+H146*OFFSET(K$2,0,0,COUNTA('Mii List'!A$2:A$200),1))&gt;0)*(ROW(OFFSET($A$2,0,0,COUNTA('Mii List'!A$2:A$200),1))&lt;&gt;ROW())*IF(OFFSET(L$2,0,0,COUNTA('Mii List'!A$2:A$200),1)&gt;0,1/OFFSET(L$2,0,0,COUNTA('Mii List'!A$2:A$200),1),0)))</f>
        <v/>
      </c>
      <c r="O146" s="46" t="str" cm="1">
        <f t="array" aca="1" ref="O146" ca="1">IF(A146="","",IF(L146=0,0,SUMPRODUCT(((OFFSET(F$2,0,0,COUNTA('Mii List'!A$2:A$200),1)*I146+OFFSET(G$2,0,0,COUNTA('Mii List'!A$2:A$200),1)*J146+OFFSET(H$2,0,0,COUNTA('Mii List'!A$2:A$200),1)*K146)&gt;0)*((F146*OFFSET(I$2,0,0,COUNTA('Mii List'!A$2:A$200),1)+G146*OFFSET(J$2,0,0,COUNTA('Mii List'!A$2:A$200),1)+H146*OFFSET(K$2,0,0,COUNTA('Mii List'!A$2:A$200),1))&gt;0)*(ROW(OFFSET($A$2,0,0,COUNTA('Mii List'!A$2:A$200),1))&lt;&gt;ROW())*OFFSET(L$2,0,0,COUNTA('Mii List'!A$2:A$200),1))/L146))</f>
        <v/>
      </c>
      <c r="P146" s="46" t="str">
        <f t="shared" si="20"/>
        <v/>
      </c>
    </row>
    <row r="147" spans="1:16" x14ac:dyDescent="0.35">
      <c r="A147" s="46" t="str" cm="1">
        <f t="array" ref="A147">IF(ROW()-1&gt;COUNTA('Mii List'!A$2:A$200),"",INDEX('Mii List'!A$2:A$200,ROW()-1))</f>
        <v/>
      </c>
      <c r="B147" s="46" t="str">
        <f>IF(A147="","",INDEX('Mii List'!B$2:B$200,MATCH(A147,'Mii List'!A$2:A$200,0)))</f>
        <v/>
      </c>
      <c r="C147" s="46" t="str">
        <f>IF(A147="","",INDEX('Mii List'!C$2:C$200,MATCH(A147,'Mii List'!A$2:A$200,0)))</f>
        <v/>
      </c>
      <c r="D147" s="46" t="str">
        <f>IF(A147="","",INDEX('Mii List'!D$2:D$200,MATCH(A147,'Mii List'!A$2:A$200,0)))</f>
        <v/>
      </c>
      <c r="E147" s="46" t="str">
        <f>IF(A147="","",INDEX('Mii List'!E$2:E$200,MATCH(A147,'Mii List'!A$2:A$200,0)))</f>
        <v/>
      </c>
      <c r="F147" s="46">
        <f t="shared" si="14"/>
        <v>0</v>
      </c>
      <c r="G147" s="46">
        <f t="shared" si="15"/>
        <v>0</v>
      </c>
      <c r="H147" s="46">
        <f t="shared" si="16"/>
        <v>0</v>
      </c>
      <c r="I147" s="46">
        <f t="shared" si="17"/>
        <v>0</v>
      </c>
      <c r="J147" s="46">
        <f t="shared" si="18"/>
        <v>0</v>
      </c>
      <c r="K147" s="46">
        <f t="shared" si="19"/>
        <v>0</v>
      </c>
      <c r="L147" s="46" cm="1">
        <f t="array" ref="L147">IF(A147="",0,SUMPRODUCT((A$2:A$201&lt;&gt;"")*((F$2:F$201*I147+G$2:G$201*J147+H$2:H$201*K147)&gt;0)*((F147*I$2:I$201+G147*J$2:J$201+H147*K$2:K$201)&gt;0))-IF(F147*I147+G147*J147+H147*K147&gt;0,1,0))</f>
        <v>0</v>
      </c>
      <c r="M147" s="46" t="str" cm="1">
        <f t="array" ref="M147">IF(A147="","",SUMPRODUCT((A$2:A$201&lt;&gt;"")*(L$2:L$201&lt;L147))+SUMPRODUCT((A$2:A$201&lt;&gt;"")*(L$2:L$201=L147)*(A$2:A$201&lt;A147))+1)</f>
        <v/>
      </c>
      <c r="N147" s="46" t="str" cm="1">
        <f t="array" aca="1" ref="N147" ca="1">IF(A147="","",SUMPRODUCT(((OFFSET(F$2,0,0,COUNTA('Mii List'!A$2:A$200),1)*I147+OFFSET(G$2,0,0,COUNTA('Mii List'!A$2:A$200),1)*J147+OFFSET(H$2,0,0,COUNTA('Mii List'!A$2:A$200),1)*K147)&gt;0)*((F147*OFFSET(I$2,0,0,COUNTA('Mii List'!A$2:A$200),1)+G147*OFFSET(J$2,0,0,COUNTA('Mii List'!A$2:A$200),1)+H147*OFFSET(K$2,0,0,COUNTA('Mii List'!A$2:A$200),1))&gt;0)*(ROW(OFFSET($A$2,0,0,COUNTA('Mii List'!A$2:A$200),1))&lt;&gt;ROW())*IF(OFFSET(L$2,0,0,COUNTA('Mii List'!A$2:A$200),1)&gt;0,1/OFFSET(L$2,0,0,COUNTA('Mii List'!A$2:A$200),1),0)))</f>
        <v/>
      </c>
      <c r="O147" s="46" t="str" cm="1">
        <f t="array" aca="1" ref="O147" ca="1">IF(A147="","",IF(L147=0,0,SUMPRODUCT(((OFFSET(F$2,0,0,COUNTA('Mii List'!A$2:A$200),1)*I147+OFFSET(G$2,0,0,COUNTA('Mii List'!A$2:A$200),1)*J147+OFFSET(H$2,0,0,COUNTA('Mii List'!A$2:A$200),1)*K147)&gt;0)*((F147*OFFSET(I$2,0,0,COUNTA('Mii List'!A$2:A$200),1)+G147*OFFSET(J$2,0,0,COUNTA('Mii List'!A$2:A$200),1)+H147*OFFSET(K$2,0,0,COUNTA('Mii List'!A$2:A$200),1))&gt;0)*(ROW(OFFSET($A$2,0,0,COUNTA('Mii List'!A$2:A$200),1))&lt;&gt;ROW())*OFFSET(L$2,0,0,COUNTA('Mii List'!A$2:A$200),1))/L147))</f>
        <v/>
      </c>
      <c r="P147" s="46" t="str">
        <f t="shared" si="20"/>
        <v/>
      </c>
    </row>
    <row r="148" spans="1:16" x14ac:dyDescent="0.35">
      <c r="A148" s="46" t="str" cm="1">
        <f t="array" ref="A148">IF(ROW()-1&gt;COUNTA('Mii List'!A$2:A$200),"",INDEX('Mii List'!A$2:A$200,ROW()-1))</f>
        <v/>
      </c>
      <c r="B148" s="46" t="str">
        <f>IF(A148="","",INDEX('Mii List'!B$2:B$200,MATCH(A148,'Mii List'!A$2:A$200,0)))</f>
        <v/>
      </c>
      <c r="C148" s="46" t="str">
        <f>IF(A148="","",INDEX('Mii List'!C$2:C$200,MATCH(A148,'Mii List'!A$2:A$200,0)))</f>
        <v/>
      </c>
      <c r="D148" s="46" t="str">
        <f>IF(A148="","",INDEX('Mii List'!D$2:D$200,MATCH(A148,'Mii List'!A$2:A$200,0)))</f>
        <v/>
      </c>
      <c r="E148" s="46" t="str">
        <f>IF(A148="","",INDEX('Mii List'!E$2:E$200,MATCH(A148,'Mii List'!A$2:A$200,0)))</f>
        <v/>
      </c>
      <c r="F148" s="46">
        <f t="shared" si="14"/>
        <v>0</v>
      </c>
      <c r="G148" s="46">
        <f t="shared" si="15"/>
        <v>0</v>
      </c>
      <c r="H148" s="46">
        <f t="shared" si="16"/>
        <v>0</v>
      </c>
      <c r="I148" s="46">
        <f t="shared" si="17"/>
        <v>0</v>
      </c>
      <c r="J148" s="46">
        <f t="shared" si="18"/>
        <v>0</v>
      </c>
      <c r="K148" s="46">
        <f t="shared" si="19"/>
        <v>0</v>
      </c>
      <c r="L148" s="46" cm="1">
        <f t="array" ref="L148">IF(A148="",0,SUMPRODUCT((A$2:A$201&lt;&gt;"")*((F$2:F$201*I148+G$2:G$201*J148+H$2:H$201*K148)&gt;0)*((F148*I$2:I$201+G148*J$2:J$201+H148*K$2:K$201)&gt;0))-IF(F148*I148+G148*J148+H148*K148&gt;0,1,0))</f>
        <v>0</v>
      </c>
      <c r="M148" s="46" t="str" cm="1">
        <f t="array" ref="M148">IF(A148="","",SUMPRODUCT((A$2:A$201&lt;&gt;"")*(L$2:L$201&lt;L148))+SUMPRODUCT((A$2:A$201&lt;&gt;"")*(L$2:L$201=L148)*(A$2:A$201&lt;A148))+1)</f>
        <v/>
      </c>
      <c r="N148" s="46" t="str" cm="1">
        <f t="array" aca="1" ref="N148" ca="1">IF(A148="","",SUMPRODUCT(((OFFSET(F$2,0,0,COUNTA('Mii List'!A$2:A$200),1)*I148+OFFSET(G$2,0,0,COUNTA('Mii List'!A$2:A$200),1)*J148+OFFSET(H$2,0,0,COUNTA('Mii List'!A$2:A$200),1)*K148)&gt;0)*((F148*OFFSET(I$2,0,0,COUNTA('Mii List'!A$2:A$200),1)+G148*OFFSET(J$2,0,0,COUNTA('Mii List'!A$2:A$200),1)+H148*OFFSET(K$2,0,0,COUNTA('Mii List'!A$2:A$200),1))&gt;0)*(ROW(OFFSET($A$2,0,0,COUNTA('Mii List'!A$2:A$200),1))&lt;&gt;ROW())*IF(OFFSET(L$2,0,0,COUNTA('Mii List'!A$2:A$200),1)&gt;0,1/OFFSET(L$2,0,0,COUNTA('Mii List'!A$2:A$200),1),0)))</f>
        <v/>
      </c>
      <c r="O148" s="46" t="str" cm="1">
        <f t="array" aca="1" ref="O148" ca="1">IF(A148="","",IF(L148=0,0,SUMPRODUCT(((OFFSET(F$2,0,0,COUNTA('Mii List'!A$2:A$200),1)*I148+OFFSET(G$2,0,0,COUNTA('Mii List'!A$2:A$200),1)*J148+OFFSET(H$2,0,0,COUNTA('Mii List'!A$2:A$200),1)*K148)&gt;0)*((F148*OFFSET(I$2,0,0,COUNTA('Mii List'!A$2:A$200),1)+G148*OFFSET(J$2,0,0,COUNTA('Mii List'!A$2:A$200),1)+H148*OFFSET(K$2,0,0,COUNTA('Mii List'!A$2:A$200),1))&gt;0)*(ROW(OFFSET($A$2,0,0,COUNTA('Mii List'!A$2:A$200),1))&lt;&gt;ROW())*OFFSET(L$2,0,0,COUNTA('Mii List'!A$2:A$200),1))/L148))</f>
        <v/>
      </c>
      <c r="P148" s="46" t="str">
        <f t="shared" si="20"/>
        <v/>
      </c>
    </row>
    <row r="149" spans="1:16" x14ac:dyDescent="0.35">
      <c r="A149" s="46" t="str" cm="1">
        <f t="array" ref="A149">IF(ROW()-1&gt;COUNTA('Mii List'!A$2:A$200),"",INDEX('Mii List'!A$2:A$200,ROW()-1))</f>
        <v/>
      </c>
      <c r="B149" s="46" t="str">
        <f>IF(A149="","",INDEX('Mii List'!B$2:B$200,MATCH(A149,'Mii List'!A$2:A$200,0)))</f>
        <v/>
      </c>
      <c r="C149" s="46" t="str">
        <f>IF(A149="","",INDEX('Mii List'!C$2:C$200,MATCH(A149,'Mii List'!A$2:A$200,0)))</f>
        <v/>
      </c>
      <c r="D149" s="46" t="str">
        <f>IF(A149="","",INDEX('Mii List'!D$2:D$200,MATCH(A149,'Mii List'!A$2:A$200,0)))</f>
        <v/>
      </c>
      <c r="E149" s="46" t="str">
        <f>IF(A149="","",INDEX('Mii List'!E$2:E$200,MATCH(A149,'Mii List'!A$2:A$200,0)))</f>
        <v/>
      </c>
      <c r="F149" s="46">
        <f t="shared" si="14"/>
        <v>0</v>
      </c>
      <c r="G149" s="46">
        <f t="shared" si="15"/>
        <v>0</v>
      </c>
      <c r="H149" s="46">
        <f t="shared" si="16"/>
        <v>0</v>
      </c>
      <c r="I149" s="46">
        <f t="shared" si="17"/>
        <v>0</v>
      </c>
      <c r="J149" s="46">
        <f t="shared" si="18"/>
        <v>0</v>
      </c>
      <c r="K149" s="46">
        <f t="shared" si="19"/>
        <v>0</v>
      </c>
      <c r="L149" s="46" cm="1">
        <f t="array" ref="L149">IF(A149="",0,SUMPRODUCT((A$2:A$201&lt;&gt;"")*((F$2:F$201*I149+G$2:G$201*J149+H$2:H$201*K149)&gt;0)*((F149*I$2:I$201+G149*J$2:J$201+H149*K$2:K$201)&gt;0))-IF(F149*I149+G149*J149+H149*K149&gt;0,1,0))</f>
        <v>0</v>
      </c>
      <c r="M149" s="46" t="str" cm="1">
        <f t="array" ref="M149">IF(A149="","",SUMPRODUCT((A$2:A$201&lt;&gt;"")*(L$2:L$201&lt;L149))+SUMPRODUCT((A$2:A$201&lt;&gt;"")*(L$2:L$201=L149)*(A$2:A$201&lt;A149))+1)</f>
        <v/>
      </c>
      <c r="N149" s="46" t="str" cm="1">
        <f t="array" aca="1" ref="N149" ca="1">IF(A149="","",SUMPRODUCT(((OFFSET(F$2,0,0,COUNTA('Mii List'!A$2:A$200),1)*I149+OFFSET(G$2,0,0,COUNTA('Mii List'!A$2:A$200),1)*J149+OFFSET(H$2,0,0,COUNTA('Mii List'!A$2:A$200),1)*K149)&gt;0)*((F149*OFFSET(I$2,0,0,COUNTA('Mii List'!A$2:A$200),1)+G149*OFFSET(J$2,0,0,COUNTA('Mii List'!A$2:A$200),1)+H149*OFFSET(K$2,0,0,COUNTA('Mii List'!A$2:A$200),1))&gt;0)*(ROW(OFFSET($A$2,0,0,COUNTA('Mii List'!A$2:A$200),1))&lt;&gt;ROW())*IF(OFFSET(L$2,0,0,COUNTA('Mii List'!A$2:A$200),1)&gt;0,1/OFFSET(L$2,0,0,COUNTA('Mii List'!A$2:A$200),1),0)))</f>
        <v/>
      </c>
      <c r="O149" s="46" t="str" cm="1">
        <f t="array" aca="1" ref="O149" ca="1">IF(A149="","",IF(L149=0,0,SUMPRODUCT(((OFFSET(F$2,0,0,COUNTA('Mii List'!A$2:A$200),1)*I149+OFFSET(G$2,0,0,COUNTA('Mii List'!A$2:A$200),1)*J149+OFFSET(H$2,0,0,COUNTA('Mii List'!A$2:A$200),1)*K149)&gt;0)*((F149*OFFSET(I$2,0,0,COUNTA('Mii List'!A$2:A$200),1)+G149*OFFSET(J$2,0,0,COUNTA('Mii List'!A$2:A$200),1)+H149*OFFSET(K$2,0,0,COUNTA('Mii List'!A$2:A$200),1))&gt;0)*(ROW(OFFSET($A$2,0,0,COUNTA('Mii List'!A$2:A$200),1))&lt;&gt;ROW())*OFFSET(L$2,0,0,COUNTA('Mii List'!A$2:A$200),1))/L149))</f>
        <v/>
      </c>
      <c r="P149" s="46" t="str">
        <f t="shared" si="20"/>
        <v/>
      </c>
    </row>
    <row r="150" spans="1:16" x14ac:dyDescent="0.35">
      <c r="A150" s="46" t="str" cm="1">
        <f t="array" ref="A150">IF(ROW()-1&gt;COUNTA('Mii List'!A$2:A$200),"",INDEX('Mii List'!A$2:A$200,ROW()-1))</f>
        <v/>
      </c>
      <c r="B150" s="46" t="str">
        <f>IF(A150="","",INDEX('Mii List'!B$2:B$200,MATCH(A150,'Mii List'!A$2:A$200,0)))</f>
        <v/>
      </c>
      <c r="C150" s="46" t="str">
        <f>IF(A150="","",INDEX('Mii List'!C$2:C$200,MATCH(A150,'Mii List'!A$2:A$200,0)))</f>
        <v/>
      </c>
      <c r="D150" s="46" t="str">
        <f>IF(A150="","",INDEX('Mii List'!D$2:D$200,MATCH(A150,'Mii List'!A$2:A$200,0)))</f>
        <v/>
      </c>
      <c r="E150" s="46" t="str">
        <f>IF(A150="","",INDEX('Mii List'!E$2:E$200,MATCH(A150,'Mii List'!A$2:A$200,0)))</f>
        <v/>
      </c>
      <c r="F150" s="46">
        <f t="shared" si="14"/>
        <v>0</v>
      </c>
      <c r="G150" s="46">
        <f t="shared" si="15"/>
        <v>0</v>
      </c>
      <c r="H150" s="46">
        <f t="shared" si="16"/>
        <v>0</v>
      </c>
      <c r="I150" s="46">
        <f t="shared" si="17"/>
        <v>0</v>
      </c>
      <c r="J150" s="46">
        <f t="shared" si="18"/>
        <v>0</v>
      </c>
      <c r="K150" s="46">
        <f t="shared" si="19"/>
        <v>0</v>
      </c>
      <c r="L150" s="46" cm="1">
        <f t="array" ref="L150">IF(A150="",0,SUMPRODUCT((A$2:A$201&lt;&gt;"")*((F$2:F$201*I150+G$2:G$201*J150+H$2:H$201*K150)&gt;0)*((F150*I$2:I$201+G150*J$2:J$201+H150*K$2:K$201)&gt;0))-IF(F150*I150+G150*J150+H150*K150&gt;0,1,0))</f>
        <v>0</v>
      </c>
      <c r="M150" s="46" t="str" cm="1">
        <f t="array" ref="M150">IF(A150="","",SUMPRODUCT((A$2:A$201&lt;&gt;"")*(L$2:L$201&lt;L150))+SUMPRODUCT((A$2:A$201&lt;&gt;"")*(L$2:L$201=L150)*(A$2:A$201&lt;A150))+1)</f>
        <v/>
      </c>
      <c r="N150" s="46" t="str" cm="1">
        <f t="array" aca="1" ref="N150" ca="1">IF(A150="","",SUMPRODUCT(((OFFSET(F$2,0,0,COUNTA('Mii List'!A$2:A$200),1)*I150+OFFSET(G$2,0,0,COUNTA('Mii List'!A$2:A$200),1)*J150+OFFSET(H$2,0,0,COUNTA('Mii List'!A$2:A$200),1)*K150)&gt;0)*((F150*OFFSET(I$2,0,0,COUNTA('Mii List'!A$2:A$200),1)+G150*OFFSET(J$2,0,0,COUNTA('Mii List'!A$2:A$200),1)+H150*OFFSET(K$2,0,0,COUNTA('Mii List'!A$2:A$200),1))&gt;0)*(ROW(OFFSET($A$2,0,0,COUNTA('Mii List'!A$2:A$200),1))&lt;&gt;ROW())*IF(OFFSET(L$2,0,0,COUNTA('Mii List'!A$2:A$200),1)&gt;0,1/OFFSET(L$2,0,0,COUNTA('Mii List'!A$2:A$200),1),0)))</f>
        <v/>
      </c>
      <c r="O150" s="46" t="str" cm="1">
        <f t="array" aca="1" ref="O150" ca="1">IF(A150="","",IF(L150=0,0,SUMPRODUCT(((OFFSET(F$2,0,0,COUNTA('Mii List'!A$2:A$200),1)*I150+OFFSET(G$2,0,0,COUNTA('Mii List'!A$2:A$200),1)*J150+OFFSET(H$2,0,0,COUNTA('Mii List'!A$2:A$200),1)*K150)&gt;0)*((F150*OFFSET(I$2,0,0,COUNTA('Mii List'!A$2:A$200),1)+G150*OFFSET(J$2,0,0,COUNTA('Mii List'!A$2:A$200),1)+H150*OFFSET(K$2,0,0,COUNTA('Mii List'!A$2:A$200),1))&gt;0)*(ROW(OFFSET($A$2,0,0,COUNTA('Mii List'!A$2:A$200),1))&lt;&gt;ROW())*OFFSET(L$2,0,0,COUNTA('Mii List'!A$2:A$200),1))/L150))</f>
        <v/>
      </c>
      <c r="P150" s="46" t="str">
        <f t="shared" si="20"/>
        <v/>
      </c>
    </row>
    <row r="151" spans="1:16" x14ac:dyDescent="0.35">
      <c r="A151" s="46" t="str" cm="1">
        <f t="array" ref="A151">IF(ROW()-1&gt;COUNTA('Mii List'!A$2:A$200),"",INDEX('Mii List'!A$2:A$200,ROW()-1))</f>
        <v/>
      </c>
      <c r="B151" s="46" t="str">
        <f>IF(A151="","",INDEX('Mii List'!B$2:B$200,MATCH(A151,'Mii List'!A$2:A$200,0)))</f>
        <v/>
      </c>
      <c r="C151" s="46" t="str">
        <f>IF(A151="","",INDEX('Mii List'!C$2:C$200,MATCH(A151,'Mii List'!A$2:A$200,0)))</f>
        <v/>
      </c>
      <c r="D151" s="46" t="str">
        <f>IF(A151="","",INDEX('Mii List'!D$2:D$200,MATCH(A151,'Mii List'!A$2:A$200,0)))</f>
        <v/>
      </c>
      <c r="E151" s="46" t="str">
        <f>IF(A151="","",INDEX('Mii List'!E$2:E$200,MATCH(A151,'Mii List'!A$2:A$200,0)))</f>
        <v/>
      </c>
      <c r="F151" s="46">
        <f t="shared" si="14"/>
        <v>0</v>
      </c>
      <c r="G151" s="46">
        <f t="shared" si="15"/>
        <v>0</v>
      </c>
      <c r="H151" s="46">
        <f t="shared" si="16"/>
        <v>0</v>
      </c>
      <c r="I151" s="46">
        <f t="shared" si="17"/>
        <v>0</v>
      </c>
      <c r="J151" s="46">
        <f t="shared" si="18"/>
        <v>0</v>
      </c>
      <c r="K151" s="46">
        <f t="shared" si="19"/>
        <v>0</v>
      </c>
      <c r="L151" s="46" cm="1">
        <f t="array" ref="L151">IF(A151="",0,SUMPRODUCT((A$2:A$201&lt;&gt;"")*((F$2:F$201*I151+G$2:G$201*J151+H$2:H$201*K151)&gt;0)*((F151*I$2:I$201+G151*J$2:J$201+H151*K$2:K$201)&gt;0))-IF(F151*I151+G151*J151+H151*K151&gt;0,1,0))</f>
        <v>0</v>
      </c>
      <c r="M151" s="46" t="str" cm="1">
        <f t="array" ref="M151">IF(A151="","",SUMPRODUCT((A$2:A$201&lt;&gt;"")*(L$2:L$201&lt;L151))+SUMPRODUCT((A$2:A$201&lt;&gt;"")*(L$2:L$201=L151)*(A$2:A$201&lt;A151))+1)</f>
        <v/>
      </c>
      <c r="N151" s="46" t="str" cm="1">
        <f t="array" aca="1" ref="N151" ca="1">IF(A151="","",SUMPRODUCT(((OFFSET(F$2,0,0,COUNTA('Mii List'!A$2:A$200),1)*I151+OFFSET(G$2,0,0,COUNTA('Mii List'!A$2:A$200),1)*J151+OFFSET(H$2,0,0,COUNTA('Mii List'!A$2:A$200),1)*K151)&gt;0)*((F151*OFFSET(I$2,0,0,COUNTA('Mii List'!A$2:A$200),1)+G151*OFFSET(J$2,0,0,COUNTA('Mii List'!A$2:A$200),1)+H151*OFFSET(K$2,0,0,COUNTA('Mii List'!A$2:A$200),1))&gt;0)*(ROW(OFFSET($A$2,0,0,COUNTA('Mii List'!A$2:A$200),1))&lt;&gt;ROW())*IF(OFFSET(L$2,0,0,COUNTA('Mii List'!A$2:A$200),1)&gt;0,1/OFFSET(L$2,0,0,COUNTA('Mii List'!A$2:A$200),1),0)))</f>
        <v/>
      </c>
      <c r="O151" s="46" t="str" cm="1">
        <f t="array" aca="1" ref="O151" ca="1">IF(A151="","",IF(L151=0,0,SUMPRODUCT(((OFFSET(F$2,0,0,COUNTA('Mii List'!A$2:A$200),1)*I151+OFFSET(G$2,0,0,COUNTA('Mii List'!A$2:A$200),1)*J151+OFFSET(H$2,0,0,COUNTA('Mii List'!A$2:A$200),1)*K151)&gt;0)*((F151*OFFSET(I$2,0,0,COUNTA('Mii List'!A$2:A$200),1)+G151*OFFSET(J$2,0,0,COUNTA('Mii List'!A$2:A$200),1)+H151*OFFSET(K$2,0,0,COUNTA('Mii List'!A$2:A$200),1))&gt;0)*(ROW(OFFSET($A$2,0,0,COUNTA('Mii List'!A$2:A$200),1))&lt;&gt;ROW())*OFFSET(L$2,0,0,COUNTA('Mii List'!A$2:A$200),1))/L151))</f>
        <v/>
      </c>
      <c r="P151" s="46" t="str">
        <f t="shared" si="20"/>
        <v/>
      </c>
    </row>
    <row r="152" spans="1:16" x14ac:dyDescent="0.35">
      <c r="A152" s="46" t="str" cm="1">
        <f t="array" ref="A152">IF(ROW()-1&gt;COUNTA('Mii List'!A$2:A$200),"",INDEX('Mii List'!A$2:A$200,ROW()-1))</f>
        <v/>
      </c>
      <c r="B152" s="46" t="str">
        <f>IF(A152="","",INDEX('Mii List'!B$2:B$200,MATCH(A152,'Mii List'!A$2:A$200,0)))</f>
        <v/>
      </c>
      <c r="C152" s="46" t="str">
        <f>IF(A152="","",INDEX('Mii List'!C$2:C$200,MATCH(A152,'Mii List'!A$2:A$200,0)))</f>
        <v/>
      </c>
      <c r="D152" s="46" t="str">
        <f>IF(A152="","",INDEX('Mii List'!D$2:D$200,MATCH(A152,'Mii List'!A$2:A$200,0)))</f>
        <v/>
      </c>
      <c r="E152" s="46" t="str">
        <f>IF(A152="","",INDEX('Mii List'!E$2:E$200,MATCH(A152,'Mii List'!A$2:A$200,0)))</f>
        <v/>
      </c>
      <c r="F152" s="46">
        <f t="shared" si="14"/>
        <v>0</v>
      </c>
      <c r="G152" s="46">
        <f t="shared" si="15"/>
        <v>0</v>
      </c>
      <c r="H152" s="46">
        <f t="shared" si="16"/>
        <v>0</v>
      </c>
      <c r="I152" s="46">
        <f t="shared" si="17"/>
        <v>0</v>
      </c>
      <c r="J152" s="46">
        <f t="shared" si="18"/>
        <v>0</v>
      </c>
      <c r="K152" s="46">
        <f t="shared" si="19"/>
        <v>0</v>
      </c>
      <c r="L152" s="46" cm="1">
        <f t="array" ref="L152">IF(A152="",0,SUMPRODUCT((A$2:A$201&lt;&gt;"")*((F$2:F$201*I152+G$2:G$201*J152+H$2:H$201*K152)&gt;0)*((F152*I$2:I$201+G152*J$2:J$201+H152*K$2:K$201)&gt;0))-IF(F152*I152+G152*J152+H152*K152&gt;0,1,0))</f>
        <v>0</v>
      </c>
      <c r="M152" s="46" t="str" cm="1">
        <f t="array" ref="M152">IF(A152="","",SUMPRODUCT((A$2:A$201&lt;&gt;"")*(L$2:L$201&lt;L152))+SUMPRODUCT((A$2:A$201&lt;&gt;"")*(L$2:L$201=L152)*(A$2:A$201&lt;A152))+1)</f>
        <v/>
      </c>
      <c r="N152" s="46" t="str" cm="1">
        <f t="array" aca="1" ref="N152" ca="1">IF(A152="","",SUMPRODUCT(((OFFSET(F$2,0,0,COUNTA('Mii List'!A$2:A$200),1)*I152+OFFSET(G$2,0,0,COUNTA('Mii List'!A$2:A$200),1)*J152+OFFSET(H$2,0,0,COUNTA('Mii List'!A$2:A$200),1)*K152)&gt;0)*((F152*OFFSET(I$2,0,0,COUNTA('Mii List'!A$2:A$200),1)+G152*OFFSET(J$2,0,0,COUNTA('Mii List'!A$2:A$200),1)+H152*OFFSET(K$2,0,0,COUNTA('Mii List'!A$2:A$200),1))&gt;0)*(ROW(OFFSET($A$2,0,0,COUNTA('Mii List'!A$2:A$200),1))&lt;&gt;ROW())*IF(OFFSET(L$2,0,0,COUNTA('Mii List'!A$2:A$200),1)&gt;0,1/OFFSET(L$2,0,0,COUNTA('Mii List'!A$2:A$200),1),0)))</f>
        <v/>
      </c>
      <c r="O152" s="46" t="str" cm="1">
        <f t="array" aca="1" ref="O152" ca="1">IF(A152="","",IF(L152=0,0,SUMPRODUCT(((OFFSET(F$2,0,0,COUNTA('Mii List'!A$2:A$200),1)*I152+OFFSET(G$2,0,0,COUNTA('Mii List'!A$2:A$200),1)*J152+OFFSET(H$2,0,0,COUNTA('Mii List'!A$2:A$200),1)*K152)&gt;0)*((F152*OFFSET(I$2,0,0,COUNTA('Mii List'!A$2:A$200),1)+G152*OFFSET(J$2,0,0,COUNTA('Mii List'!A$2:A$200),1)+H152*OFFSET(K$2,0,0,COUNTA('Mii List'!A$2:A$200),1))&gt;0)*(ROW(OFFSET($A$2,0,0,COUNTA('Mii List'!A$2:A$200),1))&lt;&gt;ROW())*OFFSET(L$2,0,0,COUNTA('Mii List'!A$2:A$200),1))/L152))</f>
        <v/>
      </c>
      <c r="P152" s="46" t="str">
        <f t="shared" si="20"/>
        <v/>
      </c>
    </row>
    <row r="153" spans="1:16" x14ac:dyDescent="0.35">
      <c r="A153" s="46" t="str" cm="1">
        <f t="array" ref="A153">IF(ROW()-1&gt;COUNTA('Mii List'!A$2:A$200),"",INDEX('Mii List'!A$2:A$200,ROW()-1))</f>
        <v/>
      </c>
      <c r="B153" s="46" t="str">
        <f>IF(A153="","",INDEX('Mii List'!B$2:B$200,MATCH(A153,'Mii List'!A$2:A$200,0)))</f>
        <v/>
      </c>
      <c r="C153" s="46" t="str">
        <f>IF(A153="","",INDEX('Mii List'!C$2:C$200,MATCH(A153,'Mii List'!A$2:A$200,0)))</f>
        <v/>
      </c>
      <c r="D153" s="46" t="str">
        <f>IF(A153="","",INDEX('Mii List'!D$2:D$200,MATCH(A153,'Mii List'!A$2:A$200,0)))</f>
        <v/>
      </c>
      <c r="E153" s="46" t="str">
        <f>IF(A153="","",INDEX('Mii List'!E$2:E$200,MATCH(A153,'Mii List'!A$2:A$200,0)))</f>
        <v/>
      </c>
      <c r="F153" s="46">
        <f t="shared" si="14"/>
        <v>0</v>
      </c>
      <c r="G153" s="46">
        <f t="shared" si="15"/>
        <v>0</v>
      </c>
      <c r="H153" s="46">
        <f t="shared" si="16"/>
        <v>0</v>
      </c>
      <c r="I153" s="46">
        <f t="shared" si="17"/>
        <v>0</v>
      </c>
      <c r="J153" s="46">
        <f t="shared" si="18"/>
        <v>0</v>
      </c>
      <c r="K153" s="46">
        <f t="shared" si="19"/>
        <v>0</v>
      </c>
      <c r="L153" s="46" cm="1">
        <f t="array" ref="L153">IF(A153="",0,SUMPRODUCT((A$2:A$201&lt;&gt;"")*((F$2:F$201*I153+G$2:G$201*J153+H$2:H$201*K153)&gt;0)*((F153*I$2:I$201+G153*J$2:J$201+H153*K$2:K$201)&gt;0))-IF(F153*I153+G153*J153+H153*K153&gt;0,1,0))</f>
        <v>0</v>
      </c>
      <c r="M153" s="46" t="str" cm="1">
        <f t="array" ref="M153">IF(A153="","",SUMPRODUCT((A$2:A$201&lt;&gt;"")*(L$2:L$201&lt;L153))+SUMPRODUCT((A$2:A$201&lt;&gt;"")*(L$2:L$201=L153)*(A$2:A$201&lt;A153))+1)</f>
        <v/>
      </c>
      <c r="N153" s="46" t="str" cm="1">
        <f t="array" aca="1" ref="N153" ca="1">IF(A153="","",SUMPRODUCT(((OFFSET(F$2,0,0,COUNTA('Mii List'!A$2:A$200),1)*I153+OFFSET(G$2,0,0,COUNTA('Mii List'!A$2:A$200),1)*J153+OFFSET(H$2,0,0,COUNTA('Mii List'!A$2:A$200),1)*K153)&gt;0)*((F153*OFFSET(I$2,0,0,COUNTA('Mii List'!A$2:A$200),1)+G153*OFFSET(J$2,0,0,COUNTA('Mii List'!A$2:A$200),1)+H153*OFFSET(K$2,0,0,COUNTA('Mii List'!A$2:A$200),1))&gt;0)*(ROW(OFFSET($A$2,0,0,COUNTA('Mii List'!A$2:A$200),1))&lt;&gt;ROW())*IF(OFFSET(L$2,0,0,COUNTA('Mii List'!A$2:A$200),1)&gt;0,1/OFFSET(L$2,0,0,COUNTA('Mii List'!A$2:A$200),1),0)))</f>
        <v/>
      </c>
      <c r="O153" s="46" t="str" cm="1">
        <f t="array" aca="1" ref="O153" ca="1">IF(A153="","",IF(L153=0,0,SUMPRODUCT(((OFFSET(F$2,0,0,COUNTA('Mii List'!A$2:A$200),1)*I153+OFFSET(G$2,0,0,COUNTA('Mii List'!A$2:A$200),1)*J153+OFFSET(H$2,0,0,COUNTA('Mii List'!A$2:A$200),1)*K153)&gt;0)*((F153*OFFSET(I$2,0,0,COUNTA('Mii List'!A$2:A$200),1)+G153*OFFSET(J$2,0,0,COUNTA('Mii List'!A$2:A$200),1)+H153*OFFSET(K$2,0,0,COUNTA('Mii List'!A$2:A$200),1))&gt;0)*(ROW(OFFSET($A$2,0,0,COUNTA('Mii List'!A$2:A$200),1))&lt;&gt;ROW())*OFFSET(L$2,0,0,COUNTA('Mii List'!A$2:A$200),1))/L153))</f>
        <v/>
      </c>
      <c r="P153" s="46" t="str">
        <f t="shared" si="20"/>
        <v/>
      </c>
    </row>
    <row r="154" spans="1:16" x14ac:dyDescent="0.35">
      <c r="A154" s="46" t="str" cm="1">
        <f t="array" ref="A154">IF(ROW()-1&gt;COUNTA('Mii List'!A$2:A$200),"",INDEX('Mii List'!A$2:A$200,ROW()-1))</f>
        <v/>
      </c>
      <c r="B154" s="46" t="str">
        <f>IF(A154="","",INDEX('Mii List'!B$2:B$200,MATCH(A154,'Mii List'!A$2:A$200,0)))</f>
        <v/>
      </c>
      <c r="C154" s="46" t="str">
        <f>IF(A154="","",INDEX('Mii List'!C$2:C$200,MATCH(A154,'Mii List'!A$2:A$200,0)))</f>
        <v/>
      </c>
      <c r="D154" s="46" t="str">
        <f>IF(A154="","",INDEX('Mii List'!D$2:D$200,MATCH(A154,'Mii List'!A$2:A$200,0)))</f>
        <v/>
      </c>
      <c r="E154" s="46" t="str">
        <f>IF(A154="","",INDEX('Mii List'!E$2:E$200,MATCH(A154,'Mii List'!A$2:A$200,0)))</f>
        <v/>
      </c>
      <c r="F154" s="46">
        <f t="shared" si="14"/>
        <v>0</v>
      </c>
      <c r="G154" s="46">
        <f t="shared" si="15"/>
        <v>0</v>
      </c>
      <c r="H154" s="46">
        <f t="shared" si="16"/>
        <v>0</v>
      </c>
      <c r="I154" s="46">
        <f t="shared" si="17"/>
        <v>0</v>
      </c>
      <c r="J154" s="46">
        <f t="shared" si="18"/>
        <v>0</v>
      </c>
      <c r="K154" s="46">
        <f t="shared" si="19"/>
        <v>0</v>
      </c>
      <c r="L154" s="46" cm="1">
        <f t="array" ref="L154">IF(A154="",0,SUMPRODUCT((A$2:A$201&lt;&gt;"")*((F$2:F$201*I154+G$2:G$201*J154+H$2:H$201*K154)&gt;0)*((F154*I$2:I$201+G154*J$2:J$201+H154*K$2:K$201)&gt;0))-IF(F154*I154+G154*J154+H154*K154&gt;0,1,0))</f>
        <v>0</v>
      </c>
      <c r="M154" s="46" t="str" cm="1">
        <f t="array" ref="M154">IF(A154="","",SUMPRODUCT((A$2:A$201&lt;&gt;"")*(L$2:L$201&lt;L154))+SUMPRODUCT((A$2:A$201&lt;&gt;"")*(L$2:L$201=L154)*(A$2:A$201&lt;A154))+1)</f>
        <v/>
      </c>
      <c r="N154" s="46" t="str" cm="1">
        <f t="array" aca="1" ref="N154" ca="1">IF(A154="","",SUMPRODUCT(((OFFSET(F$2,0,0,COUNTA('Mii List'!A$2:A$200),1)*I154+OFFSET(G$2,0,0,COUNTA('Mii List'!A$2:A$200),1)*J154+OFFSET(H$2,0,0,COUNTA('Mii List'!A$2:A$200),1)*K154)&gt;0)*((F154*OFFSET(I$2,0,0,COUNTA('Mii List'!A$2:A$200),1)+G154*OFFSET(J$2,0,0,COUNTA('Mii List'!A$2:A$200),1)+H154*OFFSET(K$2,0,0,COUNTA('Mii List'!A$2:A$200),1))&gt;0)*(ROW(OFFSET($A$2,0,0,COUNTA('Mii List'!A$2:A$200),1))&lt;&gt;ROW())*IF(OFFSET(L$2,0,0,COUNTA('Mii List'!A$2:A$200),1)&gt;0,1/OFFSET(L$2,0,0,COUNTA('Mii List'!A$2:A$200),1),0)))</f>
        <v/>
      </c>
      <c r="O154" s="46" t="str" cm="1">
        <f t="array" aca="1" ref="O154" ca="1">IF(A154="","",IF(L154=0,0,SUMPRODUCT(((OFFSET(F$2,0,0,COUNTA('Mii List'!A$2:A$200),1)*I154+OFFSET(G$2,0,0,COUNTA('Mii List'!A$2:A$200),1)*J154+OFFSET(H$2,0,0,COUNTA('Mii List'!A$2:A$200),1)*K154)&gt;0)*((F154*OFFSET(I$2,0,0,COUNTA('Mii List'!A$2:A$200),1)+G154*OFFSET(J$2,0,0,COUNTA('Mii List'!A$2:A$200),1)+H154*OFFSET(K$2,0,0,COUNTA('Mii List'!A$2:A$200),1))&gt;0)*(ROW(OFFSET($A$2,0,0,COUNTA('Mii List'!A$2:A$200),1))&lt;&gt;ROW())*OFFSET(L$2,0,0,COUNTA('Mii List'!A$2:A$200),1))/L154))</f>
        <v/>
      </c>
      <c r="P154" s="46" t="str">
        <f t="shared" si="20"/>
        <v/>
      </c>
    </row>
    <row r="155" spans="1:16" x14ac:dyDescent="0.35">
      <c r="A155" s="46" t="str" cm="1">
        <f t="array" ref="A155">IF(ROW()-1&gt;COUNTA('Mii List'!A$2:A$200),"",INDEX('Mii List'!A$2:A$200,ROW()-1))</f>
        <v/>
      </c>
      <c r="B155" s="46" t="str">
        <f>IF(A155="","",INDEX('Mii List'!B$2:B$200,MATCH(A155,'Mii List'!A$2:A$200,0)))</f>
        <v/>
      </c>
      <c r="C155" s="46" t="str">
        <f>IF(A155="","",INDEX('Mii List'!C$2:C$200,MATCH(A155,'Mii List'!A$2:A$200,0)))</f>
        <v/>
      </c>
      <c r="D155" s="46" t="str">
        <f>IF(A155="","",INDEX('Mii List'!D$2:D$200,MATCH(A155,'Mii List'!A$2:A$200,0)))</f>
        <v/>
      </c>
      <c r="E155" s="46" t="str">
        <f>IF(A155="","",INDEX('Mii List'!E$2:E$200,MATCH(A155,'Mii List'!A$2:A$200,0)))</f>
        <v/>
      </c>
      <c r="F155" s="46">
        <f t="shared" si="14"/>
        <v>0</v>
      </c>
      <c r="G155" s="46">
        <f t="shared" si="15"/>
        <v>0</v>
      </c>
      <c r="H155" s="46">
        <f t="shared" si="16"/>
        <v>0</v>
      </c>
      <c r="I155" s="46">
        <f t="shared" si="17"/>
        <v>0</v>
      </c>
      <c r="J155" s="46">
        <f t="shared" si="18"/>
        <v>0</v>
      </c>
      <c r="K155" s="46">
        <f t="shared" si="19"/>
        <v>0</v>
      </c>
      <c r="L155" s="46" cm="1">
        <f t="array" ref="L155">IF(A155="",0,SUMPRODUCT((A$2:A$201&lt;&gt;"")*((F$2:F$201*I155+G$2:G$201*J155+H$2:H$201*K155)&gt;0)*((F155*I$2:I$201+G155*J$2:J$201+H155*K$2:K$201)&gt;0))-IF(F155*I155+G155*J155+H155*K155&gt;0,1,0))</f>
        <v>0</v>
      </c>
      <c r="M155" s="46" t="str" cm="1">
        <f t="array" ref="M155">IF(A155="","",SUMPRODUCT((A$2:A$201&lt;&gt;"")*(L$2:L$201&lt;L155))+SUMPRODUCT((A$2:A$201&lt;&gt;"")*(L$2:L$201=L155)*(A$2:A$201&lt;A155))+1)</f>
        <v/>
      </c>
      <c r="N155" s="46" t="str" cm="1">
        <f t="array" aca="1" ref="N155" ca="1">IF(A155="","",SUMPRODUCT(((OFFSET(F$2,0,0,COUNTA('Mii List'!A$2:A$200),1)*I155+OFFSET(G$2,0,0,COUNTA('Mii List'!A$2:A$200),1)*J155+OFFSET(H$2,0,0,COUNTA('Mii List'!A$2:A$200),1)*K155)&gt;0)*((F155*OFFSET(I$2,0,0,COUNTA('Mii List'!A$2:A$200),1)+G155*OFFSET(J$2,0,0,COUNTA('Mii List'!A$2:A$200),1)+H155*OFFSET(K$2,0,0,COUNTA('Mii List'!A$2:A$200),1))&gt;0)*(ROW(OFFSET($A$2,0,0,COUNTA('Mii List'!A$2:A$200),1))&lt;&gt;ROW())*IF(OFFSET(L$2,0,0,COUNTA('Mii List'!A$2:A$200),1)&gt;0,1/OFFSET(L$2,0,0,COUNTA('Mii List'!A$2:A$200),1),0)))</f>
        <v/>
      </c>
      <c r="O155" s="46" t="str" cm="1">
        <f t="array" aca="1" ref="O155" ca="1">IF(A155="","",IF(L155=0,0,SUMPRODUCT(((OFFSET(F$2,0,0,COUNTA('Mii List'!A$2:A$200),1)*I155+OFFSET(G$2,0,0,COUNTA('Mii List'!A$2:A$200),1)*J155+OFFSET(H$2,0,0,COUNTA('Mii List'!A$2:A$200),1)*K155)&gt;0)*((F155*OFFSET(I$2,0,0,COUNTA('Mii List'!A$2:A$200),1)+G155*OFFSET(J$2,0,0,COUNTA('Mii List'!A$2:A$200),1)+H155*OFFSET(K$2,0,0,COUNTA('Mii List'!A$2:A$200),1))&gt;0)*(ROW(OFFSET($A$2,0,0,COUNTA('Mii List'!A$2:A$200),1))&lt;&gt;ROW())*OFFSET(L$2,0,0,COUNTA('Mii List'!A$2:A$200),1))/L155))</f>
        <v/>
      </c>
      <c r="P155" s="46" t="str">
        <f t="shared" si="20"/>
        <v/>
      </c>
    </row>
    <row r="156" spans="1:16" x14ac:dyDescent="0.35">
      <c r="A156" s="46" t="str" cm="1">
        <f t="array" ref="A156">IF(ROW()-1&gt;COUNTA('Mii List'!A$2:A$200),"",INDEX('Mii List'!A$2:A$200,ROW()-1))</f>
        <v/>
      </c>
      <c r="B156" s="46" t="str">
        <f>IF(A156="","",INDEX('Mii List'!B$2:B$200,MATCH(A156,'Mii List'!A$2:A$200,0)))</f>
        <v/>
      </c>
      <c r="C156" s="46" t="str">
        <f>IF(A156="","",INDEX('Mii List'!C$2:C$200,MATCH(A156,'Mii List'!A$2:A$200,0)))</f>
        <v/>
      </c>
      <c r="D156" s="46" t="str">
        <f>IF(A156="","",INDEX('Mii List'!D$2:D$200,MATCH(A156,'Mii List'!A$2:A$200,0)))</f>
        <v/>
      </c>
      <c r="E156" s="46" t="str">
        <f>IF(A156="","",INDEX('Mii List'!E$2:E$200,MATCH(A156,'Mii List'!A$2:A$200,0)))</f>
        <v/>
      </c>
      <c r="F156" s="46">
        <f t="shared" si="14"/>
        <v>0</v>
      </c>
      <c r="G156" s="46">
        <f t="shared" si="15"/>
        <v>0</v>
      </c>
      <c r="H156" s="46">
        <f t="shared" si="16"/>
        <v>0</v>
      </c>
      <c r="I156" s="46">
        <f t="shared" si="17"/>
        <v>0</v>
      </c>
      <c r="J156" s="46">
        <f t="shared" si="18"/>
        <v>0</v>
      </c>
      <c r="K156" s="46">
        <f t="shared" si="19"/>
        <v>0</v>
      </c>
      <c r="L156" s="46" cm="1">
        <f t="array" ref="L156">IF(A156="",0,SUMPRODUCT((A$2:A$201&lt;&gt;"")*((F$2:F$201*I156+G$2:G$201*J156+H$2:H$201*K156)&gt;0)*((F156*I$2:I$201+G156*J$2:J$201+H156*K$2:K$201)&gt;0))-IF(F156*I156+G156*J156+H156*K156&gt;0,1,0))</f>
        <v>0</v>
      </c>
      <c r="M156" s="46" t="str" cm="1">
        <f t="array" ref="M156">IF(A156="","",SUMPRODUCT((A$2:A$201&lt;&gt;"")*(L$2:L$201&lt;L156))+SUMPRODUCT((A$2:A$201&lt;&gt;"")*(L$2:L$201=L156)*(A$2:A$201&lt;A156))+1)</f>
        <v/>
      </c>
      <c r="N156" s="46" t="str" cm="1">
        <f t="array" aca="1" ref="N156" ca="1">IF(A156="","",SUMPRODUCT(((OFFSET(F$2,0,0,COUNTA('Mii List'!A$2:A$200),1)*I156+OFFSET(G$2,0,0,COUNTA('Mii List'!A$2:A$200),1)*J156+OFFSET(H$2,0,0,COUNTA('Mii List'!A$2:A$200),1)*K156)&gt;0)*((F156*OFFSET(I$2,0,0,COUNTA('Mii List'!A$2:A$200),1)+G156*OFFSET(J$2,0,0,COUNTA('Mii List'!A$2:A$200),1)+H156*OFFSET(K$2,0,0,COUNTA('Mii List'!A$2:A$200),1))&gt;0)*(ROW(OFFSET($A$2,0,0,COUNTA('Mii List'!A$2:A$200),1))&lt;&gt;ROW())*IF(OFFSET(L$2,0,0,COUNTA('Mii List'!A$2:A$200),1)&gt;0,1/OFFSET(L$2,0,0,COUNTA('Mii List'!A$2:A$200),1),0)))</f>
        <v/>
      </c>
      <c r="O156" s="46" t="str" cm="1">
        <f t="array" aca="1" ref="O156" ca="1">IF(A156="","",IF(L156=0,0,SUMPRODUCT(((OFFSET(F$2,0,0,COUNTA('Mii List'!A$2:A$200),1)*I156+OFFSET(G$2,0,0,COUNTA('Mii List'!A$2:A$200),1)*J156+OFFSET(H$2,0,0,COUNTA('Mii List'!A$2:A$200),1)*K156)&gt;0)*((F156*OFFSET(I$2,0,0,COUNTA('Mii List'!A$2:A$200),1)+G156*OFFSET(J$2,0,0,COUNTA('Mii List'!A$2:A$200),1)+H156*OFFSET(K$2,0,0,COUNTA('Mii List'!A$2:A$200),1))&gt;0)*(ROW(OFFSET($A$2,0,0,COUNTA('Mii List'!A$2:A$200),1))&lt;&gt;ROW())*OFFSET(L$2,0,0,COUNTA('Mii List'!A$2:A$200),1))/L156))</f>
        <v/>
      </c>
      <c r="P156" s="46" t="str">
        <f t="shared" si="20"/>
        <v/>
      </c>
    </row>
    <row r="157" spans="1:16" x14ac:dyDescent="0.35">
      <c r="A157" s="46" t="str" cm="1">
        <f t="array" ref="A157">IF(ROW()-1&gt;COUNTA('Mii List'!A$2:A$200),"",INDEX('Mii List'!A$2:A$200,ROW()-1))</f>
        <v/>
      </c>
      <c r="B157" s="46" t="str">
        <f>IF(A157="","",INDEX('Mii List'!B$2:B$200,MATCH(A157,'Mii List'!A$2:A$200,0)))</f>
        <v/>
      </c>
      <c r="C157" s="46" t="str">
        <f>IF(A157="","",INDEX('Mii List'!C$2:C$200,MATCH(A157,'Mii List'!A$2:A$200,0)))</f>
        <v/>
      </c>
      <c r="D157" s="46" t="str">
        <f>IF(A157="","",INDEX('Mii List'!D$2:D$200,MATCH(A157,'Mii List'!A$2:A$200,0)))</f>
        <v/>
      </c>
      <c r="E157" s="46" t="str">
        <f>IF(A157="","",INDEX('Mii List'!E$2:E$200,MATCH(A157,'Mii List'!A$2:A$200,0)))</f>
        <v/>
      </c>
      <c r="F157" s="46">
        <f t="shared" si="14"/>
        <v>0</v>
      </c>
      <c r="G157" s="46">
        <f t="shared" si="15"/>
        <v>0</v>
      </c>
      <c r="H157" s="46">
        <f t="shared" si="16"/>
        <v>0</v>
      </c>
      <c r="I157" s="46">
        <f t="shared" si="17"/>
        <v>0</v>
      </c>
      <c r="J157" s="46">
        <f t="shared" si="18"/>
        <v>0</v>
      </c>
      <c r="K157" s="46">
        <f t="shared" si="19"/>
        <v>0</v>
      </c>
      <c r="L157" s="46" cm="1">
        <f t="array" ref="L157">IF(A157="",0,SUMPRODUCT((A$2:A$201&lt;&gt;"")*((F$2:F$201*I157+G$2:G$201*J157+H$2:H$201*K157)&gt;0)*((F157*I$2:I$201+G157*J$2:J$201+H157*K$2:K$201)&gt;0))-IF(F157*I157+G157*J157+H157*K157&gt;0,1,0))</f>
        <v>0</v>
      </c>
      <c r="M157" s="46" t="str" cm="1">
        <f t="array" ref="M157">IF(A157="","",SUMPRODUCT((A$2:A$201&lt;&gt;"")*(L$2:L$201&lt;L157))+SUMPRODUCT((A$2:A$201&lt;&gt;"")*(L$2:L$201=L157)*(A$2:A$201&lt;A157))+1)</f>
        <v/>
      </c>
      <c r="N157" s="46" t="str" cm="1">
        <f t="array" aca="1" ref="N157" ca="1">IF(A157="","",SUMPRODUCT(((OFFSET(F$2,0,0,COUNTA('Mii List'!A$2:A$200),1)*I157+OFFSET(G$2,0,0,COUNTA('Mii List'!A$2:A$200),1)*J157+OFFSET(H$2,0,0,COUNTA('Mii List'!A$2:A$200),1)*K157)&gt;0)*((F157*OFFSET(I$2,0,0,COUNTA('Mii List'!A$2:A$200),1)+G157*OFFSET(J$2,0,0,COUNTA('Mii List'!A$2:A$200),1)+H157*OFFSET(K$2,0,0,COUNTA('Mii List'!A$2:A$200),1))&gt;0)*(ROW(OFFSET($A$2,0,0,COUNTA('Mii List'!A$2:A$200),1))&lt;&gt;ROW())*IF(OFFSET(L$2,0,0,COUNTA('Mii List'!A$2:A$200),1)&gt;0,1/OFFSET(L$2,0,0,COUNTA('Mii List'!A$2:A$200),1),0)))</f>
        <v/>
      </c>
      <c r="O157" s="46" t="str" cm="1">
        <f t="array" aca="1" ref="O157" ca="1">IF(A157="","",IF(L157=0,0,SUMPRODUCT(((OFFSET(F$2,0,0,COUNTA('Mii List'!A$2:A$200),1)*I157+OFFSET(G$2,0,0,COUNTA('Mii List'!A$2:A$200),1)*J157+OFFSET(H$2,0,0,COUNTA('Mii List'!A$2:A$200),1)*K157)&gt;0)*((F157*OFFSET(I$2,0,0,COUNTA('Mii List'!A$2:A$200),1)+G157*OFFSET(J$2,0,0,COUNTA('Mii List'!A$2:A$200),1)+H157*OFFSET(K$2,0,0,COUNTA('Mii List'!A$2:A$200),1))&gt;0)*(ROW(OFFSET($A$2,0,0,COUNTA('Mii List'!A$2:A$200),1))&lt;&gt;ROW())*OFFSET(L$2,0,0,COUNTA('Mii List'!A$2:A$200),1))/L157))</f>
        <v/>
      </c>
      <c r="P157" s="46" t="str">
        <f t="shared" si="20"/>
        <v/>
      </c>
    </row>
    <row r="158" spans="1:16" x14ac:dyDescent="0.35">
      <c r="A158" s="46" t="str" cm="1">
        <f t="array" ref="A158">IF(ROW()-1&gt;COUNTA('Mii List'!A$2:A$200),"",INDEX('Mii List'!A$2:A$200,ROW()-1))</f>
        <v/>
      </c>
      <c r="B158" s="46" t="str">
        <f>IF(A158="","",INDEX('Mii List'!B$2:B$200,MATCH(A158,'Mii List'!A$2:A$200,0)))</f>
        <v/>
      </c>
      <c r="C158" s="46" t="str">
        <f>IF(A158="","",INDEX('Mii List'!C$2:C$200,MATCH(A158,'Mii List'!A$2:A$200,0)))</f>
        <v/>
      </c>
      <c r="D158" s="46" t="str">
        <f>IF(A158="","",INDEX('Mii List'!D$2:D$200,MATCH(A158,'Mii List'!A$2:A$200,0)))</f>
        <v/>
      </c>
      <c r="E158" s="46" t="str">
        <f>IF(A158="","",INDEX('Mii List'!E$2:E$200,MATCH(A158,'Mii List'!A$2:A$200,0)))</f>
        <v/>
      </c>
      <c r="F158" s="46">
        <f t="shared" si="14"/>
        <v>0</v>
      </c>
      <c r="G158" s="46">
        <f t="shared" si="15"/>
        <v>0</v>
      </c>
      <c r="H158" s="46">
        <f t="shared" si="16"/>
        <v>0</v>
      </c>
      <c r="I158" s="46">
        <f t="shared" si="17"/>
        <v>0</v>
      </c>
      <c r="J158" s="46">
        <f t="shared" si="18"/>
        <v>0</v>
      </c>
      <c r="K158" s="46">
        <f t="shared" si="19"/>
        <v>0</v>
      </c>
      <c r="L158" s="46" cm="1">
        <f t="array" ref="L158">IF(A158="",0,SUMPRODUCT((A$2:A$201&lt;&gt;"")*((F$2:F$201*I158+G$2:G$201*J158+H$2:H$201*K158)&gt;0)*((F158*I$2:I$201+G158*J$2:J$201+H158*K$2:K$201)&gt;0))-IF(F158*I158+G158*J158+H158*K158&gt;0,1,0))</f>
        <v>0</v>
      </c>
      <c r="M158" s="46" t="str" cm="1">
        <f t="array" ref="M158">IF(A158="","",SUMPRODUCT((A$2:A$201&lt;&gt;"")*(L$2:L$201&lt;L158))+SUMPRODUCT((A$2:A$201&lt;&gt;"")*(L$2:L$201=L158)*(A$2:A$201&lt;A158))+1)</f>
        <v/>
      </c>
      <c r="N158" s="46" t="str" cm="1">
        <f t="array" aca="1" ref="N158" ca="1">IF(A158="","",SUMPRODUCT(((OFFSET(F$2,0,0,COUNTA('Mii List'!A$2:A$200),1)*I158+OFFSET(G$2,0,0,COUNTA('Mii List'!A$2:A$200),1)*J158+OFFSET(H$2,0,0,COUNTA('Mii List'!A$2:A$200),1)*K158)&gt;0)*((F158*OFFSET(I$2,0,0,COUNTA('Mii List'!A$2:A$200),1)+G158*OFFSET(J$2,0,0,COUNTA('Mii List'!A$2:A$200),1)+H158*OFFSET(K$2,0,0,COUNTA('Mii List'!A$2:A$200),1))&gt;0)*(ROW(OFFSET($A$2,0,0,COUNTA('Mii List'!A$2:A$200),1))&lt;&gt;ROW())*IF(OFFSET(L$2,0,0,COUNTA('Mii List'!A$2:A$200),1)&gt;0,1/OFFSET(L$2,0,0,COUNTA('Mii List'!A$2:A$200),1),0)))</f>
        <v/>
      </c>
      <c r="O158" s="46" t="str" cm="1">
        <f t="array" aca="1" ref="O158" ca="1">IF(A158="","",IF(L158=0,0,SUMPRODUCT(((OFFSET(F$2,0,0,COUNTA('Mii List'!A$2:A$200),1)*I158+OFFSET(G$2,0,0,COUNTA('Mii List'!A$2:A$200),1)*J158+OFFSET(H$2,0,0,COUNTA('Mii List'!A$2:A$200),1)*K158)&gt;0)*((F158*OFFSET(I$2,0,0,COUNTA('Mii List'!A$2:A$200),1)+G158*OFFSET(J$2,0,0,COUNTA('Mii List'!A$2:A$200),1)+H158*OFFSET(K$2,0,0,COUNTA('Mii List'!A$2:A$200),1))&gt;0)*(ROW(OFFSET($A$2,0,0,COUNTA('Mii List'!A$2:A$200),1))&lt;&gt;ROW())*OFFSET(L$2,0,0,COUNTA('Mii List'!A$2:A$200),1))/L158))</f>
        <v/>
      </c>
      <c r="P158" s="46" t="str">
        <f t="shared" si="20"/>
        <v/>
      </c>
    </row>
    <row r="159" spans="1:16" x14ac:dyDescent="0.35">
      <c r="A159" s="46" t="str" cm="1">
        <f t="array" ref="A159">IF(ROW()-1&gt;COUNTA('Mii List'!A$2:A$200),"",INDEX('Mii List'!A$2:A$200,ROW()-1))</f>
        <v/>
      </c>
      <c r="B159" s="46" t="str">
        <f>IF(A159="","",INDEX('Mii List'!B$2:B$200,MATCH(A159,'Mii List'!A$2:A$200,0)))</f>
        <v/>
      </c>
      <c r="C159" s="46" t="str">
        <f>IF(A159="","",INDEX('Mii List'!C$2:C$200,MATCH(A159,'Mii List'!A$2:A$200,0)))</f>
        <v/>
      </c>
      <c r="D159" s="46" t="str">
        <f>IF(A159="","",INDEX('Mii List'!D$2:D$200,MATCH(A159,'Mii List'!A$2:A$200,0)))</f>
        <v/>
      </c>
      <c r="E159" s="46" t="str">
        <f>IF(A159="","",INDEX('Mii List'!E$2:E$200,MATCH(A159,'Mii List'!A$2:A$200,0)))</f>
        <v/>
      </c>
      <c r="F159" s="46">
        <f t="shared" si="14"/>
        <v>0</v>
      </c>
      <c r="G159" s="46">
        <f t="shared" si="15"/>
        <v>0</v>
      </c>
      <c r="H159" s="46">
        <f t="shared" si="16"/>
        <v>0</v>
      </c>
      <c r="I159" s="46">
        <f t="shared" si="17"/>
        <v>0</v>
      </c>
      <c r="J159" s="46">
        <f t="shared" si="18"/>
        <v>0</v>
      </c>
      <c r="K159" s="46">
        <f t="shared" si="19"/>
        <v>0</v>
      </c>
      <c r="L159" s="46" cm="1">
        <f t="array" ref="L159">IF(A159="",0,SUMPRODUCT((A$2:A$201&lt;&gt;"")*((F$2:F$201*I159+G$2:G$201*J159+H$2:H$201*K159)&gt;0)*((F159*I$2:I$201+G159*J$2:J$201+H159*K$2:K$201)&gt;0))-IF(F159*I159+G159*J159+H159*K159&gt;0,1,0))</f>
        <v>0</v>
      </c>
      <c r="M159" s="46" t="str" cm="1">
        <f t="array" ref="M159">IF(A159="","",SUMPRODUCT((A$2:A$201&lt;&gt;"")*(L$2:L$201&lt;L159))+SUMPRODUCT((A$2:A$201&lt;&gt;"")*(L$2:L$201=L159)*(A$2:A$201&lt;A159))+1)</f>
        <v/>
      </c>
      <c r="N159" s="46" t="str" cm="1">
        <f t="array" aca="1" ref="N159" ca="1">IF(A159="","",SUMPRODUCT(((OFFSET(F$2,0,0,COUNTA('Mii List'!A$2:A$200),1)*I159+OFFSET(G$2,0,0,COUNTA('Mii List'!A$2:A$200),1)*J159+OFFSET(H$2,0,0,COUNTA('Mii List'!A$2:A$200),1)*K159)&gt;0)*((F159*OFFSET(I$2,0,0,COUNTA('Mii List'!A$2:A$200),1)+G159*OFFSET(J$2,0,0,COUNTA('Mii List'!A$2:A$200),1)+H159*OFFSET(K$2,0,0,COUNTA('Mii List'!A$2:A$200),1))&gt;0)*(ROW(OFFSET($A$2,0,0,COUNTA('Mii List'!A$2:A$200),1))&lt;&gt;ROW())*IF(OFFSET(L$2,0,0,COUNTA('Mii List'!A$2:A$200),1)&gt;0,1/OFFSET(L$2,0,0,COUNTA('Mii List'!A$2:A$200),1),0)))</f>
        <v/>
      </c>
      <c r="O159" s="46" t="str" cm="1">
        <f t="array" aca="1" ref="O159" ca="1">IF(A159="","",IF(L159=0,0,SUMPRODUCT(((OFFSET(F$2,0,0,COUNTA('Mii List'!A$2:A$200),1)*I159+OFFSET(G$2,0,0,COUNTA('Mii List'!A$2:A$200),1)*J159+OFFSET(H$2,0,0,COUNTA('Mii List'!A$2:A$200),1)*K159)&gt;0)*((F159*OFFSET(I$2,0,0,COUNTA('Mii List'!A$2:A$200),1)+G159*OFFSET(J$2,0,0,COUNTA('Mii List'!A$2:A$200),1)+H159*OFFSET(K$2,0,0,COUNTA('Mii List'!A$2:A$200),1))&gt;0)*(ROW(OFFSET($A$2,0,0,COUNTA('Mii List'!A$2:A$200),1))&lt;&gt;ROW())*OFFSET(L$2,0,0,COUNTA('Mii List'!A$2:A$200),1))/L159))</f>
        <v/>
      </c>
      <c r="P159" s="46" t="str">
        <f t="shared" si="20"/>
        <v/>
      </c>
    </row>
    <row r="160" spans="1:16" x14ac:dyDescent="0.35">
      <c r="A160" s="46" t="str" cm="1">
        <f t="array" ref="A160">IF(ROW()-1&gt;COUNTA('Mii List'!A$2:A$200),"",INDEX('Mii List'!A$2:A$200,ROW()-1))</f>
        <v/>
      </c>
      <c r="B160" s="46" t="str">
        <f>IF(A160="","",INDEX('Mii List'!B$2:B$200,MATCH(A160,'Mii List'!A$2:A$200,0)))</f>
        <v/>
      </c>
      <c r="C160" s="46" t="str">
        <f>IF(A160="","",INDEX('Mii List'!C$2:C$200,MATCH(A160,'Mii List'!A$2:A$200,0)))</f>
        <v/>
      </c>
      <c r="D160" s="46" t="str">
        <f>IF(A160="","",INDEX('Mii List'!D$2:D$200,MATCH(A160,'Mii List'!A$2:A$200,0)))</f>
        <v/>
      </c>
      <c r="E160" s="46" t="str">
        <f>IF(A160="","",INDEX('Mii List'!E$2:E$200,MATCH(A160,'Mii List'!A$2:A$200,0)))</f>
        <v/>
      </c>
      <c r="F160" s="46">
        <f t="shared" si="14"/>
        <v>0</v>
      </c>
      <c r="G160" s="46">
        <f t="shared" si="15"/>
        <v>0</v>
      </c>
      <c r="H160" s="46">
        <f t="shared" si="16"/>
        <v>0</v>
      </c>
      <c r="I160" s="46">
        <f t="shared" si="17"/>
        <v>0</v>
      </c>
      <c r="J160" s="46">
        <f t="shared" si="18"/>
        <v>0</v>
      </c>
      <c r="K160" s="46">
        <f t="shared" si="19"/>
        <v>0</v>
      </c>
      <c r="L160" s="46" cm="1">
        <f t="array" ref="L160">IF(A160="",0,SUMPRODUCT((A$2:A$201&lt;&gt;"")*((F$2:F$201*I160+G$2:G$201*J160+H$2:H$201*K160)&gt;0)*((F160*I$2:I$201+G160*J$2:J$201+H160*K$2:K$201)&gt;0))-IF(F160*I160+G160*J160+H160*K160&gt;0,1,0))</f>
        <v>0</v>
      </c>
      <c r="M160" s="46" t="str" cm="1">
        <f t="array" ref="M160">IF(A160="","",SUMPRODUCT((A$2:A$201&lt;&gt;"")*(L$2:L$201&lt;L160))+SUMPRODUCT((A$2:A$201&lt;&gt;"")*(L$2:L$201=L160)*(A$2:A$201&lt;A160))+1)</f>
        <v/>
      </c>
      <c r="N160" s="46" t="str" cm="1">
        <f t="array" aca="1" ref="N160" ca="1">IF(A160="","",SUMPRODUCT(((OFFSET(F$2,0,0,COUNTA('Mii List'!A$2:A$200),1)*I160+OFFSET(G$2,0,0,COUNTA('Mii List'!A$2:A$200),1)*J160+OFFSET(H$2,0,0,COUNTA('Mii List'!A$2:A$200),1)*K160)&gt;0)*((F160*OFFSET(I$2,0,0,COUNTA('Mii List'!A$2:A$200),1)+G160*OFFSET(J$2,0,0,COUNTA('Mii List'!A$2:A$200),1)+H160*OFFSET(K$2,0,0,COUNTA('Mii List'!A$2:A$200),1))&gt;0)*(ROW(OFFSET($A$2,0,0,COUNTA('Mii List'!A$2:A$200),1))&lt;&gt;ROW())*IF(OFFSET(L$2,0,0,COUNTA('Mii List'!A$2:A$200),1)&gt;0,1/OFFSET(L$2,0,0,COUNTA('Mii List'!A$2:A$200),1),0)))</f>
        <v/>
      </c>
      <c r="O160" s="46" t="str" cm="1">
        <f t="array" aca="1" ref="O160" ca="1">IF(A160="","",IF(L160=0,0,SUMPRODUCT(((OFFSET(F$2,0,0,COUNTA('Mii List'!A$2:A$200),1)*I160+OFFSET(G$2,0,0,COUNTA('Mii List'!A$2:A$200),1)*J160+OFFSET(H$2,0,0,COUNTA('Mii List'!A$2:A$200),1)*K160)&gt;0)*((F160*OFFSET(I$2,0,0,COUNTA('Mii List'!A$2:A$200),1)+G160*OFFSET(J$2,0,0,COUNTA('Mii List'!A$2:A$200),1)+H160*OFFSET(K$2,0,0,COUNTA('Mii List'!A$2:A$200),1))&gt;0)*(ROW(OFFSET($A$2,0,0,COUNTA('Mii List'!A$2:A$200),1))&lt;&gt;ROW())*OFFSET(L$2,0,0,COUNTA('Mii List'!A$2:A$200),1))/L160))</f>
        <v/>
      </c>
      <c r="P160" s="46" t="str">
        <f t="shared" si="20"/>
        <v/>
      </c>
    </row>
    <row r="161" spans="1:16" x14ac:dyDescent="0.35">
      <c r="A161" s="46" t="str" cm="1">
        <f t="array" ref="A161">IF(ROW()-1&gt;COUNTA('Mii List'!A$2:A$200),"",INDEX('Mii List'!A$2:A$200,ROW()-1))</f>
        <v/>
      </c>
      <c r="B161" s="46" t="str">
        <f>IF(A161="","",INDEX('Mii List'!B$2:B$200,MATCH(A161,'Mii List'!A$2:A$200,0)))</f>
        <v/>
      </c>
      <c r="C161" s="46" t="str">
        <f>IF(A161="","",INDEX('Mii List'!C$2:C$200,MATCH(A161,'Mii List'!A$2:A$200,0)))</f>
        <v/>
      </c>
      <c r="D161" s="46" t="str">
        <f>IF(A161="","",INDEX('Mii List'!D$2:D$200,MATCH(A161,'Mii List'!A$2:A$200,0)))</f>
        <v/>
      </c>
      <c r="E161" s="46" t="str">
        <f>IF(A161="","",INDEX('Mii List'!E$2:E$200,MATCH(A161,'Mii List'!A$2:A$200,0)))</f>
        <v/>
      </c>
      <c r="F161" s="46">
        <f t="shared" si="14"/>
        <v>0</v>
      </c>
      <c r="G161" s="46">
        <f t="shared" si="15"/>
        <v>0</v>
      </c>
      <c r="H161" s="46">
        <f t="shared" si="16"/>
        <v>0</v>
      </c>
      <c r="I161" s="46">
        <f t="shared" si="17"/>
        <v>0</v>
      </c>
      <c r="J161" s="46">
        <f t="shared" si="18"/>
        <v>0</v>
      </c>
      <c r="K161" s="46">
        <f t="shared" si="19"/>
        <v>0</v>
      </c>
      <c r="L161" s="46" cm="1">
        <f t="array" ref="L161">IF(A161="",0,SUMPRODUCT((A$2:A$201&lt;&gt;"")*((F$2:F$201*I161+G$2:G$201*J161+H$2:H$201*K161)&gt;0)*((F161*I$2:I$201+G161*J$2:J$201+H161*K$2:K$201)&gt;0))-IF(F161*I161+G161*J161+H161*K161&gt;0,1,0))</f>
        <v>0</v>
      </c>
      <c r="M161" s="46" t="str" cm="1">
        <f t="array" ref="M161">IF(A161="","",SUMPRODUCT((A$2:A$201&lt;&gt;"")*(L$2:L$201&lt;L161))+SUMPRODUCT((A$2:A$201&lt;&gt;"")*(L$2:L$201=L161)*(A$2:A$201&lt;A161))+1)</f>
        <v/>
      </c>
      <c r="N161" s="46" t="str" cm="1">
        <f t="array" aca="1" ref="N161" ca="1">IF(A161="","",SUMPRODUCT(((OFFSET(F$2,0,0,COUNTA('Mii List'!A$2:A$200),1)*I161+OFFSET(G$2,0,0,COUNTA('Mii List'!A$2:A$200),1)*J161+OFFSET(H$2,0,0,COUNTA('Mii List'!A$2:A$200),1)*K161)&gt;0)*((F161*OFFSET(I$2,0,0,COUNTA('Mii List'!A$2:A$200),1)+G161*OFFSET(J$2,0,0,COUNTA('Mii List'!A$2:A$200),1)+H161*OFFSET(K$2,0,0,COUNTA('Mii List'!A$2:A$200),1))&gt;0)*(ROW(OFFSET($A$2,0,0,COUNTA('Mii List'!A$2:A$200),1))&lt;&gt;ROW())*IF(OFFSET(L$2,0,0,COUNTA('Mii List'!A$2:A$200),1)&gt;0,1/OFFSET(L$2,0,0,COUNTA('Mii List'!A$2:A$200),1),0)))</f>
        <v/>
      </c>
      <c r="O161" s="46" t="str" cm="1">
        <f t="array" aca="1" ref="O161" ca="1">IF(A161="","",IF(L161=0,0,SUMPRODUCT(((OFFSET(F$2,0,0,COUNTA('Mii List'!A$2:A$200),1)*I161+OFFSET(G$2,0,0,COUNTA('Mii List'!A$2:A$200),1)*J161+OFFSET(H$2,0,0,COUNTA('Mii List'!A$2:A$200),1)*K161)&gt;0)*((F161*OFFSET(I$2,0,0,COUNTA('Mii List'!A$2:A$200),1)+G161*OFFSET(J$2,0,0,COUNTA('Mii List'!A$2:A$200),1)+H161*OFFSET(K$2,0,0,COUNTA('Mii List'!A$2:A$200),1))&gt;0)*(ROW(OFFSET($A$2,0,0,COUNTA('Mii List'!A$2:A$200),1))&lt;&gt;ROW())*OFFSET(L$2,0,0,COUNTA('Mii List'!A$2:A$200),1))/L161))</f>
        <v/>
      </c>
      <c r="P161" s="46" t="str">
        <f t="shared" si="20"/>
        <v/>
      </c>
    </row>
    <row r="162" spans="1:16" x14ac:dyDescent="0.35">
      <c r="A162" s="46" t="str" cm="1">
        <f t="array" ref="A162">IF(ROW()-1&gt;COUNTA('Mii List'!A$2:A$200),"",INDEX('Mii List'!A$2:A$200,ROW()-1))</f>
        <v/>
      </c>
      <c r="B162" s="46" t="str">
        <f>IF(A162="","",INDEX('Mii List'!B$2:B$200,MATCH(A162,'Mii List'!A$2:A$200,0)))</f>
        <v/>
      </c>
      <c r="C162" s="46" t="str">
        <f>IF(A162="","",INDEX('Mii List'!C$2:C$200,MATCH(A162,'Mii List'!A$2:A$200,0)))</f>
        <v/>
      </c>
      <c r="D162" s="46" t="str">
        <f>IF(A162="","",INDEX('Mii List'!D$2:D$200,MATCH(A162,'Mii List'!A$2:A$200,0)))</f>
        <v/>
      </c>
      <c r="E162" s="46" t="str">
        <f>IF(A162="","",INDEX('Mii List'!E$2:E$200,MATCH(A162,'Mii List'!A$2:A$200,0)))</f>
        <v/>
      </c>
      <c r="F162" s="46">
        <f t="shared" si="14"/>
        <v>0</v>
      </c>
      <c r="G162" s="46">
        <f t="shared" si="15"/>
        <v>0</v>
      </c>
      <c r="H162" s="46">
        <f t="shared" si="16"/>
        <v>0</v>
      </c>
      <c r="I162" s="46">
        <f t="shared" si="17"/>
        <v>0</v>
      </c>
      <c r="J162" s="46">
        <f t="shared" si="18"/>
        <v>0</v>
      </c>
      <c r="K162" s="46">
        <f t="shared" si="19"/>
        <v>0</v>
      </c>
      <c r="L162" s="46" cm="1">
        <f t="array" ref="L162">IF(A162="",0,SUMPRODUCT((A$2:A$201&lt;&gt;"")*((F$2:F$201*I162+G$2:G$201*J162+H$2:H$201*K162)&gt;0)*((F162*I$2:I$201+G162*J$2:J$201+H162*K$2:K$201)&gt;0))-IF(F162*I162+G162*J162+H162*K162&gt;0,1,0))</f>
        <v>0</v>
      </c>
      <c r="M162" s="46" t="str" cm="1">
        <f t="array" ref="M162">IF(A162="","",SUMPRODUCT((A$2:A$201&lt;&gt;"")*(L$2:L$201&lt;L162))+SUMPRODUCT((A$2:A$201&lt;&gt;"")*(L$2:L$201=L162)*(A$2:A$201&lt;A162))+1)</f>
        <v/>
      </c>
      <c r="N162" s="46" t="str" cm="1">
        <f t="array" aca="1" ref="N162" ca="1">IF(A162="","",SUMPRODUCT(((OFFSET(F$2,0,0,COUNTA('Mii List'!A$2:A$200),1)*I162+OFFSET(G$2,0,0,COUNTA('Mii List'!A$2:A$200),1)*J162+OFFSET(H$2,0,0,COUNTA('Mii List'!A$2:A$200),1)*K162)&gt;0)*((F162*OFFSET(I$2,0,0,COUNTA('Mii List'!A$2:A$200),1)+G162*OFFSET(J$2,0,0,COUNTA('Mii List'!A$2:A$200),1)+H162*OFFSET(K$2,0,0,COUNTA('Mii List'!A$2:A$200),1))&gt;0)*(ROW(OFFSET($A$2,0,0,COUNTA('Mii List'!A$2:A$200),1))&lt;&gt;ROW())*IF(OFFSET(L$2,0,0,COUNTA('Mii List'!A$2:A$200),1)&gt;0,1/OFFSET(L$2,0,0,COUNTA('Mii List'!A$2:A$200),1),0)))</f>
        <v/>
      </c>
      <c r="O162" s="46" t="str" cm="1">
        <f t="array" aca="1" ref="O162" ca="1">IF(A162="","",IF(L162=0,0,SUMPRODUCT(((OFFSET(F$2,0,0,COUNTA('Mii List'!A$2:A$200),1)*I162+OFFSET(G$2,0,0,COUNTA('Mii List'!A$2:A$200),1)*J162+OFFSET(H$2,0,0,COUNTA('Mii List'!A$2:A$200),1)*K162)&gt;0)*((F162*OFFSET(I$2,0,0,COUNTA('Mii List'!A$2:A$200),1)+G162*OFFSET(J$2,0,0,COUNTA('Mii List'!A$2:A$200),1)+H162*OFFSET(K$2,0,0,COUNTA('Mii List'!A$2:A$200),1))&gt;0)*(ROW(OFFSET($A$2,0,0,COUNTA('Mii List'!A$2:A$200),1))&lt;&gt;ROW())*OFFSET(L$2,0,0,COUNTA('Mii List'!A$2:A$200),1))/L162))</f>
        <v/>
      </c>
      <c r="P162" s="46" t="str">
        <f t="shared" si="20"/>
        <v/>
      </c>
    </row>
    <row r="163" spans="1:16" x14ac:dyDescent="0.35">
      <c r="A163" s="46" t="str" cm="1">
        <f t="array" ref="A163">IF(ROW()-1&gt;COUNTA('Mii List'!A$2:A$200),"",INDEX('Mii List'!A$2:A$200,ROW()-1))</f>
        <v/>
      </c>
      <c r="B163" s="46" t="str">
        <f>IF(A163="","",INDEX('Mii List'!B$2:B$200,MATCH(A163,'Mii List'!A$2:A$200,0)))</f>
        <v/>
      </c>
      <c r="C163" s="46" t="str">
        <f>IF(A163="","",INDEX('Mii List'!C$2:C$200,MATCH(A163,'Mii List'!A$2:A$200,0)))</f>
        <v/>
      </c>
      <c r="D163" s="46" t="str">
        <f>IF(A163="","",INDEX('Mii List'!D$2:D$200,MATCH(A163,'Mii List'!A$2:A$200,0)))</f>
        <v/>
      </c>
      <c r="E163" s="46" t="str">
        <f>IF(A163="","",INDEX('Mii List'!E$2:E$200,MATCH(A163,'Mii List'!A$2:A$200,0)))</f>
        <v/>
      </c>
      <c r="F163" s="46">
        <f t="shared" si="14"/>
        <v>0</v>
      </c>
      <c r="G163" s="46">
        <f t="shared" si="15"/>
        <v>0</v>
      </c>
      <c r="H163" s="46">
        <f t="shared" si="16"/>
        <v>0</v>
      </c>
      <c r="I163" s="46">
        <f t="shared" si="17"/>
        <v>0</v>
      </c>
      <c r="J163" s="46">
        <f t="shared" si="18"/>
        <v>0</v>
      </c>
      <c r="K163" s="46">
        <f t="shared" si="19"/>
        <v>0</v>
      </c>
      <c r="L163" s="46" cm="1">
        <f t="array" ref="L163">IF(A163="",0,SUMPRODUCT((A$2:A$201&lt;&gt;"")*((F$2:F$201*I163+G$2:G$201*J163+H$2:H$201*K163)&gt;0)*((F163*I$2:I$201+G163*J$2:J$201+H163*K$2:K$201)&gt;0))-IF(F163*I163+G163*J163+H163*K163&gt;0,1,0))</f>
        <v>0</v>
      </c>
      <c r="M163" s="46" t="str" cm="1">
        <f t="array" ref="M163">IF(A163="","",SUMPRODUCT((A$2:A$201&lt;&gt;"")*(L$2:L$201&lt;L163))+SUMPRODUCT((A$2:A$201&lt;&gt;"")*(L$2:L$201=L163)*(A$2:A$201&lt;A163))+1)</f>
        <v/>
      </c>
      <c r="N163" s="46" t="str" cm="1">
        <f t="array" aca="1" ref="N163" ca="1">IF(A163="","",SUMPRODUCT(((OFFSET(F$2,0,0,COUNTA('Mii List'!A$2:A$200),1)*I163+OFFSET(G$2,0,0,COUNTA('Mii List'!A$2:A$200),1)*J163+OFFSET(H$2,0,0,COUNTA('Mii List'!A$2:A$200),1)*K163)&gt;0)*((F163*OFFSET(I$2,0,0,COUNTA('Mii List'!A$2:A$200),1)+G163*OFFSET(J$2,0,0,COUNTA('Mii List'!A$2:A$200),1)+H163*OFFSET(K$2,0,0,COUNTA('Mii List'!A$2:A$200),1))&gt;0)*(ROW(OFFSET($A$2,0,0,COUNTA('Mii List'!A$2:A$200),1))&lt;&gt;ROW())*IF(OFFSET(L$2,0,0,COUNTA('Mii List'!A$2:A$200),1)&gt;0,1/OFFSET(L$2,0,0,COUNTA('Mii List'!A$2:A$200),1),0)))</f>
        <v/>
      </c>
      <c r="O163" s="46" t="str" cm="1">
        <f t="array" aca="1" ref="O163" ca="1">IF(A163="","",IF(L163=0,0,SUMPRODUCT(((OFFSET(F$2,0,0,COUNTA('Mii List'!A$2:A$200),1)*I163+OFFSET(G$2,0,0,COUNTA('Mii List'!A$2:A$200),1)*J163+OFFSET(H$2,0,0,COUNTA('Mii List'!A$2:A$200),1)*K163)&gt;0)*((F163*OFFSET(I$2,0,0,COUNTA('Mii List'!A$2:A$200),1)+G163*OFFSET(J$2,0,0,COUNTA('Mii List'!A$2:A$200),1)+H163*OFFSET(K$2,0,0,COUNTA('Mii List'!A$2:A$200),1))&gt;0)*(ROW(OFFSET($A$2,0,0,COUNTA('Mii List'!A$2:A$200),1))&lt;&gt;ROW())*OFFSET(L$2,0,0,COUNTA('Mii List'!A$2:A$200),1))/L163))</f>
        <v/>
      </c>
      <c r="P163" s="46" t="str">
        <f t="shared" si="20"/>
        <v/>
      </c>
    </row>
    <row r="164" spans="1:16" x14ac:dyDescent="0.35">
      <c r="A164" s="46" t="str" cm="1">
        <f t="array" ref="A164">IF(ROW()-1&gt;COUNTA('Mii List'!A$2:A$200),"",INDEX('Mii List'!A$2:A$200,ROW()-1))</f>
        <v/>
      </c>
      <c r="B164" s="46" t="str">
        <f>IF(A164="","",INDEX('Mii List'!B$2:B$200,MATCH(A164,'Mii List'!A$2:A$200,0)))</f>
        <v/>
      </c>
      <c r="C164" s="46" t="str">
        <f>IF(A164="","",INDEX('Mii List'!C$2:C$200,MATCH(A164,'Mii List'!A$2:A$200,0)))</f>
        <v/>
      </c>
      <c r="D164" s="46" t="str">
        <f>IF(A164="","",INDEX('Mii List'!D$2:D$200,MATCH(A164,'Mii List'!A$2:A$200,0)))</f>
        <v/>
      </c>
      <c r="E164" s="46" t="str">
        <f>IF(A164="","",INDEX('Mii List'!E$2:E$200,MATCH(A164,'Mii List'!A$2:A$200,0)))</f>
        <v/>
      </c>
      <c r="F164" s="46">
        <f t="shared" si="14"/>
        <v>0</v>
      </c>
      <c r="G164" s="46">
        <f t="shared" si="15"/>
        <v>0</v>
      </c>
      <c r="H164" s="46">
        <f t="shared" si="16"/>
        <v>0</v>
      </c>
      <c r="I164" s="46">
        <f t="shared" si="17"/>
        <v>0</v>
      </c>
      <c r="J164" s="46">
        <f t="shared" si="18"/>
        <v>0</v>
      </c>
      <c r="K164" s="46">
        <f t="shared" si="19"/>
        <v>0</v>
      </c>
      <c r="L164" s="46" cm="1">
        <f t="array" ref="L164">IF(A164="",0,SUMPRODUCT((A$2:A$201&lt;&gt;"")*((F$2:F$201*I164+G$2:G$201*J164+H$2:H$201*K164)&gt;0)*((F164*I$2:I$201+G164*J$2:J$201+H164*K$2:K$201)&gt;0))-IF(F164*I164+G164*J164+H164*K164&gt;0,1,0))</f>
        <v>0</v>
      </c>
      <c r="M164" s="46" t="str" cm="1">
        <f t="array" ref="M164">IF(A164="","",SUMPRODUCT((A$2:A$201&lt;&gt;"")*(L$2:L$201&lt;L164))+SUMPRODUCT((A$2:A$201&lt;&gt;"")*(L$2:L$201=L164)*(A$2:A$201&lt;A164))+1)</f>
        <v/>
      </c>
      <c r="N164" s="46" t="str" cm="1">
        <f t="array" aca="1" ref="N164" ca="1">IF(A164="","",SUMPRODUCT(((OFFSET(F$2,0,0,COUNTA('Mii List'!A$2:A$200),1)*I164+OFFSET(G$2,0,0,COUNTA('Mii List'!A$2:A$200),1)*J164+OFFSET(H$2,0,0,COUNTA('Mii List'!A$2:A$200),1)*K164)&gt;0)*((F164*OFFSET(I$2,0,0,COUNTA('Mii List'!A$2:A$200),1)+G164*OFFSET(J$2,0,0,COUNTA('Mii List'!A$2:A$200),1)+H164*OFFSET(K$2,0,0,COUNTA('Mii List'!A$2:A$200),1))&gt;0)*(ROW(OFFSET($A$2,0,0,COUNTA('Mii List'!A$2:A$200),1))&lt;&gt;ROW())*IF(OFFSET(L$2,0,0,COUNTA('Mii List'!A$2:A$200),1)&gt;0,1/OFFSET(L$2,0,0,COUNTA('Mii List'!A$2:A$200),1),0)))</f>
        <v/>
      </c>
      <c r="O164" s="46" t="str" cm="1">
        <f t="array" aca="1" ref="O164" ca="1">IF(A164="","",IF(L164=0,0,SUMPRODUCT(((OFFSET(F$2,0,0,COUNTA('Mii List'!A$2:A$200),1)*I164+OFFSET(G$2,0,0,COUNTA('Mii List'!A$2:A$200),1)*J164+OFFSET(H$2,0,0,COUNTA('Mii List'!A$2:A$200),1)*K164)&gt;0)*((F164*OFFSET(I$2,0,0,COUNTA('Mii List'!A$2:A$200),1)+G164*OFFSET(J$2,0,0,COUNTA('Mii List'!A$2:A$200),1)+H164*OFFSET(K$2,0,0,COUNTA('Mii List'!A$2:A$200),1))&gt;0)*(ROW(OFFSET($A$2,0,0,COUNTA('Mii List'!A$2:A$200),1))&lt;&gt;ROW())*OFFSET(L$2,0,0,COUNTA('Mii List'!A$2:A$200),1))/L164))</f>
        <v/>
      </c>
      <c r="P164" s="46" t="str">
        <f t="shared" si="20"/>
        <v/>
      </c>
    </row>
    <row r="165" spans="1:16" x14ac:dyDescent="0.35">
      <c r="A165" s="46" t="str" cm="1">
        <f t="array" ref="A165">IF(ROW()-1&gt;COUNTA('Mii List'!A$2:A$200),"",INDEX('Mii List'!A$2:A$200,ROW()-1))</f>
        <v/>
      </c>
      <c r="B165" s="46" t="str">
        <f>IF(A165="","",INDEX('Mii List'!B$2:B$200,MATCH(A165,'Mii List'!A$2:A$200,0)))</f>
        <v/>
      </c>
      <c r="C165" s="46" t="str">
        <f>IF(A165="","",INDEX('Mii List'!C$2:C$200,MATCH(A165,'Mii List'!A$2:A$200,0)))</f>
        <v/>
      </c>
      <c r="D165" s="46" t="str">
        <f>IF(A165="","",INDEX('Mii List'!D$2:D$200,MATCH(A165,'Mii List'!A$2:A$200,0)))</f>
        <v/>
      </c>
      <c r="E165" s="46" t="str">
        <f>IF(A165="","",INDEX('Mii List'!E$2:E$200,MATCH(A165,'Mii List'!A$2:A$200,0)))</f>
        <v/>
      </c>
      <c r="F165" s="46">
        <f t="shared" si="14"/>
        <v>0</v>
      </c>
      <c r="G165" s="46">
        <f t="shared" si="15"/>
        <v>0</v>
      </c>
      <c r="H165" s="46">
        <f t="shared" si="16"/>
        <v>0</v>
      </c>
      <c r="I165" s="46">
        <f t="shared" si="17"/>
        <v>0</v>
      </c>
      <c r="J165" s="46">
        <f t="shared" si="18"/>
        <v>0</v>
      </c>
      <c r="K165" s="46">
        <f t="shared" si="19"/>
        <v>0</v>
      </c>
      <c r="L165" s="46" cm="1">
        <f t="array" ref="L165">IF(A165="",0,SUMPRODUCT((A$2:A$201&lt;&gt;"")*((F$2:F$201*I165+G$2:G$201*J165+H$2:H$201*K165)&gt;0)*((F165*I$2:I$201+G165*J$2:J$201+H165*K$2:K$201)&gt;0))-IF(F165*I165+G165*J165+H165*K165&gt;0,1,0))</f>
        <v>0</v>
      </c>
      <c r="M165" s="46" t="str" cm="1">
        <f t="array" ref="M165">IF(A165="","",SUMPRODUCT((A$2:A$201&lt;&gt;"")*(L$2:L$201&lt;L165))+SUMPRODUCT((A$2:A$201&lt;&gt;"")*(L$2:L$201=L165)*(A$2:A$201&lt;A165))+1)</f>
        <v/>
      </c>
      <c r="N165" s="46" t="str" cm="1">
        <f t="array" aca="1" ref="N165" ca="1">IF(A165="","",SUMPRODUCT(((OFFSET(F$2,0,0,COUNTA('Mii List'!A$2:A$200),1)*I165+OFFSET(G$2,0,0,COUNTA('Mii List'!A$2:A$200),1)*J165+OFFSET(H$2,0,0,COUNTA('Mii List'!A$2:A$200),1)*K165)&gt;0)*((F165*OFFSET(I$2,0,0,COUNTA('Mii List'!A$2:A$200),1)+G165*OFFSET(J$2,0,0,COUNTA('Mii List'!A$2:A$200),1)+H165*OFFSET(K$2,0,0,COUNTA('Mii List'!A$2:A$200),1))&gt;0)*(ROW(OFFSET($A$2,0,0,COUNTA('Mii List'!A$2:A$200),1))&lt;&gt;ROW())*IF(OFFSET(L$2,0,0,COUNTA('Mii List'!A$2:A$200),1)&gt;0,1/OFFSET(L$2,0,0,COUNTA('Mii List'!A$2:A$200),1),0)))</f>
        <v/>
      </c>
      <c r="O165" s="46" t="str" cm="1">
        <f t="array" aca="1" ref="O165" ca="1">IF(A165="","",IF(L165=0,0,SUMPRODUCT(((OFFSET(F$2,0,0,COUNTA('Mii List'!A$2:A$200),1)*I165+OFFSET(G$2,0,0,COUNTA('Mii List'!A$2:A$200),1)*J165+OFFSET(H$2,0,0,COUNTA('Mii List'!A$2:A$200),1)*K165)&gt;0)*((F165*OFFSET(I$2,0,0,COUNTA('Mii List'!A$2:A$200),1)+G165*OFFSET(J$2,0,0,COUNTA('Mii List'!A$2:A$200),1)+H165*OFFSET(K$2,0,0,COUNTA('Mii List'!A$2:A$200),1))&gt;0)*(ROW(OFFSET($A$2,0,0,COUNTA('Mii List'!A$2:A$200),1))&lt;&gt;ROW())*OFFSET(L$2,0,0,COUNTA('Mii List'!A$2:A$200),1))/L165))</f>
        <v/>
      </c>
      <c r="P165" s="46" t="str">
        <f t="shared" si="20"/>
        <v/>
      </c>
    </row>
    <row r="166" spans="1:16" x14ac:dyDescent="0.35">
      <c r="A166" s="46" t="str" cm="1">
        <f t="array" ref="A166">IF(ROW()-1&gt;COUNTA('Mii List'!A$2:A$200),"",INDEX('Mii List'!A$2:A$200,ROW()-1))</f>
        <v/>
      </c>
      <c r="B166" s="46" t="str">
        <f>IF(A166="","",INDEX('Mii List'!B$2:B$200,MATCH(A166,'Mii List'!A$2:A$200,0)))</f>
        <v/>
      </c>
      <c r="C166" s="46" t="str">
        <f>IF(A166="","",INDEX('Mii List'!C$2:C$200,MATCH(A166,'Mii List'!A$2:A$200,0)))</f>
        <v/>
      </c>
      <c r="D166" s="46" t="str">
        <f>IF(A166="","",INDEX('Mii List'!D$2:D$200,MATCH(A166,'Mii List'!A$2:A$200,0)))</f>
        <v/>
      </c>
      <c r="E166" s="46" t="str">
        <f>IF(A166="","",INDEX('Mii List'!E$2:E$200,MATCH(A166,'Mii List'!A$2:A$200,0)))</f>
        <v/>
      </c>
      <c r="F166" s="46">
        <f t="shared" si="14"/>
        <v>0</v>
      </c>
      <c r="G166" s="46">
        <f t="shared" si="15"/>
        <v>0</v>
      </c>
      <c r="H166" s="46">
        <f t="shared" si="16"/>
        <v>0</v>
      </c>
      <c r="I166" s="46">
        <f t="shared" si="17"/>
        <v>0</v>
      </c>
      <c r="J166" s="46">
        <f t="shared" si="18"/>
        <v>0</v>
      </c>
      <c r="K166" s="46">
        <f t="shared" si="19"/>
        <v>0</v>
      </c>
      <c r="L166" s="46" cm="1">
        <f t="array" ref="L166">IF(A166="",0,SUMPRODUCT((A$2:A$201&lt;&gt;"")*((F$2:F$201*I166+G$2:G$201*J166+H$2:H$201*K166)&gt;0)*((F166*I$2:I$201+G166*J$2:J$201+H166*K$2:K$201)&gt;0))-IF(F166*I166+G166*J166+H166*K166&gt;0,1,0))</f>
        <v>0</v>
      </c>
      <c r="M166" s="46" t="str" cm="1">
        <f t="array" ref="M166">IF(A166="","",SUMPRODUCT((A$2:A$201&lt;&gt;"")*(L$2:L$201&lt;L166))+SUMPRODUCT((A$2:A$201&lt;&gt;"")*(L$2:L$201=L166)*(A$2:A$201&lt;A166))+1)</f>
        <v/>
      </c>
      <c r="N166" s="46" t="str" cm="1">
        <f t="array" aca="1" ref="N166" ca="1">IF(A166="","",SUMPRODUCT(((OFFSET(F$2,0,0,COUNTA('Mii List'!A$2:A$200),1)*I166+OFFSET(G$2,0,0,COUNTA('Mii List'!A$2:A$200),1)*J166+OFFSET(H$2,0,0,COUNTA('Mii List'!A$2:A$200),1)*K166)&gt;0)*((F166*OFFSET(I$2,0,0,COUNTA('Mii List'!A$2:A$200),1)+G166*OFFSET(J$2,0,0,COUNTA('Mii List'!A$2:A$200),1)+H166*OFFSET(K$2,0,0,COUNTA('Mii List'!A$2:A$200),1))&gt;0)*(ROW(OFFSET($A$2,0,0,COUNTA('Mii List'!A$2:A$200),1))&lt;&gt;ROW())*IF(OFFSET(L$2,0,0,COUNTA('Mii List'!A$2:A$200),1)&gt;0,1/OFFSET(L$2,0,0,COUNTA('Mii List'!A$2:A$200),1),0)))</f>
        <v/>
      </c>
      <c r="O166" s="46" t="str" cm="1">
        <f t="array" aca="1" ref="O166" ca="1">IF(A166="","",IF(L166=0,0,SUMPRODUCT(((OFFSET(F$2,0,0,COUNTA('Mii List'!A$2:A$200),1)*I166+OFFSET(G$2,0,0,COUNTA('Mii List'!A$2:A$200),1)*J166+OFFSET(H$2,0,0,COUNTA('Mii List'!A$2:A$200),1)*K166)&gt;0)*((F166*OFFSET(I$2,0,0,COUNTA('Mii List'!A$2:A$200),1)+G166*OFFSET(J$2,0,0,COUNTA('Mii List'!A$2:A$200),1)+H166*OFFSET(K$2,0,0,COUNTA('Mii List'!A$2:A$200),1))&gt;0)*(ROW(OFFSET($A$2,0,0,COUNTA('Mii List'!A$2:A$200),1))&lt;&gt;ROW())*OFFSET(L$2,0,0,COUNTA('Mii List'!A$2:A$200),1))/L166))</f>
        <v/>
      </c>
      <c r="P166" s="46" t="str">
        <f t="shared" si="20"/>
        <v/>
      </c>
    </row>
    <row r="167" spans="1:16" x14ac:dyDescent="0.35">
      <c r="A167" s="46" t="str" cm="1">
        <f t="array" ref="A167">IF(ROW()-1&gt;COUNTA('Mii List'!A$2:A$200),"",INDEX('Mii List'!A$2:A$200,ROW()-1))</f>
        <v/>
      </c>
      <c r="B167" s="46" t="str">
        <f>IF(A167="","",INDEX('Mii List'!B$2:B$200,MATCH(A167,'Mii List'!A$2:A$200,0)))</f>
        <v/>
      </c>
      <c r="C167" s="46" t="str">
        <f>IF(A167="","",INDEX('Mii List'!C$2:C$200,MATCH(A167,'Mii List'!A$2:A$200,0)))</f>
        <v/>
      </c>
      <c r="D167" s="46" t="str">
        <f>IF(A167="","",INDEX('Mii List'!D$2:D$200,MATCH(A167,'Mii List'!A$2:A$200,0)))</f>
        <v/>
      </c>
      <c r="E167" s="46" t="str">
        <f>IF(A167="","",INDEX('Mii List'!E$2:E$200,MATCH(A167,'Mii List'!A$2:A$200,0)))</f>
        <v/>
      </c>
      <c r="F167" s="46">
        <f t="shared" si="14"/>
        <v>0</v>
      </c>
      <c r="G167" s="46">
        <f t="shared" si="15"/>
        <v>0</v>
      </c>
      <c r="H167" s="46">
        <f t="shared" si="16"/>
        <v>0</v>
      </c>
      <c r="I167" s="46">
        <f t="shared" si="17"/>
        <v>0</v>
      </c>
      <c r="J167" s="46">
        <f t="shared" si="18"/>
        <v>0</v>
      </c>
      <c r="K167" s="46">
        <f t="shared" si="19"/>
        <v>0</v>
      </c>
      <c r="L167" s="46" cm="1">
        <f t="array" ref="L167">IF(A167="",0,SUMPRODUCT((A$2:A$201&lt;&gt;"")*((F$2:F$201*I167+G$2:G$201*J167+H$2:H$201*K167)&gt;0)*((F167*I$2:I$201+G167*J$2:J$201+H167*K$2:K$201)&gt;0))-IF(F167*I167+G167*J167+H167*K167&gt;0,1,0))</f>
        <v>0</v>
      </c>
      <c r="M167" s="46" t="str" cm="1">
        <f t="array" ref="M167">IF(A167="","",SUMPRODUCT((A$2:A$201&lt;&gt;"")*(L$2:L$201&lt;L167))+SUMPRODUCT((A$2:A$201&lt;&gt;"")*(L$2:L$201=L167)*(A$2:A$201&lt;A167))+1)</f>
        <v/>
      </c>
      <c r="N167" s="46" t="str" cm="1">
        <f t="array" aca="1" ref="N167" ca="1">IF(A167="","",SUMPRODUCT(((OFFSET(F$2,0,0,COUNTA('Mii List'!A$2:A$200),1)*I167+OFFSET(G$2,0,0,COUNTA('Mii List'!A$2:A$200),1)*J167+OFFSET(H$2,0,0,COUNTA('Mii List'!A$2:A$200),1)*K167)&gt;0)*((F167*OFFSET(I$2,0,0,COUNTA('Mii List'!A$2:A$200),1)+G167*OFFSET(J$2,0,0,COUNTA('Mii List'!A$2:A$200),1)+H167*OFFSET(K$2,0,0,COUNTA('Mii List'!A$2:A$200),1))&gt;0)*(ROW(OFFSET($A$2,0,0,COUNTA('Mii List'!A$2:A$200),1))&lt;&gt;ROW())*IF(OFFSET(L$2,0,0,COUNTA('Mii List'!A$2:A$200),1)&gt;0,1/OFFSET(L$2,0,0,COUNTA('Mii List'!A$2:A$200),1),0)))</f>
        <v/>
      </c>
      <c r="O167" s="46" t="str" cm="1">
        <f t="array" aca="1" ref="O167" ca="1">IF(A167="","",IF(L167=0,0,SUMPRODUCT(((OFFSET(F$2,0,0,COUNTA('Mii List'!A$2:A$200),1)*I167+OFFSET(G$2,0,0,COUNTA('Mii List'!A$2:A$200),1)*J167+OFFSET(H$2,0,0,COUNTA('Mii List'!A$2:A$200),1)*K167)&gt;0)*((F167*OFFSET(I$2,0,0,COUNTA('Mii List'!A$2:A$200),1)+G167*OFFSET(J$2,0,0,COUNTA('Mii List'!A$2:A$200),1)+H167*OFFSET(K$2,0,0,COUNTA('Mii List'!A$2:A$200),1))&gt;0)*(ROW(OFFSET($A$2,0,0,COUNTA('Mii List'!A$2:A$200),1))&lt;&gt;ROW())*OFFSET(L$2,0,0,COUNTA('Mii List'!A$2:A$200),1))/L167))</f>
        <v/>
      </c>
      <c r="P167" s="46" t="str">
        <f t="shared" si="20"/>
        <v/>
      </c>
    </row>
    <row r="168" spans="1:16" x14ac:dyDescent="0.35">
      <c r="A168" s="46" t="str" cm="1">
        <f t="array" ref="A168">IF(ROW()-1&gt;COUNTA('Mii List'!A$2:A$200),"",INDEX('Mii List'!A$2:A$200,ROW()-1))</f>
        <v/>
      </c>
      <c r="B168" s="46" t="str">
        <f>IF(A168="","",INDEX('Mii List'!B$2:B$200,MATCH(A168,'Mii List'!A$2:A$200,0)))</f>
        <v/>
      </c>
      <c r="C168" s="46" t="str">
        <f>IF(A168="","",INDEX('Mii List'!C$2:C$200,MATCH(A168,'Mii List'!A$2:A$200,0)))</f>
        <v/>
      </c>
      <c r="D168" s="46" t="str">
        <f>IF(A168="","",INDEX('Mii List'!D$2:D$200,MATCH(A168,'Mii List'!A$2:A$200,0)))</f>
        <v/>
      </c>
      <c r="E168" s="46" t="str">
        <f>IF(A168="","",INDEX('Mii List'!E$2:E$200,MATCH(A168,'Mii List'!A$2:A$200,0)))</f>
        <v/>
      </c>
      <c r="F168" s="46">
        <f t="shared" si="14"/>
        <v>0</v>
      </c>
      <c r="G168" s="46">
        <f t="shared" si="15"/>
        <v>0</v>
      </c>
      <c r="H168" s="46">
        <f t="shared" si="16"/>
        <v>0</v>
      </c>
      <c r="I168" s="46">
        <f t="shared" si="17"/>
        <v>0</v>
      </c>
      <c r="J168" s="46">
        <f t="shared" si="18"/>
        <v>0</v>
      </c>
      <c r="K168" s="46">
        <f t="shared" si="19"/>
        <v>0</v>
      </c>
      <c r="L168" s="46" cm="1">
        <f t="array" ref="L168">IF(A168="",0,SUMPRODUCT((A$2:A$201&lt;&gt;"")*((F$2:F$201*I168+G$2:G$201*J168+H$2:H$201*K168)&gt;0)*((F168*I$2:I$201+G168*J$2:J$201+H168*K$2:K$201)&gt;0))-IF(F168*I168+G168*J168+H168*K168&gt;0,1,0))</f>
        <v>0</v>
      </c>
      <c r="M168" s="46" t="str" cm="1">
        <f t="array" ref="M168">IF(A168="","",SUMPRODUCT((A$2:A$201&lt;&gt;"")*(L$2:L$201&lt;L168))+SUMPRODUCT((A$2:A$201&lt;&gt;"")*(L$2:L$201=L168)*(A$2:A$201&lt;A168))+1)</f>
        <v/>
      </c>
      <c r="N168" s="46" t="str" cm="1">
        <f t="array" aca="1" ref="N168" ca="1">IF(A168="","",SUMPRODUCT(((OFFSET(F$2,0,0,COUNTA('Mii List'!A$2:A$200),1)*I168+OFFSET(G$2,0,0,COUNTA('Mii List'!A$2:A$200),1)*J168+OFFSET(H$2,0,0,COUNTA('Mii List'!A$2:A$200),1)*K168)&gt;0)*((F168*OFFSET(I$2,0,0,COUNTA('Mii List'!A$2:A$200),1)+G168*OFFSET(J$2,0,0,COUNTA('Mii List'!A$2:A$200),1)+H168*OFFSET(K$2,0,0,COUNTA('Mii List'!A$2:A$200),1))&gt;0)*(ROW(OFFSET($A$2,0,0,COUNTA('Mii List'!A$2:A$200),1))&lt;&gt;ROW())*IF(OFFSET(L$2,0,0,COUNTA('Mii List'!A$2:A$200),1)&gt;0,1/OFFSET(L$2,0,0,COUNTA('Mii List'!A$2:A$200),1),0)))</f>
        <v/>
      </c>
      <c r="O168" s="46" t="str" cm="1">
        <f t="array" aca="1" ref="O168" ca="1">IF(A168="","",IF(L168=0,0,SUMPRODUCT(((OFFSET(F$2,0,0,COUNTA('Mii List'!A$2:A$200),1)*I168+OFFSET(G$2,0,0,COUNTA('Mii List'!A$2:A$200),1)*J168+OFFSET(H$2,0,0,COUNTA('Mii List'!A$2:A$200),1)*K168)&gt;0)*((F168*OFFSET(I$2,0,0,COUNTA('Mii List'!A$2:A$200),1)+G168*OFFSET(J$2,0,0,COUNTA('Mii List'!A$2:A$200),1)+H168*OFFSET(K$2,0,0,COUNTA('Mii List'!A$2:A$200),1))&gt;0)*(ROW(OFFSET($A$2,0,0,COUNTA('Mii List'!A$2:A$200),1))&lt;&gt;ROW())*OFFSET(L$2,0,0,COUNTA('Mii List'!A$2:A$200),1))/L168))</f>
        <v/>
      </c>
      <c r="P168" s="46" t="str">
        <f t="shared" si="20"/>
        <v/>
      </c>
    </row>
    <row r="169" spans="1:16" x14ac:dyDescent="0.35">
      <c r="A169" s="46" t="str" cm="1">
        <f t="array" ref="A169">IF(ROW()-1&gt;COUNTA('Mii List'!A$2:A$200),"",INDEX('Mii List'!A$2:A$200,ROW()-1))</f>
        <v/>
      </c>
      <c r="B169" s="46" t="str">
        <f>IF(A169="","",INDEX('Mii List'!B$2:B$200,MATCH(A169,'Mii List'!A$2:A$200,0)))</f>
        <v/>
      </c>
      <c r="C169" s="46" t="str">
        <f>IF(A169="","",INDEX('Mii List'!C$2:C$200,MATCH(A169,'Mii List'!A$2:A$200,0)))</f>
        <v/>
      </c>
      <c r="D169" s="46" t="str">
        <f>IF(A169="","",INDEX('Mii List'!D$2:D$200,MATCH(A169,'Mii List'!A$2:A$200,0)))</f>
        <v/>
      </c>
      <c r="E169" s="46" t="str">
        <f>IF(A169="","",INDEX('Mii List'!E$2:E$200,MATCH(A169,'Mii List'!A$2:A$200,0)))</f>
        <v/>
      </c>
      <c r="F169" s="46">
        <f t="shared" si="14"/>
        <v>0</v>
      </c>
      <c r="G169" s="46">
        <f t="shared" si="15"/>
        <v>0</v>
      </c>
      <c r="H169" s="46">
        <f t="shared" si="16"/>
        <v>0</v>
      </c>
      <c r="I169" s="46">
        <f t="shared" si="17"/>
        <v>0</v>
      </c>
      <c r="J169" s="46">
        <f t="shared" si="18"/>
        <v>0</v>
      </c>
      <c r="K169" s="46">
        <f t="shared" si="19"/>
        <v>0</v>
      </c>
      <c r="L169" s="46" cm="1">
        <f t="array" ref="L169">IF(A169="",0,SUMPRODUCT((A$2:A$201&lt;&gt;"")*((F$2:F$201*I169+G$2:G$201*J169+H$2:H$201*K169)&gt;0)*((F169*I$2:I$201+G169*J$2:J$201+H169*K$2:K$201)&gt;0))-IF(F169*I169+G169*J169+H169*K169&gt;0,1,0))</f>
        <v>0</v>
      </c>
      <c r="M169" s="46" t="str" cm="1">
        <f t="array" ref="M169">IF(A169="","",SUMPRODUCT((A$2:A$201&lt;&gt;"")*(L$2:L$201&lt;L169))+SUMPRODUCT((A$2:A$201&lt;&gt;"")*(L$2:L$201=L169)*(A$2:A$201&lt;A169))+1)</f>
        <v/>
      </c>
      <c r="N169" s="46" t="str" cm="1">
        <f t="array" aca="1" ref="N169" ca="1">IF(A169="","",SUMPRODUCT(((OFFSET(F$2,0,0,COUNTA('Mii List'!A$2:A$200),1)*I169+OFFSET(G$2,0,0,COUNTA('Mii List'!A$2:A$200),1)*J169+OFFSET(H$2,0,0,COUNTA('Mii List'!A$2:A$200),1)*K169)&gt;0)*((F169*OFFSET(I$2,0,0,COUNTA('Mii List'!A$2:A$200),1)+G169*OFFSET(J$2,0,0,COUNTA('Mii List'!A$2:A$200),1)+H169*OFFSET(K$2,0,0,COUNTA('Mii List'!A$2:A$200),1))&gt;0)*(ROW(OFFSET($A$2,0,0,COUNTA('Mii List'!A$2:A$200),1))&lt;&gt;ROW())*IF(OFFSET(L$2,0,0,COUNTA('Mii List'!A$2:A$200),1)&gt;0,1/OFFSET(L$2,0,0,COUNTA('Mii List'!A$2:A$200),1),0)))</f>
        <v/>
      </c>
      <c r="O169" s="46" t="str" cm="1">
        <f t="array" aca="1" ref="O169" ca="1">IF(A169="","",IF(L169=0,0,SUMPRODUCT(((OFFSET(F$2,0,0,COUNTA('Mii List'!A$2:A$200),1)*I169+OFFSET(G$2,0,0,COUNTA('Mii List'!A$2:A$200),1)*J169+OFFSET(H$2,0,0,COUNTA('Mii List'!A$2:A$200),1)*K169)&gt;0)*((F169*OFFSET(I$2,0,0,COUNTA('Mii List'!A$2:A$200),1)+G169*OFFSET(J$2,0,0,COUNTA('Mii List'!A$2:A$200),1)+H169*OFFSET(K$2,0,0,COUNTA('Mii List'!A$2:A$200),1))&gt;0)*(ROW(OFFSET($A$2,0,0,COUNTA('Mii List'!A$2:A$200),1))&lt;&gt;ROW())*OFFSET(L$2,0,0,COUNTA('Mii List'!A$2:A$200),1))/L169))</f>
        <v/>
      </c>
      <c r="P169" s="46" t="str">
        <f t="shared" si="20"/>
        <v/>
      </c>
    </row>
    <row r="170" spans="1:16" x14ac:dyDescent="0.35">
      <c r="A170" s="46" t="str" cm="1">
        <f t="array" ref="A170">IF(ROW()-1&gt;COUNTA('Mii List'!A$2:A$200),"",INDEX('Mii List'!A$2:A$200,ROW()-1))</f>
        <v/>
      </c>
      <c r="B170" s="46" t="str">
        <f>IF(A170="","",INDEX('Mii List'!B$2:B$200,MATCH(A170,'Mii List'!A$2:A$200,0)))</f>
        <v/>
      </c>
      <c r="C170" s="46" t="str">
        <f>IF(A170="","",INDEX('Mii List'!C$2:C$200,MATCH(A170,'Mii List'!A$2:A$200,0)))</f>
        <v/>
      </c>
      <c r="D170" s="46" t="str">
        <f>IF(A170="","",INDEX('Mii List'!D$2:D$200,MATCH(A170,'Mii List'!A$2:A$200,0)))</f>
        <v/>
      </c>
      <c r="E170" s="46" t="str">
        <f>IF(A170="","",INDEX('Mii List'!E$2:E$200,MATCH(A170,'Mii List'!A$2:A$200,0)))</f>
        <v/>
      </c>
      <c r="F170" s="46">
        <f t="shared" si="14"/>
        <v>0</v>
      </c>
      <c r="G170" s="46">
        <f t="shared" si="15"/>
        <v>0</v>
      </c>
      <c r="H170" s="46">
        <f t="shared" si="16"/>
        <v>0</v>
      </c>
      <c r="I170" s="46">
        <f t="shared" si="17"/>
        <v>0</v>
      </c>
      <c r="J170" s="46">
        <f t="shared" si="18"/>
        <v>0</v>
      </c>
      <c r="K170" s="46">
        <f t="shared" si="19"/>
        <v>0</v>
      </c>
      <c r="L170" s="46" cm="1">
        <f t="array" ref="L170">IF(A170="",0,SUMPRODUCT((A$2:A$201&lt;&gt;"")*((F$2:F$201*I170+G$2:G$201*J170+H$2:H$201*K170)&gt;0)*((F170*I$2:I$201+G170*J$2:J$201+H170*K$2:K$201)&gt;0))-IF(F170*I170+G170*J170+H170*K170&gt;0,1,0))</f>
        <v>0</v>
      </c>
      <c r="M170" s="46" t="str" cm="1">
        <f t="array" ref="M170">IF(A170="","",SUMPRODUCT((A$2:A$201&lt;&gt;"")*(L$2:L$201&lt;L170))+SUMPRODUCT((A$2:A$201&lt;&gt;"")*(L$2:L$201=L170)*(A$2:A$201&lt;A170))+1)</f>
        <v/>
      </c>
      <c r="N170" s="46" t="str" cm="1">
        <f t="array" aca="1" ref="N170" ca="1">IF(A170="","",SUMPRODUCT(((OFFSET(F$2,0,0,COUNTA('Mii List'!A$2:A$200),1)*I170+OFFSET(G$2,0,0,COUNTA('Mii List'!A$2:A$200),1)*J170+OFFSET(H$2,0,0,COUNTA('Mii List'!A$2:A$200),1)*K170)&gt;0)*((F170*OFFSET(I$2,0,0,COUNTA('Mii List'!A$2:A$200),1)+G170*OFFSET(J$2,0,0,COUNTA('Mii List'!A$2:A$200),1)+H170*OFFSET(K$2,0,0,COUNTA('Mii List'!A$2:A$200),1))&gt;0)*(ROW(OFFSET($A$2,0,0,COUNTA('Mii List'!A$2:A$200),1))&lt;&gt;ROW())*IF(OFFSET(L$2,0,0,COUNTA('Mii List'!A$2:A$200),1)&gt;0,1/OFFSET(L$2,0,0,COUNTA('Mii List'!A$2:A$200),1),0)))</f>
        <v/>
      </c>
      <c r="O170" s="46" t="str" cm="1">
        <f t="array" aca="1" ref="O170" ca="1">IF(A170="","",IF(L170=0,0,SUMPRODUCT(((OFFSET(F$2,0,0,COUNTA('Mii List'!A$2:A$200),1)*I170+OFFSET(G$2,0,0,COUNTA('Mii List'!A$2:A$200),1)*J170+OFFSET(H$2,0,0,COUNTA('Mii List'!A$2:A$200),1)*K170)&gt;0)*((F170*OFFSET(I$2,0,0,COUNTA('Mii List'!A$2:A$200),1)+G170*OFFSET(J$2,0,0,COUNTA('Mii List'!A$2:A$200),1)+H170*OFFSET(K$2,0,0,COUNTA('Mii List'!A$2:A$200),1))&gt;0)*(ROW(OFFSET($A$2,0,0,COUNTA('Mii List'!A$2:A$200),1))&lt;&gt;ROW())*OFFSET(L$2,0,0,COUNTA('Mii List'!A$2:A$200),1))/L170))</f>
        <v/>
      </c>
      <c r="P170" s="46" t="str">
        <f t="shared" si="20"/>
        <v/>
      </c>
    </row>
    <row r="171" spans="1:16" x14ac:dyDescent="0.35">
      <c r="A171" s="46" t="str" cm="1">
        <f t="array" ref="A171">IF(ROW()-1&gt;COUNTA('Mii List'!A$2:A$200),"",INDEX('Mii List'!A$2:A$200,ROW()-1))</f>
        <v/>
      </c>
      <c r="B171" s="46" t="str">
        <f>IF(A171="","",INDEX('Mii List'!B$2:B$200,MATCH(A171,'Mii List'!A$2:A$200,0)))</f>
        <v/>
      </c>
      <c r="C171" s="46" t="str">
        <f>IF(A171="","",INDEX('Mii List'!C$2:C$200,MATCH(A171,'Mii List'!A$2:A$200,0)))</f>
        <v/>
      </c>
      <c r="D171" s="46" t="str">
        <f>IF(A171="","",INDEX('Mii List'!D$2:D$200,MATCH(A171,'Mii List'!A$2:A$200,0)))</f>
        <v/>
      </c>
      <c r="E171" s="46" t="str">
        <f>IF(A171="","",INDEX('Mii List'!E$2:E$200,MATCH(A171,'Mii List'!A$2:A$200,0)))</f>
        <v/>
      </c>
      <c r="F171" s="46">
        <f t="shared" si="14"/>
        <v>0</v>
      </c>
      <c r="G171" s="46">
        <f t="shared" si="15"/>
        <v>0</v>
      </c>
      <c r="H171" s="46">
        <f t="shared" si="16"/>
        <v>0</v>
      </c>
      <c r="I171" s="46">
        <f t="shared" si="17"/>
        <v>0</v>
      </c>
      <c r="J171" s="46">
        <f t="shared" si="18"/>
        <v>0</v>
      </c>
      <c r="K171" s="46">
        <f t="shared" si="19"/>
        <v>0</v>
      </c>
      <c r="L171" s="46" cm="1">
        <f t="array" ref="L171">IF(A171="",0,SUMPRODUCT((A$2:A$201&lt;&gt;"")*((F$2:F$201*I171+G$2:G$201*J171+H$2:H$201*K171)&gt;0)*((F171*I$2:I$201+G171*J$2:J$201+H171*K$2:K$201)&gt;0))-IF(F171*I171+G171*J171+H171*K171&gt;0,1,0))</f>
        <v>0</v>
      </c>
      <c r="M171" s="46" t="str" cm="1">
        <f t="array" ref="M171">IF(A171="","",SUMPRODUCT((A$2:A$201&lt;&gt;"")*(L$2:L$201&lt;L171))+SUMPRODUCT((A$2:A$201&lt;&gt;"")*(L$2:L$201=L171)*(A$2:A$201&lt;A171))+1)</f>
        <v/>
      </c>
      <c r="N171" s="46" t="str" cm="1">
        <f t="array" aca="1" ref="N171" ca="1">IF(A171="","",SUMPRODUCT(((OFFSET(F$2,0,0,COUNTA('Mii List'!A$2:A$200),1)*I171+OFFSET(G$2,0,0,COUNTA('Mii List'!A$2:A$200),1)*J171+OFFSET(H$2,0,0,COUNTA('Mii List'!A$2:A$200),1)*K171)&gt;0)*((F171*OFFSET(I$2,0,0,COUNTA('Mii List'!A$2:A$200),1)+G171*OFFSET(J$2,0,0,COUNTA('Mii List'!A$2:A$200),1)+H171*OFFSET(K$2,0,0,COUNTA('Mii List'!A$2:A$200),1))&gt;0)*(ROW(OFFSET($A$2,0,0,COUNTA('Mii List'!A$2:A$200),1))&lt;&gt;ROW())*IF(OFFSET(L$2,0,0,COUNTA('Mii List'!A$2:A$200),1)&gt;0,1/OFFSET(L$2,0,0,COUNTA('Mii List'!A$2:A$200),1),0)))</f>
        <v/>
      </c>
      <c r="O171" s="46" t="str" cm="1">
        <f t="array" aca="1" ref="O171" ca="1">IF(A171="","",IF(L171=0,0,SUMPRODUCT(((OFFSET(F$2,0,0,COUNTA('Mii List'!A$2:A$200),1)*I171+OFFSET(G$2,0,0,COUNTA('Mii List'!A$2:A$200),1)*J171+OFFSET(H$2,0,0,COUNTA('Mii List'!A$2:A$200),1)*K171)&gt;0)*((F171*OFFSET(I$2,0,0,COUNTA('Mii List'!A$2:A$200),1)+G171*OFFSET(J$2,0,0,COUNTA('Mii List'!A$2:A$200),1)+H171*OFFSET(K$2,0,0,COUNTA('Mii List'!A$2:A$200),1))&gt;0)*(ROW(OFFSET($A$2,0,0,COUNTA('Mii List'!A$2:A$200),1))&lt;&gt;ROW())*OFFSET(L$2,0,0,COUNTA('Mii List'!A$2:A$200),1))/L171))</f>
        <v/>
      </c>
      <c r="P171" s="46" t="str">
        <f t="shared" si="20"/>
        <v/>
      </c>
    </row>
    <row r="172" spans="1:16" x14ac:dyDescent="0.35">
      <c r="A172" s="46" t="str" cm="1">
        <f t="array" ref="A172">IF(ROW()-1&gt;COUNTA('Mii List'!A$2:A$200),"",INDEX('Mii List'!A$2:A$200,ROW()-1))</f>
        <v/>
      </c>
      <c r="B172" s="46" t="str">
        <f>IF(A172="","",INDEX('Mii List'!B$2:B$200,MATCH(A172,'Mii List'!A$2:A$200,0)))</f>
        <v/>
      </c>
      <c r="C172" s="46" t="str">
        <f>IF(A172="","",INDEX('Mii List'!C$2:C$200,MATCH(A172,'Mii List'!A$2:A$200,0)))</f>
        <v/>
      </c>
      <c r="D172" s="46" t="str">
        <f>IF(A172="","",INDEX('Mii List'!D$2:D$200,MATCH(A172,'Mii List'!A$2:A$200,0)))</f>
        <v/>
      </c>
      <c r="E172" s="46" t="str">
        <f>IF(A172="","",INDEX('Mii List'!E$2:E$200,MATCH(A172,'Mii List'!A$2:A$200,0)))</f>
        <v/>
      </c>
      <c r="F172" s="46">
        <f t="shared" si="14"/>
        <v>0</v>
      </c>
      <c r="G172" s="46">
        <f t="shared" si="15"/>
        <v>0</v>
      </c>
      <c r="H172" s="46">
        <f t="shared" si="16"/>
        <v>0</v>
      </c>
      <c r="I172" s="46">
        <f t="shared" si="17"/>
        <v>0</v>
      </c>
      <c r="J172" s="46">
        <f t="shared" si="18"/>
        <v>0</v>
      </c>
      <c r="K172" s="46">
        <f t="shared" si="19"/>
        <v>0</v>
      </c>
      <c r="L172" s="46" cm="1">
        <f t="array" ref="L172">IF(A172="",0,SUMPRODUCT((A$2:A$201&lt;&gt;"")*((F$2:F$201*I172+G$2:G$201*J172+H$2:H$201*K172)&gt;0)*((F172*I$2:I$201+G172*J$2:J$201+H172*K$2:K$201)&gt;0))-IF(F172*I172+G172*J172+H172*K172&gt;0,1,0))</f>
        <v>0</v>
      </c>
      <c r="M172" s="46" t="str" cm="1">
        <f t="array" ref="M172">IF(A172="","",SUMPRODUCT((A$2:A$201&lt;&gt;"")*(L$2:L$201&lt;L172))+SUMPRODUCT((A$2:A$201&lt;&gt;"")*(L$2:L$201=L172)*(A$2:A$201&lt;A172))+1)</f>
        <v/>
      </c>
      <c r="N172" s="46" t="str" cm="1">
        <f t="array" aca="1" ref="N172" ca="1">IF(A172="","",SUMPRODUCT(((OFFSET(F$2,0,0,COUNTA('Mii List'!A$2:A$200),1)*I172+OFFSET(G$2,0,0,COUNTA('Mii List'!A$2:A$200),1)*J172+OFFSET(H$2,0,0,COUNTA('Mii List'!A$2:A$200),1)*K172)&gt;0)*((F172*OFFSET(I$2,0,0,COUNTA('Mii List'!A$2:A$200),1)+G172*OFFSET(J$2,0,0,COUNTA('Mii List'!A$2:A$200),1)+H172*OFFSET(K$2,0,0,COUNTA('Mii List'!A$2:A$200),1))&gt;0)*(ROW(OFFSET($A$2,0,0,COUNTA('Mii List'!A$2:A$200),1))&lt;&gt;ROW())*IF(OFFSET(L$2,0,0,COUNTA('Mii List'!A$2:A$200),1)&gt;0,1/OFFSET(L$2,0,0,COUNTA('Mii List'!A$2:A$200),1),0)))</f>
        <v/>
      </c>
      <c r="O172" s="46" t="str" cm="1">
        <f t="array" aca="1" ref="O172" ca="1">IF(A172="","",IF(L172=0,0,SUMPRODUCT(((OFFSET(F$2,0,0,COUNTA('Mii List'!A$2:A$200),1)*I172+OFFSET(G$2,0,0,COUNTA('Mii List'!A$2:A$200),1)*J172+OFFSET(H$2,0,0,COUNTA('Mii List'!A$2:A$200),1)*K172)&gt;0)*((F172*OFFSET(I$2,0,0,COUNTA('Mii List'!A$2:A$200),1)+G172*OFFSET(J$2,0,0,COUNTA('Mii List'!A$2:A$200),1)+H172*OFFSET(K$2,0,0,COUNTA('Mii List'!A$2:A$200),1))&gt;0)*(ROW(OFFSET($A$2,0,0,COUNTA('Mii List'!A$2:A$200),1))&lt;&gt;ROW())*OFFSET(L$2,0,0,COUNTA('Mii List'!A$2:A$200),1))/L172))</f>
        <v/>
      </c>
      <c r="P172" s="46" t="str">
        <f t="shared" si="20"/>
        <v/>
      </c>
    </row>
    <row r="173" spans="1:16" x14ac:dyDescent="0.35">
      <c r="A173" s="46" t="str" cm="1">
        <f t="array" ref="A173">IF(ROW()-1&gt;COUNTA('Mii List'!A$2:A$200),"",INDEX('Mii List'!A$2:A$200,ROW()-1))</f>
        <v/>
      </c>
      <c r="B173" s="46" t="str">
        <f>IF(A173="","",INDEX('Mii List'!B$2:B$200,MATCH(A173,'Mii List'!A$2:A$200,0)))</f>
        <v/>
      </c>
      <c r="C173" s="46" t="str">
        <f>IF(A173="","",INDEX('Mii List'!C$2:C$200,MATCH(A173,'Mii List'!A$2:A$200,0)))</f>
        <v/>
      </c>
      <c r="D173" s="46" t="str">
        <f>IF(A173="","",INDEX('Mii List'!D$2:D$200,MATCH(A173,'Mii List'!A$2:A$200,0)))</f>
        <v/>
      </c>
      <c r="E173" s="46" t="str">
        <f>IF(A173="","",INDEX('Mii List'!E$2:E$200,MATCH(A173,'Mii List'!A$2:A$200,0)))</f>
        <v/>
      </c>
      <c r="F173" s="46">
        <f t="shared" si="14"/>
        <v>0</v>
      </c>
      <c r="G173" s="46">
        <f t="shared" si="15"/>
        <v>0</v>
      </c>
      <c r="H173" s="46">
        <f t="shared" si="16"/>
        <v>0</v>
      </c>
      <c r="I173" s="46">
        <f t="shared" si="17"/>
        <v>0</v>
      </c>
      <c r="J173" s="46">
        <f t="shared" si="18"/>
        <v>0</v>
      </c>
      <c r="K173" s="46">
        <f t="shared" si="19"/>
        <v>0</v>
      </c>
      <c r="L173" s="46" cm="1">
        <f t="array" ref="L173">IF(A173="",0,SUMPRODUCT((A$2:A$201&lt;&gt;"")*((F$2:F$201*I173+G$2:G$201*J173+H$2:H$201*K173)&gt;0)*((F173*I$2:I$201+G173*J$2:J$201+H173*K$2:K$201)&gt;0))-IF(F173*I173+G173*J173+H173*K173&gt;0,1,0))</f>
        <v>0</v>
      </c>
      <c r="M173" s="46" t="str" cm="1">
        <f t="array" ref="M173">IF(A173="","",SUMPRODUCT((A$2:A$201&lt;&gt;"")*(L$2:L$201&lt;L173))+SUMPRODUCT((A$2:A$201&lt;&gt;"")*(L$2:L$201=L173)*(A$2:A$201&lt;A173))+1)</f>
        <v/>
      </c>
      <c r="N173" s="46" t="str" cm="1">
        <f t="array" aca="1" ref="N173" ca="1">IF(A173="","",SUMPRODUCT(((OFFSET(F$2,0,0,COUNTA('Mii List'!A$2:A$200),1)*I173+OFFSET(G$2,0,0,COUNTA('Mii List'!A$2:A$200),1)*J173+OFFSET(H$2,0,0,COUNTA('Mii List'!A$2:A$200),1)*K173)&gt;0)*((F173*OFFSET(I$2,0,0,COUNTA('Mii List'!A$2:A$200),1)+G173*OFFSET(J$2,0,0,COUNTA('Mii List'!A$2:A$200),1)+H173*OFFSET(K$2,0,0,COUNTA('Mii List'!A$2:A$200),1))&gt;0)*(ROW(OFFSET($A$2,0,0,COUNTA('Mii List'!A$2:A$200),1))&lt;&gt;ROW())*IF(OFFSET(L$2,0,0,COUNTA('Mii List'!A$2:A$200),1)&gt;0,1/OFFSET(L$2,0,0,COUNTA('Mii List'!A$2:A$200),1),0)))</f>
        <v/>
      </c>
      <c r="O173" s="46" t="str" cm="1">
        <f t="array" aca="1" ref="O173" ca="1">IF(A173="","",IF(L173=0,0,SUMPRODUCT(((OFFSET(F$2,0,0,COUNTA('Mii List'!A$2:A$200),1)*I173+OFFSET(G$2,0,0,COUNTA('Mii List'!A$2:A$200),1)*J173+OFFSET(H$2,0,0,COUNTA('Mii List'!A$2:A$200),1)*K173)&gt;0)*((F173*OFFSET(I$2,0,0,COUNTA('Mii List'!A$2:A$200),1)+G173*OFFSET(J$2,0,0,COUNTA('Mii List'!A$2:A$200),1)+H173*OFFSET(K$2,0,0,COUNTA('Mii List'!A$2:A$200),1))&gt;0)*(ROW(OFFSET($A$2,0,0,COUNTA('Mii List'!A$2:A$200),1))&lt;&gt;ROW())*OFFSET(L$2,0,0,COUNTA('Mii List'!A$2:A$200),1))/L173))</f>
        <v/>
      </c>
      <c r="P173" s="46" t="str">
        <f t="shared" si="20"/>
        <v/>
      </c>
    </row>
    <row r="174" spans="1:16" x14ac:dyDescent="0.35">
      <c r="A174" s="46" t="str" cm="1">
        <f t="array" ref="A174">IF(ROW()-1&gt;COUNTA('Mii List'!A$2:A$200),"",INDEX('Mii List'!A$2:A$200,ROW()-1))</f>
        <v/>
      </c>
      <c r="B174" s="46" t="str">
        <f>IF(A174="","",INDEX('Mii List'!B$2:B$200,MATCH(A174,'Mii List'!A$2:A$200,0)))</f>
        <v/>
      </c>
      <c r="C174" s="46" t="str">
        <f>IF(A174="","",INDEX('Mii List'!C$2:C$200,MATCH(A174,'Mii List'!A$2:A$200,0)))</f>
        <v/>
      </c>
      <c r="D174" s="46" t="str">
        <f>IF(A174="","",INDEX('Mii List'!D$2:D$200,MATCH(A174,'Mii List'!A$2:A$200,0)))</f>
        <v/>
      </c>
      <c r="E174" s="46" t="str">
        <f>IF(A174="","",INDEX('Mii List'!E$2:E$200,MATCH(A174,'Mii List'!A$2:A$200,0)))</f>
        <v/>
      </c>
      <c r="F174" s="46">
        <f t="shared" si="14"/>
        <v>0</v>
      </c>
      <c r="G174" s="46">
        <f t="shared" si="15"/>
        <v>0</v>
      </c>
      <c r="H174" s="46">
        <f t="shared" si="16"/>
        <v>0</v>
      </c>
      <c r="I174" s="46">
        <f t="shared" si="17"/>
        <v>0</v>
      </c>
      <c r="J174" s="46">
        <f t="shared" si="18"/>
        <v>0</v>
      </c>
      <c r="K174" s="46">
        <f t="shared" si="19"/>
        <v>0</v>
      </c>
      <c r="L174" s="46" cm="1">
        <f t="array" ref="L174">IF(A174="",0,SUMPRODUCT((A$2:A$201&lt;&gt;"")*((F$2:F$201*I174+G$2:G$201*J174+H$2:H$201*K174)&gt;0)*((F174*I$2:I$201+G174*J$2:J$201+H174*K$2:K$201)&gt;0))-IF(F174*I174+G174*J174+H174*K174&gt;0,1,0))</f>
        <v>0</v>
      </c>
      <c r="M174" s="46" t="str" cm="1">
        <f t="array" ref="M174">IF(A174="","",SUMPRODUCT((A$2:A$201&lt;&gt;"")*(L$2:L$201&lt;L174))+SUMPRODUCT((A$2:A$201&lt;&gt;"")*(L$2:L$201=L174)*(A$2:A$201&lt;A174))+1)</f>
        <v/>
      </c>
      <c r="N174" s="46" t="str" cm="1">
        <f t="array" aca="1" ref="N174" ca="1">IF(A174="","",SUMPRODUCT(((OFFSET(F$2,0,0,COUNTA('Mii List'!A$2:A$200),1)*I174+OFFSET(G$2,0,0,COUNTA('Mii List'!A$2:A$200),1)*J174+OFFSET(H$2,0,0,COUNTA('Mii List'!A$2:A$200),1)*K174)&gt;0)*((F174*OFFSET(I$2,0,0,COUNTA('Mii List'!A$2:A$200),1)+G174*OFFSET(J$2,0,0,COUNTA('Mii List'!A$2:A$200),1)+H174*OFFSET(K$2,0,0,COUNTA('Mii List'!A$2:A$200),1))&gt;0)*(ROW(OFFSET($A$2,0,0,COUNTA('Mii List'!A$2:A$200),1))&lt;&gt;ROW())*IF(OFFSET(L$2,0,0,COUNTA('Mii List'!A$2:A$200),1)&gt;0,1/OFFSET(L$2,0,0,COUNTA('Mii List'!A$2:A$200),1),0)))</f>
        <v/>
      </c>
      <c r="O174" s="46" t="str" cm="1">
        <f t="array" aca="1" ref="O174" ca="1">IF(A174="","",IF(L174=0,0,SUMPRODUCT(((OFFSET(F$2,0,0,COUNTA('Mii List'!A$2:A$200),1)*I174+OFFSET(G$2,0,0,COUNTA('Mii List'!A$2:A$200),1)*J174+OFFSET(H$2,0,0,COUNTA('Mii List'!A$2:A$200),1)*K174)&gt;0)*((F174*OFFSET(I$2,0,0,COUNTA('Mii List'!A$2:A$200),1)+G174*OFFSET(J$2,0,0,COUNTA('Mii List'!A$2:A$200),1)+H174*OFFSET(K$2,0,0,COUNTA('Mii List'!A$2:A$200),1))&gt;0)*(ROW(OFFSET($A$2,0,0,COUNTA('Mii List'!A$2:A$200),1))&lt;&gt;ROW())*OFFSET(L$2,0,0,COUNTA('Mii List'!A$2:A$200),1))/L174))</f>
        <v/>
      </c>
      <c r="P174" s="46" t="str">
        <f t="shared" si="20"/>
        <v/>
      </c>
    </row>
    <row r="175" spans="1:16" x14ac:dyDescent="0.35">
      <c r="A175" s="46" t="str" cm="1">
        <f t="array" ref="A175">IF(ROW()-1&gt;COUNTA('Mii List'!A$2:A$200),"",INDEX('Mii List'!A$2:A$200,ROW()-1))</f>
        <v/>
      </c>
      <c r="B175" s="46" t="str">
        <f>IF(A175="","",INDEX('Mii List'!B$2:B$200,MATCH(A175,'Mii List'!A$2:A$200,0)))</f>
        <v/>
      </c>
      <c r="C175" s="46" t="str">
        <f>IF(A175="","",INDEX('Mii List'!C$2:C$200,MATCH(A175,'Mii List'!A$2:A$200,0)))</f>
        <v/>
      </c>
      <c r="D175" s="46" t="str">
        <f>IF(A175="","",INDEX('Mii List'!D$2:D$200,MATCH(A175,'Mii List'!A$2:A$200,0)))</f>
        <v/>
      </c>
      <c r="E175" s="46" t="str">
        <f>IF(A175="","",INDEX('Mii List'!E$2:E$200,MATCH(A175,'Mii List'!A$2:A$200,0)))</f>
        <v/>
      </c>
      <c r="F175" s="46">
        <f t="shared" si="14"/>
        <v>0</v>
      </c>
      <c r="G175" s="46">
        <f t="shared" si="15"/>
        <v>0</v>
      </c>
      <c r="H175" s="46">
        <f t="shared" si="16"/>
        <v>0</v>
      </c>
      <c r="I175" s="46">
        <f t="shared" si="17"/>
        <v>0</v>
      </c>
      <c r="J175" s="46">
        <f t="shared" si="18"/>
        <v>0</v>
      </c>
      <c r="K175" s="46">
        <f t="shared" si="19"/>
        <v>0</v>
      </c>
      <c r="L175" s="46" cm="1">
        <f t="array" ref="L175">IF(A175="",0,SUMPRODUCT((A$2:A$201&lt;&gt;"")*((F$2:F$201*I175+G$2:G$201*J175+H$2:H$201*K175)&gt;0)*((F175*I$2:I$201+G175*J$2:J$201+H175*K$2:K$201)&gt;0))-IF(F175*I175+G175*J175+H175*K175&gt;0,1,0))</f>
        <v>0</v>
      </c>
      <c r="M175" s="46" t="str" cm="1">
        <f t="array" ref="M175">IF(A175="","",SUMPRODUCT((A$2:A$201&lt;&gt;"")*(L$2:L$201&lt;L175))+SUMPRODUCT((A$2:A$201&lt;&gt;"")*(L$2:L$201=L175)*(A$2:A$201&lt;A175))+1)</f>
        <v/>
      </c>
      <c r="N175" s="46" t="str" cm="1">
        <f t="array" aca="1" ref="N175" ca="1">IF(A175="","",SUMPRODUCT(((OFFSET(F$2,0,0,COUNTA('Mii List'!A$2:A$200),1)*I175+OFFSET(G$2,0,0,COUNTA('Mii List'!A$2:A$200),1)*J175+OFFSET(H$2,0,0,COUNTA('Mii List'!A$2:A$200),1)*K175)&gt;0)*((F175*OFFSET(I$2,0,0,COUNTA('Mii List'!A$2:A$200),1)+G175*OFFSET(J$2,0,0,COUNTA('Mii List'!A$2:A$200),1)+H175*OFFSET(K$2,0,0,COUNTA('Mii List'!A$2:A$200),1))&gt;0)*(ROW(OFFSET($A$2,0,0,COUNTA('Mii List'!A$2:A$200),1))&lt;&gt;ROW())*IF(OFFSET(L$2,0,0,COUNTA('Mii List'!A$2:A$200),1)&gt;0,1/OFFSET(L$2,0,0,COUNTA('Mii List'!A$2:A$200),1),0)))</f>
        <v/>
      </c>
      <c r="O175" s="46" t="str" cm="1">
        <f t="array" aca="1" ref="O175" ca="1">IF(A175="","",IF(L175=0,0,SUMPRODUCT(((OFFSET(F$2,0,0,COUNTA('Mii List'!A$2:A$200),1)*I175+OFFSET(G$2,0,0,COUNTA('Mii List'!A$2:A$200),1)*J175+OFFSET(H$2,0,0,COUNTA('Mii List'!A$2:A$200),1)*K175)&gt;0)*((F175*OFFSET(I$2,0,0,COUNTA('Mii List'!A$2:A$200),1)+G175*OFFSET(J$2,0,0,COUNTA('Mii List'!A$2:A$200),1)+H175*OFFSET(K$2,0,0,COUNTA('Mii List'!A$2:A$200),1))&gt;0)*(ROW(OFFSET($A$2,0,0,COUNTA('Mii List'!A$2:A$200),1))&lt;&gt;ROW())*OFFSET(L$2,0,0,COUNTA('Mii List'!A$2:A$200),1))/L175))</f>
        <v/>
      </c>
      <c r="P175" s="46" t="str">
        <f t="shared" si="20"/>
        <v/>
      </c>
    </row>
    <row r="176" spans="1:16" x14ac:dyDescent="0.35">
      <c r="A176" s="46" t="str" cm="1">
        <f t="array" ref="A176">IF(ROW()-1&gt;COUNTA('Mii List'!A$2:A$200),"",INDEX('Mii List'!A$2:A$200,ROW()-1))</f>
        <v/>
      </c>
      <c r="B176" s="46" t="str">
        <f>IF(A176="","",INDEX('Mii List'!B$2:B$200,MATCH(A176,'Mii List'!A$2:A$200,0)))</f>
        <v/>
      </c>
      <c r="C176" s="46" t="str">
        <f>IF(A176="","",INDEX('Mii List'!C$2:C$200,MATCH(A176,'Mii List'!A$2:A$200,0)))</f>
        <v/>
      </c>
      <c r="D176" s="46" t="str">
        <f>IF(A176="","",INDEX('Mii List'!D$2:D$200,MATCH(A176,'Mii List'!A$2:A$200,0)))</f>
        <v/>
      </c>
      <c r="E176" s="46" t="str">
        <f>IF(A176="","",INDEX('Mii List'!E$2:E$200,MATCH(A176,'Mii List'!A$2:A$200,0)))</f>
        <v/>
      </c>
      <c r="F176" s="46">
        <f t="shared" si="14"/>
        <v>0</v>
      </c>
      <c r="G176" s="46">
        <f t="shared" si="15"/>
        <v>0</v>
      </c>
      <c r="H176" s="46">
        <f t="shared" si="16"/>
        <v>0</v>
      </c>
      <c r="I176" s="46">
        <f t="shared" si="17"/>
        <v>0</v>
      </c>
      <c r="J176" s="46">
        <f t="shared" si="18"/>
        <v>0</v>
      </c>
      <c r="K176" s="46">
        <f t="shared" si="19"/>
        <v>0</v>
      </c>
      <c r="L176" s="46" cm="1">
        <f t="array" ref="L176">IF(A176="",0,SUMPRODUCT((A$2:A$201&lt;&gt;"")*((F$2:F$201*I176+G$2:G$201*J176+H$2:H$201*K176)&gt;0)*((F176*I$2:I$201+G176*J$2:J$201+H176*K$2:K$201)&gt;0))-IF(F176*I176+G176*J176+H176*K176&gt;0,1,0))</f>
        <v>0</v>
      </c>
      <c r="M176" s="46" t="str" cm="1">
        <f t="array" ref="M176">IF(A176="","",SUMPRODUCT((A$2:A$201&lt;&gt;"")*(L$2:L$201&lt;L176))+SUMPRODUCT((A$2:A$201&lt;&gt;"")*(L$2:L$201=L176)*(A$2:A$201&lt;A176))+1)</f>
        <v/>
      </c>
      <c r="N176" s="46" t="str" cm="1">
        <f t="array" aca="1" ref="N176" ca="1">IF(A176="","",SUMPRODUCT(((OFFSET(F$2,0,0,COUNTA('Mii List'!A$2:A$200),1)*I176+OFFSET(G$2,0,0,COUNTA('Mii List'!A$2:A$200),1)*J176+OFFSET(H$2,0,0,COUNTA('Mii List'!A$2:A$200),1)*K176)&gt;0)*((F176*OFFSET(I$2,0,0,COUNTA('Mii List'!A$2:A$200),1)+G176*OFFSET(J$2,0,0,COUNTA('Mii List'!A$2:A$200),1)+H176*OFFSET(K$2,0,0,COUNTA('Mii List'!A$2:A$200),1))&gt;0)*(ROW(OFFSET($A$2,0,0,COUNTA('Mii List'!A$2:A$200),1))&lt;&gt;ROW())*IF(OFFSET(L$2,0,0,COUNTA('Mii List'!A$2:A$200),1)&gt;0,1/OFFSET(L$2,0,0,COUNTA('Mii List'!A$2:A$200),1),0)))</f>
        <v/>
      </c>
      <c r="O176" s="46" t="str" cm="1">
        <f t="array" aca="1" ref="O176" ca="1">IF(A176="","",IF(L176=0,0,SUMPRODUCT(((OFFSET(F$2,0,0,COUNTA('Mii List'!A$2:A$200),1)*I176+OFFSET(G$2,0,0,COUNTA('Mii List'!A$2:A$200),1)*J176+OFFSET(H$2,0,0,COUNTA('Mii List'!A$2:A$200),1)*K176)&gt;0)*((F176*OFFSET(I$2,0,0,COUNTA('Mii List'!A$2:A$200),1)+G176*OFFSET(J$2,0,0,COUNTA('Mii List'!A$2:A$200),1)+H176*OFFSET(K$2,0,0,COUNTA('Mii List'!A$2:A$200),1))&gt;0)*(ROW(OFFSET($A$2,0,0,COUNTA('Mii List'!A$2:A$200),1))&lt;&gt;ROW())*OFFSET(L$2,0,0,COUNTA('Mii List'!A$2:A$200),1))/L176))</f>
        <v/>
      </c>
      <c r="P176" s="46" t="str">
        <f t="shared" si="20"/>
        <v/>
      </c>
    </row>
    <row r="177" spans="1:16" x14ac:dyDescent="0.35">
      <c r="A177" s="46" t="str" cm="1">
        <f t="array" ref="A177">IF(ROW()-1&gt;COUNTA('Mii List'!A$2:A$200),"",INDEX('Mii List'!A$2:A$200,ROW()-1))</f>
        <v/>
      </c>
      <c r="B177" s="46" t="str">
        <f>IF(A177="","",INDEX('Mii List'!B$2:B$200,MATCH(A177,'Mii List'!A$2:A$200,0)))</f>
        <v/>
      </c>
      <c r="C177" s="46" t="str">
        <f>IF(A177="","",INDEX('Mii List'!C$2:C$200,MATCH(A177,'Mii List'!A$2:A$200,0)))</f>
        <v/>
      </c>
      <c r="D177" s="46" t="str">
        <f>IF(A177="","",INDEX('Mii List'!D$2:D$200,MATCH(A177,'Mii List'!A$2:A$200,0)))</f>
        <v/>
      </c>
      <c r="E177" s="46" t="str">
        <f>IF(A177="","",INDEX('Mii List'!E$2:E$200,MATCH(A177,'Mii List'!A$2:A$200,0)))</f>
        <v/>
      </c>
      <c r="F177" s="46">
        <f t="shared" si="14"/>
        <v>0</v>
      </c>
      <c r="G177" s="46">
        <f t="shared" si="15"/>
        <v>0</v>
      </c>
      <c r="H177" s="46">
        <f t="shared" si="16"/>
        <v>0</v>
      </c>
      <c r="I177" s="46">
        <f t="shared" si="17"/>
        <v>0</v>
      </c>
      <c r="J177" s="46">
        <f t="shared" si="18"/>
        <v>0</v>
      </c>
      <c r="K177" s="46">
        <f t="shared" si="19"/>
        <v>0</v>
      </c>
      <c r="L177" s="46" cm="1">
        <f t="array" ref="L177">IF(A177="",0,SUMPRODUCT((A$2:A$201&lt;&gt;"")*((F$2:F$201*I177+G$2:G$201*J177+H$2:H$201*K177)&gt;0)*((F177*I$2:I$201+G177*J$2:J$201+H177*K$2:K$201)&gt;0))-IF(F177*I177+G177*J177+H177*K177&gt;0,1,0))</f>
        <v>0</v>
      </c>
      <c r="M177" s="46" t="str" cm="1">
        <f t="array" ref="M177">IF(A177="","",SUMPRODUCT((A$2:A$201&lt;&gt;"")*(L$2:L$201&lt;L177))+SUMPRODUCT((A$2:A$201&lt;&gt;"")*(L$2:L$201=L177)*(A$2:A$201&lt;A177))+1)</f>
        <v/>
      </c>
      <c r="N177" s="46" t="str" cm="1">
        <f t="array" aca="1" ref="N177" ca="1">IF(A177="","",SUMPRODUCT(((OFFSET(F$2,0,0,COUNTA('Mii List'!A$2:A$200),1)*I177+OFFSET(G$2,0,0,COUNTA('Mii List'!A$2:A$200),1)*J177+OFFSET(H$2,0,0,COUNTA('Mii List'!A$2:A$200),1)*K177)&gt;0)*((F177*OFFSET(I$2,0,0,COUNTA('Mii List'!A$2:A$200),1)+G177*OFFSET(J$2,0,0,COUNTA('Mii List'!A$2:A$200),1)+H177*OFFSET(K$2,0,0,COUNTA('Mii List'!A$2:A$200),1))&gt;0)*(ROW(OFFSET($A$2,0,0,COUNTA('Mii List'!A$2:A$200),1))&lt;&gt;ROW())*IF(OFFSET(L$2,0,0,COUNTA('Mii List'!A$2:A$200),1)&gt;0,1/OFFSET(L$2,0,0,COUNTA('Mii List'!A$2:A$200),1),0)))</f>
        <v/>
      </c>
      <c r="O177" s="46" t="str" cm="1">
        <f t="array" aca="1" ref="O177" ca="1">IF(A177="","",IF(L177=0,0,SUMPRODUCT(((OFFSET(F$2,0,0,COUNTA('Mii List'!A$2:A$200),1)*I177+OFFSET(G$2,0,0,COUNTA('Mii List'!A$2:A$200),1)*J177+OFFSET(H$2,0,0,COUNTA('Mii List'!A$2:A$200),1)*K177)&gt;0)*((F177*OFFSET(I$2,0,0,COUNTA('Mii List'!A$2:A$200),1)+G177*OFFSET(J$2,0,0,COUNTA('Mii List'!A$2:A$200),1)+H177*OFFSET(K$2,0,0,COUNTA('Mii List'!A$2:A$200),1))&gt;0)*(ROW(OFFSET($A$2,0,0,COUNTA('Mii List'!A$2:A$200),1))&lt;&gt;ROW())*OFFSET(L$2,0,0,COUNTA('Mii List'!A$2:A$200),1))/L177))</f>
        <v/>
      </c>
      <c r="P177" s="46" t="str">
        <f t="shared" si="20"/>
        <v/>
      </c>
    </row>
    <row r="178" spans="1:16" x14ac:dyDescent="0.35">
      <c r="A178" s="46" t="str" cm="1">
        <f t="array" ref="A178">IF(ROW()-1&gt;COUNTA('Mii List'!A$2:A$200),"",INDEX('Mii List'!A$2:A$200,ROW()-1))</f>
        <v/>
      </c>
      <c r="B178" s="46" t="str">
        <f>IF(A178="","",INDEX('Mii List'!B$2:B$200,MATCH(A178,'Mii List'!A$2:A$200,0)))</f>
        <v/>
      </c>
      <c r="C178" s="46" t="str">
        <f>IF(A178="","",INDEX('Mii List'!C$2:C$200,MATCH(A178,'Mii List'!A$2:A$200,0)))</f>
        <v/>
      </c>
      <c r="D178" s="46" t="str">
        <f>IF(A178="","",INDEX('Mii List'!D$2:D$200,MATCH(A178,'Mii List'!A$2:A$200,0)))</f>
        <v/>
      </c>
      <c r="E178" s="46" t="str">
        <f>IF(A178="","",INDEX('Mii List'!E$2:E$200,MATCH(A178,'Mii List'!A$2:A$200,0)))</f>
        <v/>
      </c>
      <c r="F178" s="46">
        <f t="shared" si="14"/>
        <v>0</v>
      </c>
      <c r="G178" s="46">
        <f t="shared" si="15"/>
        <v>0</v>
      </c>
      <c r="H178" s="46">
        <f t="shared" si="16"/>
        <v>0</v>
      </c>
      <c r="I178" s="46">
        <f t="shared" si="17"/>
        <v>0</v>
      </c>
      <c r="J178" s="46">
        <f t="shared" si="18"/>
        <v>0</v>
      </c>
      <c r="K178" s="46">
        <f t="shared" si="19"/>
        <v>0</v>
      </c>
      <c r="L178" s="46" cm="1">
        <f t="array" ref="L178">IF(A178="",0,SUMPRODUCT((A$2:A$201&lt;&gt;"")*((F$2:F$201*I178+G$2:G$201*J178+H$2:H$201*K178)&gt;0)*((F178*I$2:I$201+G178*J$2:J$201+H178*K$2:K$201)&gt;0))-IF(F178*I178+G178*J178+H178*K178&gt;0,1,0))</f>
        <v>0</v>
      </c>
      <c r="M178" s="46" t="str" cm="1">
        <f t="array" ref="M178">IF(A178="","",SUMPRODUCT((A$2:A$201&lt;&gt;"")*(L$2:L$201&lt;L178))+SUMPRODUCT((A$2:A$201&lt;&gt;"")*(L$2:L$201=L178)*(A$2:A$201&lt;A178))+1)</f>
        <v/>
      </c>
      <c r="N178" s="46" t="str" cm="1">
        <f t="array" aca="1" ref="N178" ca="1">IF(A178="","",SUMPRODUCT(((OFFSET(F$2,0,0,COUNTA('Mii List'!A$2:A$200),1)*I178+OFFSET(G$2,0,0,COUNTA('Mii List'!A$2:A$200),1)*J178+OFFSET(H$2,0,0,COUNTA('Mii List'!A$2:A$200),1)*K178)&gt;0)*((F178*OFFSET(I$2,0,0,COUNTA('Mii List'!A$2:A$200),1)+G178*OFFSET(J$2,0,0,COUNTA('Mii List'!A$2:A$200),1)+H178*OFFSET(K$2,0,0,COUNTA('Mii List'!A$2:A$200),1))&gt;0)*(ROW(OFFSET($A$2,0,0,COUNTA('Mii List'!A$2:A$200),1))&lt;&gt;ROW())*IF(OFFSET(L$2,0,0,COUNTA('Mii List'!A$2:A$200),1)&gt;0,1/OFFSET(L$2,0,0,COUNTA('Mii List'!A$2:A$200),1),0)))</f>
        <v/>
      </c>
      <c r="O178" s="46" t="str" cm="1">
        <f t="array" aca="1" ref="O178" ca="1">IF(A178="","",IF(L178=0,0,SUMPRODUCT(((OFFSET(F$2,0,0,COUNTA('Mii List'!A$2:A$200),1)*I178+OFFSET(G$2,0,0,COUNTA('Mii List'!A$2:A$200),1)*J178+OFFSET(H$2,0,0,COUNTA('Mii List'!A$2:A$200),1)*K178)&gt;0)*((F178*OFFSET(I$2,0,0,COUNTA('Mii List'!A$2:A$200),1)+G178*OFFSET(J$2,0,0,COUNTA('Mii List'!A$2:A$200),1)+H178*OFFSET(K$2,0,0,COUNTA('Mii List'!A$2:A$200),1))&gt;0)*(ROW(OFFSET($A$2,0,0,COUNTA('Mii List'!A$2:A$200),1))&lt;&gt;ROW())*OFFSET(L$2,0,0,COUNTA('Mii List'!A$2:A$200),1))/L178))</f>
        <v/>
      </c>
      <c r="P178" s="46" t="str">
        <f t="shared" si="20"/>
        <v/>
      </c>
    </row>
    <row r="179" spans="1:16" x14ac:dyDescent="0.35">
      <c r="A179" s="46" t="str" cm="1">
        <f t="array" ref="A179">IF(ROW()-1&gt;COUNTA('Mii List'!A$2:A$200),"",INDEX('Mii List'!A$2:A$200,ROW()-1))</f>
        <v/>
      </c>
      <c r="B179" s="46" t="str">
        <f>IF(A179="","",INDEX('Mii List'!B$2:B$200,MATCH(A179,'Mii List'!A$2:A$200,0)))</f>
        <v/>
      </c>
      <c r="C179" s="46" t="str">
        <f>IF(A179="","",INDEX('Mii List'!C$2:C$200,MATCH(A179,'Mii List'!A$2:A$200,0)))</f>
        <v/>
      </c>
      <c r="D179" s="46" t="str">
        <f>IF(A179="","",INDEX('Mii List'!D$2:D$200,MATCH(A179,'Mii List'!A$2:A$200,0)))</f>
        <v/>
      </c>
      <c r="E179" s="46" t="str">
        <f>IF(A179="","",INDEX('Mii List'!E$2:E$200,MATCH(A179,'Mii List'!A$2:A$200,0)))</f>
        <v/>
      </c>
      <c r="F179" s="46">
        <f t="shared" si="14"/>
        <v>0</v>
      </c>
      <c r="G179" s="46">
        <f t="shared" si="15"/>
        <v>0</v>
      </c>
      <c r="H179" s="46">
        <f t="shared" si="16"/>
        <v>0</v>
      </c>
      <c r="I179" s="46">
        <f t="shared" si="17"/>
        <v>0</v>
      </c>
      <c r="J179" s="46">
        <f t="shared" si="18"/>
        <v>0</v>
      </c>
      <c r="K179" s="46">
        <f t="shared" si="19"/>
        <v>0</v>
      </c>
      <c r="L179" s="46" cm="1">
        <f t="array" ref="L179">IF(A179="",0,SUMPRODUCT((A$2:A$201&lt;&gt;"")*((F$2:F$201*I179+G$2:G$201*J179+H$2:H$201*K179)&gt;0)*((F179*I$2:I$201+G179*J$2:J$201+H179*K$2:K$201)&gt;0))-IF(F179*I179+G179*J179+H179*K179&gt;0,1,0))</f>
        <v>0</v>
      </c>
      <c r="M179" s="46" t="str" cm="1">
        <f t="array" ref="M179">IF(A179="","",SUMPRODUCT((A$2:A$201&lt;&gt;"")*(L$2:L$201&lt;L179))+SUMPRODUCT((A$2:A$201&lt;&gt;"")*(L$2:L$201=L179)*(A$2:A$201&lt;A179))+1)</f>
        <v/>
      </c>
      <c r="N179" s="46" t="str" cm="1">
        <f t="array" aca="1" ref="N179" ca="1">IF(A179="","",SUMPRODUCT(((OFFSET(F$2,0,0,COUNTA('Mii List'!A$2:A$200),1)*I179+OFFSET(G$2,0,0,COUNTA('Mii List'!A$2:A$200),1)*J179+OFFSET(H$2,0,0,COUNTA('Mii List'!A$2:A$200),1)*K179)&gt;0)*((F179*OFFSET(I$2,0,0,COUNTA('Mii List'!A$2:A$200),1)+G179*OFFSET(J$2,0,0,COUNTA('Mii List'!A$2:A$200),1)+H179*OFFSET(K$2,0,0,COUNTA('Mii List'!A$2:A$200),1))&gt;0)*(ROW(OFFSET($A$2,0,0,COUNTA('Mii List'!A$2:A$200),1))&lt;&gt;ROW())*IF(OFFSET(L$2,0,0,COUNTA('Mii List'!A$2:A$200),1)&gt;0,1/OFFSET(L$2,0,0,COUNTA('Mii List'!A$2:A$200),1),0)))</f>
        <v/>
      </c>
      <c r="O179" s="46" t="str" cm="1">
        <f t="array" aca="1" ref="O179" ca="1">IF(A179="","",IF(L179=0,0,SUMPRODUCT(((OFFSET(F$2,0,0,COUNTA('Mii List'!A$2:A$200),1)*I179+OFFSET(G$2,0,0,COUNTA('Mii List'!A$2:A$200),1)*J179+OFFSET(H$2,0,0,COUNTA('Mii List'!A$2:A$200),1)*K179)&gt;0)*((F179*OFFSET(I$2,0,0,COUNTA('Mii List'!A$2:A$200),1)+G179*OFFSET(J$2,0,0,COUNTA('Mii List'!A$2:A$200),1)+H179*OFFSET(K$2,0,0,COUNTA('Mii List'!A$2:A$200),1))&gt;0)*(ROW(OFFSET($A$2,0,0,COUNTA('Mii List'!A$2:A$200),1))&lt;&gt;ROW())*OFFSET(L$2,0,0,COUNTA('Mii List'!A$2:A$200),1))/L179))</f>
        <v/>
      </c>
      <c r="P179" s="46" t="str">
        <f t="shared" si="20"/>
        <v/>
      </c>
    </row>
    <row r="180" spans="1:16" x14ac:dyDescent="0.35">
      <c r="A180" s="46" t="str" cm="1">
        <f t="array" ref="A180">IF(ROW()-1&gt;COUNTA('Mii List'!A$2:A$200),"",INDEX('Mii List'!A$2:A$200,ROW()-1))</f>
        <v/>
      </c>
      <c r="B180" s="46" t="str">
        <f>IF(A180="","",INDEX('Mii List'!B$2:B$200,MATCH(A180,'Mii List'!A$2:A$200,0)))</f>
        <v/>
      </c>
      <c r="C180" s="46" t="str">
        <f>IF(A180="","",INDEX('Mii List'!C$2:C$200,MATCH(A180,'Mii List'!A$2:A$200,0)))</f>
        <v/>
      </c>
      <c r="D180" s="46" t="str">
        <f>IF(A180="","",INDEX('Mii List'!D$2:D$200,MATCH(A180,'Mii List'!A$2:A$200,0)))</f>
        <v/>
      </c>
      <c r="E180" s="46" t="str">
        <f>IF(A180="","",INDEX('Mii List'!E$2:E$200,MATCH(A180,'Mii List'!A$2:A$200,0)))</f>
        <v/>
      </c>
      <c r="F180" s="46">
        <f t="shared" si="14"/>
        <v>0</v>
      </c>
      <c r="G180" s="46">
        <f t="shared" si="15"/>
        <v>0</v>
      </c>
      <c r="H180" s="46">
        <f t="shared" si="16"/>
        <v>0</v>
      </c>
      <c r="I180" s="46">
        <f t="shared" si="17"/>
        <v>0</v>
      </c>
      <c r="J180" s="46">
        <f t="shared" si="18"/>
        <v>0</v>
      </c>
      <c r="K180" s="46">
        <f t="shared" si="19"/>
        <v>0</v>
      </c>
      <c r="L180" s="46" cm="1">
        <f t="array" ref="L180">IF(A180="",0,SUMPRODUCT((A$2:A$201&lt;&gt;"")*((F$2:F$201*I180+G$2:G$201*J180+H$2:H$201*K180)&gt;0)*((F180*I$2:I$201+G180*J$2:J$201+H180*K$2:K$201)&gt;0))-IF(F180*I180+G180*J180+H180*K180&gt;0,1,0))</f>
        <v>0</v>
      </c>
      <c r="M180" s="46" t="str" cm="1">
        <f t="array" ref="M180">IF(A180="","",SUMPRODUCT((A$2:A$201&lt;&gt;"")*(L$2:L$201&lt;L180))+SUMPRODUCT((A$2:A$201&lt;&gt;"")*(L$2:L$201=L180)*(A$2:A$201&lt;A180))+1)</f>
        <v/>
      </c>
      <c r="N180" s="46" t="str" cm="1">
        <f t="array" aca="1" ref="N180" ca="1">IF(A180="","",SUMPRODUCT(((OFFSET(F$2,0,0,COUNTA('Mii List'!A$2:A$200),1)*I180+OFFSET(G$2,0,0,COUNTA('Mii List'!A$2:A$200),1)*J180+OFFSET(H$2,0,0,COUNTA('Mii List'!A$2:A$200),1)*K180)&gt;0)*((F180*OFFSET(I$2,0,0,COUNTA('Mii List'!A$2:A$200),1)+G180*OFFSET(J$2,0,0,COUNTA('Mii List'!A$2:A$200),1)+H180*OFFSET(K$2,0,0,COUNTA('Mii List'!A$2:A$200),1))&gt;0)*(ROW(OFFSET($A$2,0,0,COUNTA('Mii List'!A$2:A$200),1))&lt;&gt;ROW())*IF(OFFSET(L$2,0,0,COUNTA('Mii List'!A$2:A$200),1)&gt;0,1/OFFSET(L$2,0,0,COUNTA('Mii List'!A$2:A$200),1),0)))</f>
        <v/>
      </c>
      <c r="O180" s="46" t="str" cm="1">
        <f t="array" aca="1" ref="O180" ca="1">IF(A180="","",IF(L180=0,0,SUMPRODUCT(((OFFSET(F$2,0,0,COUNTA('Mii List'!A$2:A$200),1)*I180+OFFSET(G$2,0,0,COUNTA('Mii List'!A$2:A$200),1)*J180+OFFSET(H$2,0,0,COUNTA('Mii List'!A$2:A$200),1)*K180)&gt;0)*((F180*OFFSET(I$2,0,0,COUNTA('Mii List'!A$2:A$200),1)+G180*OFFSET(J$2,0,0,COUNTA('Mii List'!A$2:A$200),1)+H180*OFFSET(K$2,0,0,COUNTA('Mii List'!A$2:A$200),1))&gt;0)*(ROW(OFFSET($A$2,0,0,COUNTA('Mii List'!A$2:A$200),1))&lt;&gt;ROW())*OFFSET(L$2,0,0,COUNTA('Mii List'!A$2:A$200),1))/L180))</f>
        <v/>
      </c>
      <c r="P180" s="46" t="str">
        <f t="shared" si="20"/>
        <v/>
      </c>
    </row>
    <row r="181" spans="1:16" x14ac:dyDescent="0.35">
      <c r="A181" s="46" t="str" cm="1">
        <f t="array" ref="A181">IF(ROW()-1&gt;COUNTA('Mii List'!A$2:A$200),"",INDEX('Mii List'!A$2:A$200,ROW()-1))</f>
        <v/>
      </c>
      <c r="B181" s="46" t="str">
        <f>IF(A181="","",INDEX('Mii List'!B$2:B$200,MATCH(A181,'Mii List'!A$2:A$200,0)))</f>
        <v/>
      </c>
      <c r="C181" s="46" t="str">
        <f>IF(A181="","",INDEX('Mii List'!C$2:C$200,MATCH(A181,'Mii List'!A$2:A$200,0)))</f>
        <v/>
      </c>
      <c r="D181" s="46" t="str">
        <f>IF(A181="","",INDEX('Mii List'!D$2:D$200,MATCH(A181,'Mii List'!A$2:A$200,0)))</f>
        <v/>
      </c>
      <c r="E181" s="46" t="str">
        <f>IF(A181="","",INDEX('Mii List'!E$2:E$200,MATCH(A181,'Mii List'!A$2:A$200,0)))</f>
        <v/>
      </c>
      <c r="F181" s="46">
        <f t="shared" si="14"/>
        <v>0</v>
      </c>
      <c r="G181" s="46">
        <f t="shared" si="15"/>
        <v>0</v>
      </c>
      <c r="H181" s="46">
        <f t="shared" si="16"/>
        <v>0</v>
      </c>
      <c r="I181" s="46">
        <f t="shared" si="17"/>
        <v>0</v>
      </c>
      <c r="J181" s="46">
        <f t="shared" si="18"/>
        <v>0</v>
      </c>
      <c r="K181" s="46">
        <f t="shared" si="19"/>
        <v>0</v>
      </c>
      <c r="L181" s="46" cm="1">
        <f t="array" ref="L181">IF(A181="",0,SUMPRODUCT((A$2:A$201&lt;&gt;"")*((F$2:F$201*I181+G$2:G$201*J181+H$2:H$201*K181)&gt;0)*((F181*I$2:I$201+G181*J$2:J$201+H181*K$2:K$201)&gt;0))-IF(F181*I181+G181*J181+H181*K181&gt;0,1,0))</f>
        <v>0</v>
      </c>
      <c r="M181" s="46" t="str" cm="1">
        <f t="array" ref="M181">IF(A181="","",SUMPRODUCT((A$2:A$201&lt;&gt;"")*(L$2:L$201&lt;L181))+SUMPRODUCT((A$2:A$201&lt;&gt;"")*(L$2:L$201=L181)*(A$2:A$201&lt;A181))+1)</f>
        <v/>
      </c>
      <c r="N181" s="46" t="str" cm="1">
        <f t="array" aca="1" ref="N181" ca="1">IF(A181="","",SUMPRODUCT(((OFFSET(F$2,0,0,COUNTA('Mii List'!A$2:A$200),1)*I181+OFFSET(G$2,0,0,COUNTA('Mii List'!A$2:A$200),1)*J181+OFFSET(H$2,0,0,COUNTA('Mii List'!A$2:A$200),1)*K181)&gt;0)*((F181*OFFSET(I$2,0,0,COUNTA('Mii List'!A$2:A$200),1)+G181*OFFSET(J$2,0,0,COUNTA('Mii List'!A$2:A$200),1)+H181*OFFSET(K$2,0,0,COUNTA('Mii List'!A$2:A$200),1))&gt;0)*(ROW(OFFSET($A$2,0,0,COUNTA('Mii List'!A$2:A$200),1))&lt;&gt;ROW())*IF(OFFSET(L$2,0,0,COUNTA('Mii List'!A$2:A$200),1)&gt;0,1/OFFSET(L$2,0,0,COUNTA('Mii List'!A$2:A$200),1),0)))</f>
        <v/>
      </c>
      <c r="O181" s="46" t="str" cm="1">
        <f t="array" aca="1" ref="O181" ca="1">IF(A181="","",IF(L181=0,0,SUMPRODUCT(((OFFSET(F$2,0,0,COUNTA('Mii List'!A$2:A$200),1)*I181+OFFSET(G$2,0,0,COUNTA('Mii List'!A$2:A$200),1)*J181+OFFSET(H$2,0,0,COUNTA('Mii List'!A$2:A$200),1)*K181)&gt;0)*((F181*OFFSET(I$2,0,0,COUNTA('Mii List'!A$2:A$200),1)+G181*OFFSET(J$2,0,0,COUNTA('Mii List'!A$2:A$200),1)+H181*OFFSET(K$2,0,0,COUNTA('Mii List'!A$2:A$200),1))&gt;0)*(ROW(OFFSET($A$2,0,0,COUNTA('Mii List'!A$2:A$200),1))&lt;&gt;ROW())*OFFSET(L$2,0,0,COUNTA('Mii List'!A$2:A$200),1))/L181))</f>
        <v/>
      </c>
      <c r="P181" s="46" t="str">
        <f t="shared" si="20"/>
        <v/>
      </c>
    </row>
    <row r="182" spans="1:16" x14ac:dyDescent="0.35">
      <c r="A182" s="46" t="str" cm="1">
        <f t="array" ref="A182">IF(ROW()-1&gt;COUNTA('Mii List'!A$2:A$200),"",INDEX('Mii List'!A$2:A$200,ROW()-1))</f>
        <v/>
      </c>
      <c r="B182" s="46" t="str">
        <f>IF(A182="","",INDEX('Mii List'!B$2:B$200,MATCH(A182,'Mii List'!A$2:A$200,0)))</f>
        <v/>
      </c>
      <c r="C182" s="46" t="str">
        <f>IF(A182="","",INDEX('Mii List'!C$2:C$200,MATCH(A182,'Mii List'!A$2:A$200,0)))</f>
        <v/>
      </c>
      <c r="D182" s="46" t="str">
        <f>IF(A182="","",INDEX('Mii List'!D$2:D$200,MATCH(A182,'Mii List'!A$2:A$200,0)))</f>
        <v/>
      </c>
      <c r="E182" s="46" t="str">
        <f>IF(A182="","",INDEX('Mii List'!E$2:E$200,MATCH(A182,'Mii List'!A$2:A$200,0)))</f>
        <v/>
      </c>
      <c r="F182" s="46">
        <f t="shared" si="14"/>
        <v>0</v>
      </c>
      <c r="G182" s="46">
        <f t="shared" si="15"/>
        <v>0</v>
      </c>
      <c r="H182" s="46">
        <f t="shared" si="16"/>
        <v>0</v>
      </c>
      <c r="I182" s="46">
        <f t="shared" si="17"/>
        <v>0</v>
      </c>
      <c r="J182" s="46">
        <f t="shared" si="18"/>
        <v>0</v>
      </c>
      <c r="K182" s="46">
        <f t="shared" si="19"/>
        <v>0</v>
      </c>
      <c r="L182" s="46" cm="1">
        <f t="array" ref="L182">IF(A182="",0,SUMPRODUCT((A$2:A$201&lt;&gt;"")*((F$2:F$201*I182+G$2:G$201*J182+H$2:H$201*K182)&gt;0)*((F182*I$2:I$201+G182*J$2:J$201+H182*K$2:K$201)&gt;0))-IF(F182*I182+G182*J182+H182*K182&gt;0,1,0))</f>
        <v>0</v>
      </c>
      <c r="M182" s="46" t="str" cm="1">
        <f t="array" ref="M182">IF(A182="","",SUMPRODUCT((A$2:A$201&lt;&gt;"")*(L$2:L$201&lt;L182))+SUMPRODUCT((A$2:A$201&lt;&gt;"")*(L$2:L$201=L182)*(A$2:A$201&lt;A182))+1)</f>
        <v/>
      </c>
      <c r="N182" s="46" t="str" cm="1">
        <f t="array" aca="1" ref="N182" ca="1">IF(A182="","",SUMPRODUCT(((OFFSET(F$2,0,0,COUNTA('Mii List'!A$2:A$200),1)*I182+OFFSET(G$2,0,0,COUNTA('Mii List'!A$2:A$200),1)*J182+OFFSET(H$2,0,0,COUNTA('Mii List'!A$2:A$200),1)*K182)&gt;0)*((F182*OFFSET(I$2,0,0,COUNTA('Mii List'!A$2:A$200),1)+G182*OFFSET(J$2,0,0,COUNTA('Mii List'!A$2:A$200),1)+H182*OFFSET(K$2,0,0,COUNTA('Mii List'!A$2:A$200),1))&gt;0)*(ROW(OFFSET($A$2,0,0,COUNTA('Mii List'!A$2:A$200),1))&lt;&gt;ROW())*IF(OFFSET(L$2,0,0,COUNTA('Mii List'!A$2:A$200),1)&gt;0,1/OFFSET(L$2,0,0,COUNTA('Mii List'!A$2:A$200),1),0)))</f>
        <v/>
      </c>
      <c r="O182" s="46" t="str" cm="1">
        <f t="array" aca="1" ref="O182" ca="1">IF(A182="","",IF(L182=0,0,SUMPRODUCT(((OFFSET(F$2,0,0,COUNTA('Mii List'!A$2:A$200),1)*I182+OFFSET(G$2,0,0,COUNTA('Mii List'!A$2:A$200),1)*J182+OFFSET(H$2,0,0,COUNTA('Mii List'!A$2:A$200),1)*K182)&gt;0)*((F182*OFFSET(I$2,0,0,COUNTA('Mii List'!A$2:A$200),1)+G182*OFFSET(J$2,0,0,COUNTA('Mii List'!A$2:A$200),1)+H182*OFFSET(K$2,0,0,COUNTA('Mii List'!A$2:A$200),1))&gt;0)*(ROW(OFFSET($A$2,0,0,COUNTA('Mii List'!A$2:A$200),1))&lt;&gt;ROW())*OFFSET(L$2,0,0,COUNTA('Mii List'!A$2:A$200),1))/L182))</f>
        <v/>
      </c>
      <c r="P182" s="46" t="str">
        <f t="shared" si="20"/>
        <v/>
      </c>
    </row>
    <row r="183" spans="1:16" x14ac:dyDescent="0.35">
      <c r="A183" s="46" t="str" cm="1">
        <f t="array" ref="A183">IF(ROW()-1&gt;COUNTA('Mii List'!A$2:A$200),"",INDEX('Mii List'!A$2:A$200,ROW()-1))</f>
        <v/>
      </c>
      <c r="B183" s="46" t="str">
        <f>IF(A183="","",INDEX('Mii List'!B$2:B$200,MATCH(A183,'Mii List'!A$2:A$200,0)))</f>
        <v/>
      </c>
      <c r="C183" s="46" t="str">
        <f>IF(A183="","",INDEX('Mii List'!C$2:C$200,MATCH(A183,'Mii List'!A$2:A$200,0)))</f>
        <v/>
      </c>
      <c r="D183" s="46" t="str">
        <f>IF(A183="","",INDEX('Mii List'!D$2:D$200,MATCH(A183,'Mii List'!A$2:A$200,0)))</f>
        <v/>
      </c>
      <c r="E183" s="46" t="str">
        <f>IF(A183="","",INDEX('Mii List'!E$2:E$200,MATCH(A183,'Mii List'!A$2:A$200,0)))</f>
        <v/>
      </c>
      <c r="F183" s="46">
        <f t="shared" si="14"/>
        <v>0</v>
      </c>
      <c r="G183" s="46">
        <f t="shared" si="15"/>
        <v>0</v>
      </c>
      <c r="H183" s="46">
        <f t="shared" si="16"/>
        <v>0</v>
      </c>
      <c r="I183" s="46">
        <f t="shared" si="17"/>
        <v>0</v>
      </c>
      <c r="J183" s="46">
        <f t="shared" si="18"/>
        <v>0</v>
      </c>
      <c r="K183" s="46">
        <f t="shared" si="19"/>
        <v>0</v>
      </c>
      <c r="L183" s="46" cm="1">
        <f t="array" ref="L183">IF(A183="",0,SUMPRODUCT((A$2:A$201&lt;&gt;"")*((F$2:F$201*I183+G$2:G$201*J183+H$2:H$201*K183)&gt;0)*((F183*I$2:I$201+G183*J$2:J$201+H183*K$2:K$201)&gt;0))-IF(F183*I183+G183*J183+H183*K183&gt;0,1,0))</f>
        <v>0</v>
      </c>
      <c r="M183" s="46" t="str" cm="1">
        <f t="array" ref="M183">IF(A183="","",SUMPRODUCT((A$2:A$201&lt;&gt;"")*(L$2:L$201&lt;L183))+SUMPRODUCT((A$2:A$201&lt;&gt;"")*(L$2:L$201=L183)*(A$2:A$201&lt;A183))+1)</f>
        <v/>
      </c>
      <c r="N183" s="46" t="str" cm="1">
        <f t="array" aca="1" ref="N183" ca="1">IF(A183="","",SUMPRODUCT(((OFFSET(F$2,0,0,COUNTA('Mii List'!A$2:A$200),1)*I183+OFFSET(G$2,0,0,COUNTA('Mii List'!A$2:A$200),1)*J183+OFFSET(H$2,0,0,COUNTA('Mii List'!A$2:A$200),1)*K183)&gt;0)*((F183*OFFSET(I$2,0,0,COUNTA('Mii List'!A$2:A$200),1)+G183*OFFSET(J$2,0,0,COUNTA('Mii List'!A$2:A$200),1)+H183*OFFSET(K$2,0,0,COUNTA('Mii List'!A$2:A$200),1))&gt;0)*(ROW(OFFSET($A$2,0,0,COUNTA('Mii List'!A$2:A$200),1))&lt;&gt;ROW())*IF(OFFSET(L$2,0,0,COUNTA('Mii List'!A$2:A$200),1)&gt;0,1/OFFSET(L$2,0,0,COUNTA('Mii List'!A$2:A$200),1),0)))</f>
        <v/>
      </c>
      <c r="O183" s="46" t="str" cm="1">
        <f t="array" aca="1" ref="O183" ca="1">IF(A183="","",IF(L183=0,0,SUMPRODUCT(((OFFSET(F$2,0,0,COUNTA('Mii List'!A$2:A$200),1)*I183+OFFSET(G$2,0,0,COUNTA('Mii List'!A$2:A$200),1)*J183+OFFSET(H$2,0,0,COUNTA('Mii List'!A$2:A$200),1)*K183)&gt;0)*((F183*OFFSET(I$2,0,0,COUNTA('Mii List'!A$2:A$200),1)+G183*OFFSET(J$2,0,0,COUNTA('Mii List'!A$2:A$200),1)+H183*OFFSET(K$2,0,0,COUNTA('Mii List'!A$2:A$200),1))&gt;0)*(ROW(OFFSET($A$2,0,0,COUNTA('Mii List'!A$2:A$200),1))&lt;&gt;ROW())*OFFSET(L$2,0,0,COUNTA('Mii List'!A$2:A$200),1))/L183))</f>
        <v/>
      </c>
      <c r="P183" s="46" t="str">
        <f t="shared" si="20"/>
        <v/>
      </c>
    </row>
    <row r="184" spans="1:16" x14ac:dyDescent="0.35">
      <c r="A184" s="46" t="str" cm="1">
        <f t="array" ref="A184">IF(ROW()-1&gt;COUNTA('Mii List'!A$2:A$200),"",INDEX('Mii List'!A$2:A$200,ROW()-1))</f>
        <v/>
      </c>
      <c r="B184" s="46" t="str">
        <f>IF(A184="","",INDEX('Mii List'!B$2:B$200,MATCH(A184,'Mii List'!A$2:A$200,0)))</f>
        <v/>
      </c>
      <c r="C184" s="46" t="str">
        <f>IF(A184="","",INDEX('Mii List'!C$2:C$200,MATCH(A184,'Mii List'!A$2:A$200,0)))</f>
        <v/>
      </c>
      <c r="D184" s="46" t="str">
        <f>IF(A184="","",INDEX('Mii List'!D$2:D$200,MATCH(A184,'Mii List'!A$2:A$200,0)))</f>
        <v/>
      </c>
      <c r="E184" s="46" t="str">
        <f>IF(A184="","",INDEX('Mii List'!E$2:E$200,MATCH(A184,'Mii List'!A$2:A$200,0)))</f>
        <v/>
      </c>
      <c r="F184" s="46">
        <f t="shared" si="14"/>
        <v>0</v>
      </c>
      <c r="G184" s="46">
        <f t="shared" si="15"/>
        <v>0</v>
      </c>
      <c r="H184" s="46">
        <f t="shared" si="16"/>
        <v>0</v>
      </c>
      <c r="I184" s="46">
        <f t="shared" si="17"/>
        <v>0</v>
      </c>
      <c r="J184" s="46">
        <f t="shared" si="18"/>
        <v>0</v>
      </c>
      <c r="K184" s="46">
        <f t="shared" si="19"/>
        <v>0</v>
      </c>
      <c r="L184" s="46" cm="1">
        <f t="array" ref="L184">IF(A184="",0,SUMPRODUCT((A$2:A$201&lt;&gt;"")*((F$2:F$201*I184+G$2:G$201*J184+H$2:H$201*K184)&gt;0)*((F184*I$2:I$201+G184*J$2:J$201+H184*K$2:K$201)&gt;0))-IF(F184*I184+G184*J184+H184*K184&gt;0,1,0))</f>
        <v>0</v>
      </c>
      <c r="M184" s="46" t="str" cm="1">
        <f t="array" ref="M184">IF(A184="","",SUMPRODUCT((A$2:A$201&lt;&gt;"")*(L$2:L$201&lt;L184))+SUMPRODUCT((A$2:A$201&lt;&gt;"")*(L$2:L$201=L184)*(A$2:A$201&lt;A184))+1)</f>
        <v/>
      </c>
      <c r="N184" s="46" t="str" cm="1">
        <f t="array" aca="1" ref="N184" ca="1">IF(A184="","",SUMPRODUCT(((OFFSET(F$2,0,0,COUNTA('Mii List'!A$2:A$200),1)*I184+OFFSET(G$2,0,0,COUNTA('Mii List'!A$2:A$200),1)*J184+OFFSET(H$2,0,0,COUNTA('Mii List'!A$2:A$200),1)*K184)&gt;0)*((F184*OFFSET(I$2,0,0,COUNTA('Mii List'!A$2:A$200),1)+G184*OFFSET(J$2,0,0,COUNTA('Mii List'!A$2:A$200),1)+H184*OFFSET(K$2,0,0,COUNTA('Mii List'!A$2:A$200),1))&gt;0)*(ROW(OFFSET($A$2,0,0,COUNTA('Mii List'!A$2:A$200),1))&lt;&gt;ROW())*IF(OFFSET(L$2,0,0,COUNTA('Mii List'!A$2:A$200),1)&gt;0,1/OFFSET(L$2,0,0,COUNTA('Mii List'!A$2:A$200),1),0)))</f>
        <v/>
      </c>
      <c r="O184" s="46" t="str" cm="1">
        <f t="array" aca="1" ref="O184" ca="1">IF(A184="","",IF(L184=0,0,SUMPRODUCT(((OFFSET(F$2,0,0,COUNTA('Mii List'!A$2:A$200),1)*I184+OFFSET(G$2,0,0,COUNTA('Mii List'!A$2:A$200),1)*J184+OFFSET(H$2,0,0,COUNTA('Mii List'!A$2:A$200),1)*K184)&gt;0)*((F184*OFFSET(I$2,0,0,COUNTA('Mii List'!A$2:A$200),1)+G184*OFFSET(J$2,0,0,COUNTA('Mii List'!A$2:A$200),1)+H184*OFFSET(K$2,0,0,COUNTA('Mii List'!A$2:A$200),1))&gt;0)*(ROW(OFFSET($A$2,0,0,COUNTA('Mii List'!A$2:A$200),1))&lt;&gt;ROW())*OFFSET(L$2,0,0,COUNTA('Mii List'!A$2:A$200),1))/L184))</f>
        <v/>
      </c>
      <c r="P184" s="46" t="str">
        <f t="shared" si="20"/>
        <v/>
      </c>
    </row>
    <row r="185" spans="1:16" x14ac:dyDescent="0.35">
      <c r="A185" s="46" t="str" cm="1">
        <f t="array" ref="A185">IF(ROW()-1&gt;COUNTA('Mii List'!A$2:A$200),"",INDEX('Mii List'!A$2:A$200,ROW()-1))</f>
        <v/>
      </c>
      <c r="B185" s="46" t="str">
        <f>IF(A185="","",INDEX('Mii List'!B$2:B$200,MATCH(A185,'Mii List'!A$2:A$200,0)))</f>
        <v/>
      </c>
      <c r="C185" s="46" t="str">
        <f>IF(A185="","",INDEX('Mii List'!C$2:C$200,MATCH(A185,'Mii List'!A$2:A$200,0)))</f>
        <v/>
      </c>
      <c r="D185" s="46" t="str">
        <f>IF(A185="","",INDEX('Mii List'!D$2:D$200,MATCH(A185,'Mii List'!A$2:A$200,0)))</f>
        <v/>
      </c>
      <c r="E185" s="46" t="str">
        <f>IF(A185="","",INDEX('Mii List'!E$2:E$200,MATCH(A185,'Mii List'!A$2:A$200,0)))</f>
        <v/>
      </c>
      <c r="F185" s="46">
        <f t="shared" si="14"/>
        <v>0</v>
      </c>
      <c r="G185" s="46">
        <f t="shared" si="15"/>
        <v>0</v>
      </c>
      <c r="H185" s="46">
        <f t="shared" si="16"/>
        <v>0</v>
      </c>
      <c r="I185" s="46">
        <f t="shared" si="17"/>
        <v>0</v>
      </c>
      <c r="J185" s="46">
        <f t="shared" si="18"/>
        <v>0</v>
      </c>
      <c r="K185" s="46">
        <f t="shared" si="19"/>
        <v>0</v>
      </c>
      <c r="L185" s="46" cm="1">
        <f t="array" ref="L185">IF(A185="",0,SUMPRODUCT((A$2:A$201&lt;&gt;"")*((F$2:F$201*I185+G$2:G$201*J185+H$2:H$201*K185)&gt;0)*((F185*I$2:I$201+G185*J$2:J$201+H185*K$2:K$201)&gt;0))-IF(F185*I185+G185*J185+H185*K185&gt;0,1,0))</f>
        <v>0</v>
      </c>
      <c r="M185" s="46" t="str" cm="1">
        <f t="array" ref="M185">IF(A185="","",SUMPRODUCT((A$2:A$201&lt;&gt;"")*(L$2:L$201&lt;L185))+SUMPRODUCT((A$2:A$201&lt;&gt;"")*(L$2:L$201=L185)*(A$2:A$201&lt;A185))+1)</f>
        <v/>
      </c>
      <c r="N185" s="46" t="str" cm="1">
        <f t="array" aca="1" ref="N185" ca="1">IF(A185="","",SUMPRODUCT(((OFFSET(F$2,0,0,COUNTA('Mii List'!A$2:A$200),1)*I185+OFFSET(G$2,0,0,COUNTA('Mii List'!A$2:A$200),1)*J185+OFFSET(H$2,0,0,COUNTA('Mii List'!A$2:A$200),1)*K185)&gt;0)*((F185*OFFSET(I$2,0,0,COUNTA('Mii List'!A$2:A$200),1)+G185*OFFSET(J$2,0,0,COUNTA('Mii List'!A$2:A$200),1)+H185*OFFSET(K$2,0,0,COUNTA('Mii List'!A$2:A$200),1))&gt;0)*(ROW(OFFSET($A$2,0,0,COUNTA('Mii List'!A$2:A$200),1))&lt;&gt;ROW())*IF(OFFSET(L$2,0,0,COUNTA('Mii List'!A$2:A$200),1)&gt;0,1/OFFSET(L$2,0,0,COUNTA('Mii List'!A$2:A$200),1),0)))</f>
        <v/>
      </c>
      <c r="O185" s="46" t="str" cm="1">
        <f t="array" aca="1" ref="O185" ca="1">IF(A185="","",IF(L185=0,0,SUMPRODUCT(((OFFSET(F$2,0,0,COUNTA('Mii List'!A$2:A$200),1)*I185+OFFSET(G$2,0,0,COUNTA('Mii List'!A$2:A$200),1)*J185+OFFSET(H$2,0,0,COUNTA('Mii List'!A$2:A$200),1)*K185)&gt;0)*((F185*OFFSET(I$2,0,0,COUNTA('Mii List'!A$2:A$200),1)+G185*OFFSET(J$2,0,0,COUNTA('Mii List'!A$2:A$200),1)+H185*OFFSET(K$2,0,0,COUNTA('Mii List'!A$2:A$200),1))&gt;0)*(ROW(OFFSET($A$2,0,0,COUNTA('Mii List'!A$2:A$200),1))&lt;&gt;ROW())*OFFSET(L$2,0,0,COUNTA('Mii List'!A$2:A$200),1))/L185))</f>
        <v/>
      </c>
      <c r="P185" s="46" t="str">
        <f t="shared" si="20"/>
        <v/>
      </c>
    </row>
    <row r="186" spans="1:16" x14ac:dyDescent="0.35">
      <c r="A186" s="46" t="str" cm="1">
        <f t="array" ref="A186">IF(ROW()-1&gt;COUNTA('Mii List'!A$2:A$200),"",INDEX('Mii List'!A$2:A$200,ROW()-1))</f>
        <v/>
      </c>
      <c r="B186" s="46" t="str">
        <f>IF(A186="","",INDEX('Mii List'!B$2:B$200,MATCH(A186,'Mii List'!A$2:A$200,0)))</f>
        <v/>
      </c>
      <c r="C186" s="46" t="str">
        <f>IF(A186="","",INDEX('Mii List'!C$2:C$200,MATCH(A186,'Mii List'!A$2:A$200,0)))</f>
        <v/>
      </c>
      <c r="D186" s="46" t="str">
        <f>IF(A186="","",INDEX('Mii List'!D$2:D$200,MATCH(A186,'Mii List'!A$2:A$200,0)))</f>
        <v/>
      </c>
      <c r="E186" s="46" t="str">
        <f>IF(A186="","",INDEX('Mii List'!E$2:E$200,MATCH(A186,'Mii List'!A$2:A$200,0)))</f>
        <v/>
      </c>
      <c r="F186" s="46">
        <f t="shared" si="14"/>
        <v>0</v>
      </c>
      <c r="G186" s="46">
        <f t="shared" si="15"/>
        <v>0</v>
      </c>
      <c r="H186" s="46">
        <f t="shared" si="16"/>
        <v>0</v>
      </c>
      <c r="I186" s="46">
        <f t="shared" si="17"/>
        <v>0</v>
      </c>
      <c r="J186" s="46">
        <f t="shared" si="18"/>
        <v>0</v>
      </c>
      <c r="K186" s="46">
        <f t="shared" si="19"/>
        <v>0</v>
      </c>
      <c r="L186" s="46" cm="1">
        <f t="array" ref="L186">IF(A186="",0,SUMPRODUCT((A$2:A$201&lt;&gt;"")*((F$2:F$201*I186+G$2:G$201*J186+H$2:H$201*K186)&gt;0)*((F186*I$2:I$201+G186*J$2:J$201+H186*K$2:K$201)&gt;0))-IF(F186*I186+G186*J186+H186*K186&gt;0,1,0))</f>
        <v>0</v>
      </c>
      <c r="M186" s="46" t="str" cm="1">
        <f t="array" ref="M186">IF(A186="","",SUMPRODUCT((A$2:A$201&lt;&gt;"")*(L$2:L$201&lt;L186))+SUMPRODUCT((A$2:A$201&lt;&gt;"")*(L$2:L$201=L186)*(A$2:A$201&lt;A186))+1)</f>
        <v/>
      </c>
      <c r="N186" s="46" t="str" cm="1">
        <f t="array" aca="1" ref="N186" ca="1">IF(A186="","",SUMPRODUCT(((OFFSET(F$2,0,0,COUNTA('Mii List'!A$2:A$200),1)*I186+OFFSET(G$2,0,0,COUNTA('Mii List'!A$2:A$200),1)*J186+OFFSET(H$2,0,0,COUNTA('Mii List'!A$2:A$200),1)*K186)&gt;0)*((F186*OFFSET(I$2,0,0,COUNTA('Mii List'!A$2:A$200),1)+G186*OFFSET(J$2,0,0,COUNTA('Mii List'!A$2:A$200),1)+H186*OFFSET(K$2,0,0,COUNTA('Mii List'!A$2:A$200),1))&gt;0)*(ROW(OFFSET($A$2,0,0,COUNTA('Mii List'!A$2:A$200),1))&lt;&gt;ROW())*IF(OFFSET(L$2,0,0,COUNTA('Mii List'!A$2:A$200),1)&gt;0,1/OFFSET(L$2,0,0,COUNTA('Mii List'!A$2:A$200),1),0)))</f>
        <v/>
      </c>
      <c r="O186" s="46" t="str" cm="1">
        <f t="array" aca="1" ref="O186" ca="1">IF(A186="","",IF(L186=0,0,SUMPRODUCT(((OFFSET(F$2,0,0,COUNTA('Mii List'!A$2:A$200),1)*I186+OFFSET(G$2,0,0,COUNTA('Mii List'!A$2:A$200),1)*J186+OFFSET(H$2,0,0,COUNTA('Mii List'!A$2:A$200),1)*K186)&gt;0)*((F186*OFFSET(I$2,0,0,COUNTA('Mii List'!A$2:A$200),1)+G186*OFFSET(J$2,0,0,COUNTA('Mii List'!A$2:A$200),1)+H186*OFFSET(K$2,0,0,COUNTA('Mii List'!A$2:A$200),1))&gt;0)*(ROW(OFFSET($A$2,0,0,COUNTA('Mii List'!A$2:A$200),1))&lt;&gt;ROW())*OFFSET(L$2,0,0,COUNTA('Mii List'!A$2:A$200),1))/L186))</f>
        <v/>
      </c>
      <c r="P186" s="46" t="str">
        <f t="shared" si="20"/>
        <v/>
      </c>
    </row>
    <row r="187" spans="1:16" x14ac:dyDescent="0.35">
      <c r="A187" s="46" t="str" cm="1">
        <f t="array" ref="A187">IF(ROW()-1&gt;COUNTA('Mii List'!A$2:A$200),"",INDEX('Mii List'!A$2:A$200,ROW()-1))</f>
        <v/>
      </c>
      <c r="B187" s="46" t="str">
        <f>IF(A187="","",INDEX('Mii List'!B$2:B$200,MATCH(A187,'Mii List'!A$2:A$200,0)))</f>
        <v/>
      </c>
      <c r="C187" s="46" t="str">
        <f>IF(A187="","",INDEX('Mii List'!C$2:C$200,MATCH(A187,'Mii List'!A$2:A$200,0)))</f>
        <v/>
      </c>
      <c r="D187" s="46" t="str">
        <f>IF(A187="","",INDEX('Mii List'!D$2:D$200,MATCH(A187,'Mii List'!A$2:A$200,0)))</f>
        <v/>
      </c>
      <c r="E187" s="46" t="str">
        <f>IF(A187="","",INDEX('Mii List'!E$2:E$200,MATCH(A187,'Mii List'!A$2:A$200,0)))</f>
        <v/>
      </c>
      <c r="F187" s="46">
        <f t="shared" si="14"/>
        <v>0</v>
      </c>
      <c r="G187" s="46">
        <f t="shared" si="15"/>
        <v>0</v>
      </c>
      <c r="H187" s="46">
        <f t="shared" si="16"/>
        <v>0</v>
      </c>
      <c r="I187" s="46">
        <f t="shared" si="17"/>
        <v>0</v>
      </c>
      <c r="J187" s="46">
        <f t="shared" si="18"/>
        <v>0</v>
      </c>
      <c r="K187" s="46">
        <f t="shared" si="19"/>
        <v>0</v>
      </c>
      <c r="L187" s="46" cm="1">
        <f t="array" ref="L187">IF(A187="",0,SUMPRODUCT((A$2:A$201&lt;&gt;"")*((F$2:F$201*I187+G$2:G$201*J187+H$2:H$201*K187)&gt;0)*((F187*I$2:I$201+G187*J$2:J$201+H187*K$2:K$201)&gt;0))-IF(F187*I187+G187*J187+H187*K187&gt;0,1,0))</f>
        <v>0</v>
      </c>
      <c r="M187" s="46" t="str" cm="1">
        <f t="array" ref="M187">IF(A187="","",SUMPRODUCT((A$2:A$201&lt;&gt;"")*(L$2:L$201&lt;L187))+SUMPRODUCT((A$2:A$201&lt;&gt;"")*(L$2:L$201=L187)*(A$2:A$201&lt;A187))+1)</f>
        <v/>
      </c>
      <c r="N187" s="46" t="str" cm="1">
        <f t="array" aca="1" ref="N187" ca="1">IF(A187="","",SUMPRODUCT(((OFFSET(F$2,0,0,COUNTA('Mii List'!A$2:A$200),1)*I187+OFFSET(G$2,0,0,COUNTA('Mii List'!A$2:A$200),1)*J187+OFFSET(H$2,0,0,COUNTA('Mii List'!A$2:A$200),1)*K187)&gt;0)*((F187*OFFSET(I$2,0,0,COUNTA('Mii List'!A$2:A$200),1)+G187*OFFSET(J$2,0,0,COUNTA('Mii List'!A$2:A$200),1)+H187*OFFSET(K$2,0,0,COUNTA('Mii List'!A$2:A$200),1))&gt;0)*(ROW(OFFSET($A$2,0,0,COUNTA('Mii List'!A$2:A$200),1))&lt;&gt;ROW())*IF(OFFSET(L$2,0,0,COUNTA('Mii List'!A$2:A$200),1)&gt;0,1/OFFSET(L$2,0,0,COUNTA('Mii List'!A$2:A$200),1),0)))</f>
        <v/>
      </c>
      <c r="O187" s="46" t="str" cm="1">
        <f t="array" aca="1" ref="O187" ca="1">IF(A187="","",IF(L187=0,0,SUMPRODUCT(((OFFSET(F$2,0,0,COUNTA('Mii List'!A$2:A$200),1)*I187+OFFSET(G$2,0,0,COUNTA('Mii List'!A$2:A$200),1)*J187+OFFSET(H$2,0,0,COUNTA('Mii List'!A$2:A$200),1)*K187)&gt;0)*((F187*OFFSET(I$2,0,0,COUNTA('Mii List'!A$2:A$200),1)+G187*OFFSET(J$2,0,0,COUNTA('Mii List'!A$2:A$200),1)+H187*OFFSET(K$2,0,0,COUNTA('Mii List'!A$2:A$200),1))&gt;0)*(ROW(OFFSET($A$2,0,0,COUNTA('Mii List'!A$2:A$200),1))&lt;&gt;ROW())*OFFSET(L$2,0,0,COUNTA('Mii List'!A$2:A$200),1))/L187))</f>
        <v/>
      </c>
      <c r="P187" s="46" t="str">
        <f t="shared" si="20"/>
        <v/>
      </c>
    </row>
    <row r="188" spans="1:16" x14ac:dyDescent="0.35">
      <c r="A188" s="46" t="str" cm="1">
        <f t="array" ref="A188">IF(ROW()-1&gt;COUNTA('Mii List'!A$2:A$200),"",INDEX('Mii List'!A$2:A$200,ROW()-1))</f>
        <v/>
      </c>
      <c r="B188" s="46" t="str">
        <f>IF(A188="","",INDEX('Mii List'!B$2:B$200,MATCH(A188,'Mii List'!A$2:A$200,0)))</f>
        <v/>
      </c>
      <c r="C188" s="46" t="str">
        <f>IF(A188="","",INDEX('Mii List'!C$2:C$200,MATCH(A188,'Mii List'!A$2:A$200,0)))</f>
        <v/>
      </c>
      <c r="D188" s="46" t="str">
        <f>IF(A188="","",INDEX('Mii List'!D$2:D$200,MATCH(A188,'Mii List'!A$2:A$200,0)))</f>
        <v/>
      </c>
      <c r="E188" s="46" t="str">
        <f>IF(A188="","",INDEX('Mii List'!E$2:E$200,MATCH(A188,'Mii List'!A$2:A$200,0)))</f>
        <v/>
      </c>
      <c r="F188" s="46">
        <f t="shared" si="14"/>
        <v>0</v>
      </c>
      <c r="G188" s="46">
        <f t="shared" si="15"/>
        <v>0</v>
      </c>
      <c r="H188" s="46">
        <f t="shared" si="16"/>
        <v>0</v>
      </c>
      <c r="I188" s="46">
        <f t="shared" si="17"/>
        <v>0</v>
      </c>
      <c r="J188" s="46">
        <f t="shared" si="18"/>
        <v>0</v>
      </c>
      <c r="K188" s="46">
        <f t="shared" si="19"/>
        <v>0</v>
      </c>
      <c r="L188" s="46" cm="1">
        <f t="array" ref="L188">IF(A188="",0,SUMPRODUCT((A$2:A$201&lt;&gt;"")*((F$2:F$201*I188+G$2:G$201*J188+H$2:H$201*K188)&gt;0)*((F188*I$2:I$201+G188*J$2:J$201+H188*K$2:K$201)&gt;0))-IF(F188*I188+G188*J188+H188*K188&gt;0,1,0))</f>
        <v>0</v>
      </c>
      <c r="M188" s="46" t="str" cm="1">
        <f t="array" ref="M188">IF(A188="","",SUMPRODUCT((A$2:A$201&lt;&gt;"")*(L$2:L$201&lt;L188))+SUMPRODUCT((A$2:A$201&lt;&gt;"")*(L$2:L$201=L188)*(A$2:A$201&lt;A188))+1)</f>
        <v/>
      </c>
      <c r="N188" s="46" t="str" cm="1">
        <f t="array" aca="1" ref="N188" ca="1">IF(A188="","",SUMPRODUCT(((OFFSET(F$2,0,0,COUNTA('Mii List'!A$2:A$200),1)*I188+OFFSET(G$2,0,0,COUNTA('Mii List'!A$2:A$200),1)*J188+OFFSET(H$2,0,0,COUNTA('Mii List'!A$2:A$200),1)*K188)&gt;0)*((F188*OFFSET(I$2,0,0,COUNTA('Mii List'!A$2:A$200),1)+G188*OFFSET(J$2,0,0,COUNTA('Mii List'!A$2:A$200),1)+H188*OFFSET(K$2,0,0,COUNTA('Mii List'!A$2:A$200),1))&gt;0)*(ROW(OFFSET($A$2,0,0,COUNTA('Mii List'!A$2:A$200),1))&lt;&gt;ROW())*IF(OFFSET(L$2,0,0,COUNTA('Mii List'!A$2:A$200),1)&gt;0,1/OFFSET(L$2,0,0,COUNTA('Mii List'!A$2:A$200),1),0)))</f>
        <v/>
      </c>
      <c r="O188" s="46" t="str" cm="1">
        <f t="array" aca="1" ref="O188" ca="1">IF(A188="","",IF(L188=0,0,SUMPRODUCT(((OFFSET(F$2,0,0,COUNTA('Mii List'!A$2:A$200),1)*I188+OFFSET(G$2,0,0,COUNTA('Mii List'!A$2:A$200),1)*J188+OFFSET(H$2,0,0,COUNTA('Mii List'!A$2:A$200),1)*K188)&gt;0)*((F188*OFFSET(I$2,0,0,COUNTA('Mii List'!A$2:A$200),1)+G188*OFFSET(J$2,0,0,COUNTA('Mii List'!A$2:A$200),1)+H188*OFFSET(K$2,0,0,COUNTA('Mii List'!A$2:A$200),1))&gt;0)*(ROW(OFFSET($A$2,0,0,COUNTA('Mii List'!A$2:A$200),1))&lt;&gt;ROW())*OFFSET(L$2,0,0,COUNTA('Mii List'!A$2:A$200),1))/L188))</f>
        <v/>
      </c>
      <c r="P188" s="46" t="str">
        <f t="shared" si="20"/>
        <v/>
      </c>
    </row>
    <row r="189" spans="1:16" x14ac:dyDescent="0.35">
      <c r="A189" s="46" t="str" cm="1">
        <f t="array" ref="A189">IF(ROW()-1&gt;COUNTA('Mii List'!A$2:A$200),"",INDEX('Mii List'!A$2:A$200,ROW()-1))</f>
        <v/>
      </c>
      <c r="B189" s="46" t="str">
        <f>IF(A189="","",INDEX('Mii List'!B$2:B$200,MATCH(A189,'Mii List'!A$2:A$200,0)))</f>
        <v/>
      </c>
      <c r="C189" s="46" t="str">
        <f>IF(A189="","",INDEX('Mii List'!C$2:C$200,MATCH(A189,'Mii List'!A$2:A$200,0)))</f>
        <v/>
      </c>
      <c r="D189" s="46" t="str">
        <f>IF(A189="","",INDEX('Mii List'!D$2:D$200,MATCH(A189,'Mii List'!A$2:A$200,0)))</f>
        <v/>
      </c>
      <c r="E189" s="46" t="str">
        <f>IF(A189="","",INDEX('Mii List'!E$2:E$200,MATCH(A189,'Mii List'!A$2:A$200,0)))</f>
        <v/>
      </c>
      <c r="F189" s="46">
        <f t="shared" si="14"/>
        <v>0</v>
      </c>
      <c r="G189" s="46">
        <f t="shared" si="15"/>
        <v>0</v>
      </c>
      <c r="H189" s="46">
        <f t="shared" si="16"/>
        <v>0</v>
      </c>
      <c r="I189" s="46">
        <f t="shared" si="17"/>
        <v>0</v>
      </c>
      <c r="J189" s="46">
        <f t="shared" si="18"/>
        <v>0</v>
      </c>
      <c r="K189" s="46">
        <f t="shared" si="19"/>
        <v>0</v>
      </c>
      <c r="L189" s="46" cm="1">
        <f t="array" ref="L189">IF(A189="",0,SUMPRODUCT((A$2:A$201&lt;&gt;"")*((F$2:F$201*I189+G$2:G$201*J189+H$2:H$201*K189)&gt;0)*((F189*I$2:I$201+G189*J$2:J$201+H189*K$2:K$201)&gt;0))-IF(F189*I189+G189*J189+H189*K189&gt;0,1,0))</f>
        <v>0</v>
      </c>
      <c r="M189" s="46" t="str" cm="1">
        <f t="array" ref="M189">IF(A189="","",SUMPRODUCT((A$2:A$201&lt;&gt;"")*(L$2:L$201&lt;L189))+SUMPRODUCT((A$2:A$201&lt;&gt;"")*(L$2:L$201=L189)*(A$2:A$201&lt;A189))+1)</f>
        <v/>
      </c>
      <c r="N189" s="46" t="str" cm="1">
        <f t="array" aca="1" ref="N189" ca="1">IF(A189="","",SUMPRODUCT(((OFFSET(F$2,0,0,COUNTA('Mii List'!A$2:A$200),1)*I189+OFFSET(G$2,0,0,COUNTA('Mii List'!A$2:A$200),1)*J189+OFFSET(H$2,0,0,COUNTA('Mii List'!A$2:A$200),1)*K189)&gt;0)*((F189*OFFSET(I$2,0,0,COUNTA('Mii List'!A$2:A$200),1)+G189*OFFSET(J$2,0,0,COUNTA('Mii List'!A$2:A$200),1)+H189*OFFSET(K$2,0,0,COUNTA('Mii List'!A$2:A$200),1))&gt;0)*(ROW(OFFSET($A$2,0,0,COUNTA('Mii List'!A$2:A$200),1))&lt;&gt;ROW())*IF(OFFSET(L$2,0,0,COUNTA('Mii List'!A$2:A$200),1)&gt;0,1/OFFSET(L$2,0,0,COUNTA('Mii List'!A$2:A$200),1),0)))</f>
        <v/>
      </c>
      <c r="O189" s="46" t="str" cm="1">
        <f t="array" aca="1" ref="O189" ca="1">IF(A189="","",IF(L189=0,0,SUMPRODUCT(((OFFSET(F$2,0,0,COUNTA('Mii List'!A$2:A$200),1)*I189+OFFSET(G$2,0,0,COUNTA('Mii List'!A$2:A$200),1)*J189+OFFSET(H$2,0,0,COUNTA('Mii List'!A$2:A$200),1)*K189)&gt;0)*((F189*OFFSET(I$2,0,0,COUNTA('Mii List'!A$2:A$200),1)+G189*OFFSET(J$2,0,0,COUNTA('Mii List'!A$2:A$200),1)+H189*OFFSET(K$2,0,0,COUNTA('Mii List'!A$2:A$200),1))&gt;0)*(ROW(OFFSET($A$2,0,0,COUNTA('Mii List'!A$2:A$200),1))&lt;&gt;ROW())*OFFSET(L$2,0,0,COUNTA('Mii List'!A$2:A$200),1))/L189))</f>
        <v/>
      </c>
      <c r="P189" s="46" t="str">
        <f t="shared" si="20"/>
        <v/>
      </c>
    </row>
    <row r="190" spans="1:16" x14ac:dyDescent="0.35">
      <c r="A190" s="46" t="str" cm="1">
        <f t="array" ref="A190">IF(ROW()-1&gt;COUNTA('Mii List'!A$2:A$200),"",INDEX('Mii List'!A$2:A$200,ROW()-1))</f>
        <v/>
      </c>
      <c r="B190" s="46" t="str">
        <f>IF(A190="","",INDEX('Mii List'!B$2:B$200,MATCH(A190,'Mii List'!A$2:A$200,0)))</f>
        <v/>
      </c>
      <c r="C190" s="46" t="str">
        <f>IF(A190="","",INDEX('Mii List'!C$2:C$200,MATCH(A190,'Mii List'!A$2:A$200,0)))</f>
        <v/>
      </c>
      <c r="D190" s="46" t="str">
        <f>IF(A190="","",INDEX('Mii List'!D$2:D$200,MATCH(A190,'Mii List'!A$2:A$200,0)))</f>
        <v/>
      </c>
      <c r="E190" s="46" t="str">
        <f>IF(A190="","",INDEX('Mii List'!E$2:E$200,MATCH(A190,'Mii List'!A$2:A$200,0)))</f>
        <v/>
      </c>
      <c r="F190" s="46">
        <f t="shared" si="14"/>
        <v>0</v>
      </c>
      <c r="G190" s="46">
        <f t="shared" si="15"/>
        <v>0</v>
      </c>
      <c r="H190" s="46">
        <f t="shared" si="16"/>
        <v>0</v>
      </c>
      <c r="I190" s="46">
        <f t="shared" si="17"/>
        <v>0</v>
      </c>
      <c r="J190" s="46">
        <f t="shared" si="18"/>
        <v>0</v>
      </c>
      <c r="K190" s="46">
        <f t="shared" si="19"/>
        <v>0</v>
      </c>
      <c r="L190" s="46" cm="1">
        <f t="array" ref="L190">IF(A190="",0,SUMPRODUCT((A$2:A$201&lt;&gt;"")*((F$2:F$201*I190+G$2:G$201*J190+H$2:H$201*K190)&gt;0)*((F190*I$2:I$201+G190*J$2:J$201+H190*K$2:K$201)&gt;0))-IF(F190*I190+G190*J190+H190*K190&gt;0,1,0))</f>
        <v>0</v>
      </c>
      <c r="M190" s="46" t="str" cm="1">
        <f t="array" ref="M190">IF(A190="","",SUMPRODUCT((A$2:A$201&lt;&gt;"")*(L$2:L$201&lt;L190))+SUMPRODUCT((A$2:A$201&lt;&gt;"")*(L$2:L$201=L190)*(A$2:A$201&lt;A190))+1)</f>
        <v/>
      </c>
      <c r="N190" s="46" t="str" cm="1">
        <f t="array" aca="1" ref="N190" ca="1">IF(A190="","",SUMPRODUCT(((OFFSET(F$2,0,0,COUNTA('Mii List'!A$2:A$200),1)*I190+OFFSET(G$2,0,0,COUNTA('Mii List'!A$2:A$200),1)*J190+OFFSET(H$2,0,0,COUNTA('Mii List'!A$2:A$200),1)*K190)&gt;0)*((F190*OFFSET(I$2,0,0,COUNTA('Mii List'!A$2:A$200),1)+G190*OFFSET(J$2,0,0,COUNTA('Mii List'!A$2:A$200),1)+H190*OFFSET(K$2,0,0,COUNTA('Mii List'!A$2:A$200),1))&gt;0)*(ROW(OFFSET($A$2,0,0,COUNTA('Mii List'!A$2:A$200),1))&lt;&gt;ROW())*IF(OFFSET(L$2,0,0,COUNTA('Mii List'!A$2:A$200),1)&gt;0,1/OFFSET(L$2,0,0,COUNTA('Mii List'!A$2:A$200),1),0)))</f>
        <v/>
      </c>
      <c r="O190" s="46" t="str" cm="1">
        <f t="array" aca="1" ref="O190" ca="1">IF(A190="","",IF(L190=0,0,SUMPRODUCT(((OFFSET(F$2,0,0,COUNTA('Mii List'!A$2:A$200),1)*I190+OFFSET(G$2,0,0,COUNTA('Mii List'!A$2:A$200),1)*J190+OFFSET(H$2,0,0,COUNTA('Mii List'!A$2:A$200),1)*K190)&gt;0)*((F190*OFFSET(I$2,0,0,COUNTA('Mii List'!A$2:A$200),1)+G190*OFFSET(J$2,0,0,COUNTA('Mii List'!A$2:A$200),1)+H190*OFFSET(K$2,0,0,COUNTA('Mii List'!A$2:A$200),1))&gt;0)*(ROW(OFFSET($A$2,0,0,COUNTA('Mii List'!A$2:A$200),1))&lt;&gt;ROW())*OFFSET(L$2,0,0,COUNTA('Mii List'!A$2:A$200),1))/L190))</f>
        <v/>
      </c>
      <c r="P190" s="46" t="str">
        <f t="shared" si="20"/>
        <v/>
      </c>
    </row>
    <row r="191" spans="1:16" x14ac:dyDescent="0.35">
      <c r="A191" s="46" t="str" cm="1">
        <f t="array" ref="A191">IF(ROW()-1&gt;COUNTA('Mii List'!A$2:A$200),"",INDEX('Mii List'!A$2:A$200,ROW()-1))</f>
        <v/>
      </c>
      <c r="B191" s="46" t="str">
        <f>IF(A191="","",INDEX('Mii List'!B$2:B$200,MATCH(A191,'Mii List'!A$2:A$200,0)))</f>
        <v/>
      </c>
      <c r="C191" s="46" t="str">
        <f>IF(A191="","",INDEX('Mii List'!C$2:C$200,MATCH(A191,'Mii List'!A$2:A$200,0)))</f>
        <v/>
      </c>
      <c r="D191" s="46" t="str">
        <f>IF(A191="","",INDEX('Mii List'!D$2:D$200,MATCH(A191,'Mii List'!A$2:A$200,0)))</f>
        <v/>
      </c>
      <c r="E191" s="46" t="str">
        <f>IF(A191="","",INDEX('Mii List'!E$2:E$200,MATCH(A191,'Mii List'!A$2:A$200,0)))</f>
        <v/>
      </c>
      <c r="F191" s="46">
        <f t="shared" si="14"/>
        <v>0</v>
      </c>
      <c r="G191" s="46">
        <f t="shared" si="15"/>
        <v>0</v>
      </c>
      <c r="H191" s="46">
        <f t="shared" si="16"/>
        <v>0</v>
      </c>
      <c r="I191" s="46">
        <f t="shared" si="17"/>
        <v>0</v>
      </c>
      <c r="J191" s="46">
        <f t="shared" si="18"/>
        <v>0</v>
      </c>
      <c r="K191" s="46">
        <f t="shared" si="19"/>
        <v>0</v>
      </c>
      <c r="L191" s="46" cm="1">
        <f t="array" ref="L191">IF(A191="",0,SUMPRODUCT((A$2:A$201&lt;&gt;"")*((F$2:F$201*I191+G$2:G$201*J191+H$2:H$201*K191)&gt;0)*((F191*I$2:I$201+G191*J$2:J$201+H191*K$2:K$201)&gt;0))-IF(F191*I191+G191*J191+H191*K191&gt;0,1,0))</f>
        <v>0</v>
      </c>
      <c r="M191" s="46" t="str" cm="1">
        <f t="array" ref="M191">IF(A191="","",SUMPRODUCT((A$2:A$201&lt;&gt;"")*(L$2:L$201&lt;L191))+SUMPRODUCT((A$2:A$201&lt;&gt;"")*(L$2:L$201=L191)*(A$2:A$201&lt;A191))+1)</f>
        <v/>
      </c>
      <c r="N191" s="46" t="str" cm="1">
        <f t="array" aca="1" ref="N191" ca="1">IF(A191="","",SUMPRODUCT(((OFFSET(F$2,0,0,COUNTA('Mii List'!A$2:A$200),1)*I191+OFFSET(G$2,0,0,COUNTA('Mii List'!A$2:A$200),1)*J191+OFFSET(H$2,0,0,COUNTA('Mii List'!A$2:A$200),1)*K191)&gt;0)*((F191*OFFSET(I$2,0,0,COUNTA('Mii List'!A$2:A$200),1)+G191*OFFSET(J$2,0,0,COUNTA('Mii List'!A$2:A$200),1)+H191*OFFSET(K$2,0,0,COUNTA('Mii List'!A$2:A$200),1))&gt;0)*(ROW(OFFSET($A$2,0,0,COUNTA('Mii List'!A$2:A$200),1))&lt;&gt;ROW())*IF(OFFSET(L$2,0,0,COUNTA('Mii List'!A$2:A$200),1)&gt;0,1/OFFSET(L$2,0,0,COUNTA('Mii List'!A$2:A$200),1),0)))</f>
        <v/>
      </c>
      <c r="O191" s="46" t="str" cm="1">
        <f t="array" aca="1" ref="O191" ca="1">IF(A191="","",IF(L191=0,0,SUMPRODUCT(((OFFSET(F$2,0,0,COUNTA('Mii List'!A$2:A$200),1)*I191+OFFSET(G$2,0,0,COUNTA('Mii List'!A$2:A$200),1)*J191+OFFSET(H$2,0,0,COUNTA('Mii List'!A$2:A$200),1)*K191)&gt;0)*((F191*OFFSET(I$2,0,0,COUNTA('Mii List'!A$2:A$200),1)+G191*OFFSET(J$2,0,0,COUNTA('Mii List'!A$2:A$200),1)+H191*OFFSET(K$2,0,0,COUNTA('Mii List'!A$2:A$200),1))&gt;0)*(ROW(OFFSET($A$2,0,0,COUNTA('Mii List'!A$2:A$200),1))&lt;&gt;ROW())*OFFSET(L$2,0,0,COUNTA('Mii List'!A$2:A$200),1))/L191))</f>
        <v/>
      </c>
      <c r="P191" s="46" t="str">
        <f t="shared" si="20"/>
        <v/>
      </c>
    </row>
    <row r="192" spans="1:16" x14ac:dyDescent="0.35">
      <c r="A192" s="46" t="str" cm="1">
        <f t="array" ref="A192">IF(ROW()-1&gt;COUNTA('Mii List'!A$2:A$200),"",INDEX('Mii List'!A$2:A$200,ROW()-1))</f>
        <v/>
      </c>
      <c r="B192" s="46" t="str">
        <f>IF(A192="","",INDEX('Mii List'!B$2:B$200,MATCH(A192,'Mii List'!A$2:A$200,0)))</f>
        <v/>
      </c>
      <c r="C192" s="46" t="str">
        <f>IF(A192="","",INDEX('Mii List'!C$2:C$200,MATCH(A192,'Mii List'!A$2:A$200,0)))</f>
        <v/>
      </c>
      <c r="D192" s="46" t="str">
        <f>IF(A192="","",INDEX('Mii List'!D$2:D$200,MATCH(A192,'Mii List'!A$2:A$200,0)))</f>
        <v/>
      </c>
      <c r="E192" s="46" t="str">
        <f>IF(A192="","",INDEX('Mii List'!E$2:E$200,MATCH(A192,'Mii List'!A$2:A$200,0)))</f>
        <v/>
      </c>
      <c r="F192" s="46">
        <f t="shared" si="14"/>
        <v>0</v>
      </c>
      <c r="G192" s="46">
        <f t="shared" si="15"/>
        <v>0</v>
      </c>
      <c r="H192" s="46">
        <f t="shared" si="16"/>
        <v>0</v>
      </c>
      <c r="I192" s="46">
        <f t="shared" si="17"/>
        <v>0</v>
      </c>
      <c r="J192" s="46">
        <f t="shared" si="18"/>
        <v>0</v>
      </c>
      <c r="K192" s="46">
        <f t="shared" si="19"/>
        <v>0</v>
      </c>
      <c r="L192" s="46" cm="1">
        <f t="array" ref="L192">IF(A192="",0,SUMPRODUCT((A$2:A$201&lt;&gt;"")*((F$2:F$201*I192+G$2:G$201*J192+H$2:H$201*K192)&gt;0)*((F192*I$2:I$201+G192*J$2:J$201+H192*K$2:K$201)&gt;0))-IF(F192*I192+G192*J192+H192*K192&gt;0,1,0))</f>
        <v>0</v>
      </c>
      <c r="M192" s="46" t="str" cm="1">
        <f t="array" ref="M192">IF(A192="","",SUMPRODUCT((A$2:A$201&lt;&gt;"")*(L$2:L$201&lt;L192))+SUMPRODUCT((A$2:A$201&lt;&gt;"")*(L$2:L$201=L192)*(A$2:A$201&lt;A192))+1)</f>
        <v/>
      </c>
      <c r="N192" s="46" t="str" cm="1">
        <f t="array" aca="1" ref="N192" ca="1">IF(A192="","",SUMPRODUCT(((OFFSET(F$2,0,0,COUNTA('Mii List'!A$2:A$200),1)*I192+OFFSET(G$2,0,0,COUNTA('Mii List'!A$2:A$200),1)*J192+OFFSET(H$2,0,0,COUNTA('Mii List'!A$2:A$200),1)*K192)&gt;0)*((F192*OFFSET(I$2,0,0,COUNTA('Mii List'!A$2:A$200),1)+G192*OFFSET(J$2,0,0,COUNTA('Mii List'!A$2:A$200),1)+H192*OFFSET(K$2,0,0,COUNTA('Mii List'!A$2:A$200),1))&gt;0)*(ROW(OFFSET($A$2,0,0,COUNTA('Mii List'!A$2:A$200),1))&lt;&gt;ROW())*IF(OFFSET(L$2,0,0,COUNTA('Mii List'!A$2:A$200),1)&gt;0,1/OFFSET(L$2,0,0,COUNTA('Mii List'!A$2:A$200),1),0)))</f>
        <v/>
      </c>
      <c r="O192" s="46" t="str" cm="1">
        <f t="array" aca="1" ref="O192" ca="1">IF(A192="","",IF(L192=0,0,SUMPRODUCT(((OFFSET(F$2,0,0,COUNTA('Mii List'!A$2:A$200),1)*I192+OFFSET(G$2,0,0,COUNTA('Mii List'!A$2:A$200),1)*J192+OFFSET(H$2,0,0,COUNTA('Mii List'!A$2:A$200),1)*K192)&gt;0)*((F192*OFFSET(I$2,0,0,COUNTA('Mii List'!A$2:A$200),1)+G192*OFFSET(J$2,0,0,COUNTA('Mii List'!A$2:A$200),1)+H192*OFFSET(K$2,0,0,COUNTA('Mii List'!A$2:A$200),1))&gt;0)*(ROW(OFFSET($A$2,0,0,COUNTA('Mii List'!A$2:A$200),1))&lt;&gt;ROW())*OFFSET(L$2,0,0,COUNTA('Mii List'!A$2:A$200),1))/L192))</f>
        <v/>
      </c>
      <c r="P192" s="46" t="str">
        <f t="shared" si="20"/>
        <v/>
      </c>
    </row>
    <row r="193" spans="1:16" x14ac:dyDescent="0.35">
      <c r="A193" s="46" t="str" cm="1">
        <f t="array" ref="A193">IF(ROW()-1&gt;COUNTA('Mii List'!A$2:A$200),"",INDEX('Mii List'!A$2:A$200,ROW()-1))</f>
        <v/>
      </c>
      <c r="B193" s="46" t="str">
        <f>IF(A193="","",INDEX('Mii List'!B$2:B$200,MATCH(A193,'Mii List'!A$2:A$200,0)))</f>
        <v/>
      </c>
      <c r="C193" s="46" t="str">
        <f>IF(A193="","",INDEX('Mii List'!C$2:C$200,MATCH(A193,'Mii List'!A$2:A$200,0)))</f>
        <v/>
      </c>
      <c r="D193" s="46" t="str">
        <f>IF(A193="","",INDEX('Mii List'!D$2:D$200,MATCH(A193,'Mii List'!A$2:A$200,0)))</f>
        <v/>
      </c>
      <c r="E193" s="46" t="str">
        <f>IF(A193="","",INDEX('Mii List'!E$2:E$200,MATCH(A193,'Mii List'!A$2:A$200,0)))</f>
        <v/>
      </c>
      <c r="F193" s="46">
        <f t="shared" si="14"/>
        <v>0</v>
      </c>
      <c r="G193" s="46">
        <f t="shared" si="15"/>
        <v>0</v>
      </c>
      <c r="H193" s="46">
        <f t="shared" si="16"/>
        <v>0</v>
      </c>
      <c r="I193" s="46">
        <f t="shared" si="17"/>
        <v>0</v>
      </c>
      <c r="J193" s="46">
        <f t="shared" si="18"/>
        <v>0</v>
      </c>
      <c r="K193" s="46">
        <f t="shared" si="19"/>
        <v>0</v>
      </c>
      <c r="L193" s="46" cm="1">
        <f t="array" ref="L193">IF(A193="",0,SUMPRODUCT((A$2:A$201&lt;&gt;"")*((F$2:F$201*I193+G$2:G$201*J193+H$2:H$201*K193)&gt;0)*((F193*I$2:I$201+G193*J$2:J$201+H193*K$2:K$201)&gt;0))-IF(F193*I193+G193*J193+H193*K193&gt;0,1,0))</f>
        <v>0</v>
      </c>
      <c r="M193" s="46" t="str" cm="1">
        <f t="array" ref="M193">IF(A193="","",SUMPRODUCT((A$2:A$201&lt;&gt;"")*(L$2:L$201&lt;L193))+SUMPRODUCT((A$2:A$201&lt;&gt;"")*(L$2:L$201=L193)*(A$2:A$201&lt;A193))+1)</f>
        <v/>
      </c>
      <c r="N193" s="46" t="str" cm="1">
        <f t="array" aca="1" ref="N193" ca="1">IF(A193="","",SUMPRODUCT(((OFFSET(F$2,0,0,COUNTA('Mii List'!A$2:A$200),1)*I193+OFFSET(G$2,0,0,COUNTA('Mii List'!A$2:A$200),1)*J193+OFFSET(H$2,0,0,COUNTA('Mii List'!A$2:A$200),1)*K193)&gt;0)*((F193*OFFSET(I$2,0,0,COUNTA('Mii List'!A$2:A$200),1)+G193*OFFSET(J$2,0,0,COUNTA('Mii List'!A$2:A$200),1)+H193*OFFSET(K$2,0,0,COUNTA('Mii List'!A$2:A$200),1))&gt;0)*(ROW(OFFSET($A$2,0,0,COUNTA('Mii List'!A$2:A$200),1))&lt;&gt;ROW())*IF(OFFSET(L$2,0,0,COUNTA('Mii List'!A$2:A$200),1)&gt;0,1/OFFSET(L$2,0,0,COUNTA('Mii List'!A$2:A$200),1),0)))</f>
        <v/>
      </c>
      <c r="O193" s="46" t="str" cm="1">
        <f t="array" aca="1" ref="O193" ca="1">IF(A193="","",IF(L193=0,0,SUMPRODUCT(((OFFSET(F$2,0,0,COUNTA('Mii List'!A$2:A$200),1)*I193+OFFSET(G$2,0,0,COUNTA('Mii List'!A$2:A$200),1)*J193+OFFSET(H$2,0,0,COUNTA('Mii List'!A$2:A$200),1)*K193)&gt;0)*((F193*OFFSET(I$2,0,0,COUNTA('Mii List'!A$2:A$200),1)+G193*OFFSET(J$2,0,0,COUNTA('Mii List'!A$2:A$200),1)+H193*OFFSET(K$2,0,0,COUNTA('Mii List'!A$2:A$200),1))&gt;0)*(ROW(OFFSET($A$2,0,0,COUNTA('Mii List'!A$2:A$200),1))&lt;&gt;ROW())*OFFSET(L$2,0,0,COUNTA('Mii List'!A$2:A$200),1))/L193))</f>
        <v/>
      </c>
      <c r="P193" s="46" t="str">
        <f t="shared" si="20"/>
        <v/>
      </c>
    </row>
    <row r="194" spans="1:16" x14ac:dyDescent="0.35">
      <c r="A194" s="46" t="str" cm="1">
        <f t="array" ref="A194">IF(ROW()-1&gt;COUNTA('Mii List'!A$2:A$200),"",INDEX('Mii List'!A$2:A$200,ROW()-1))</f>
        <v/>
      </c>
      <c r="B194" s="46" t="str">
        <f>IF(A194="","",INDEX('Mii List'!B$2:B$200,MATCH(A194,'Mii List'!A$2:A$200,0)))</f>
        <v/>
      </c>
      <c r="C194" s="46" t="str">
        <f>IF(A194="","",INDEX('Mii List'!C$2:C$200,MATCH(A194,'Mii List'!A$2:A$200,0)))</f>
        <v/>
      </c>
      <c r="D194" s="46" t="str">
        <f>IF(A194="","",INDEX('Mii List'!D$2:D$200,MATCH(A194,'Mii List'!A$2:A$200,0)))</f>
        <v/>
      </c>
      <c r="E194" s="46" t="str">
        <f>IF(A194="","",INDEX('Mii List'!E$2:E$200,MATCH(A194,'Mii List'!A$2:A$200,0)))</f>
        <v/>
      </c>
      <c r="F194" s="46">
        <f t="shared" si="14"/>
        <v>0</v>
      </c>
      <c r="G194" s="46">
        <f t="shared" si="15"/>
        <v>0</v>
      </c>
      <c r="H194" s="46">
        <f t="shared" si="16"/>
        <v>0</v>
      </c>
      <c r="I194" s="46">
        <f t="shared" si="17"/>
        <v>0</v>
      </c>
      <c r="J194" s="46">
        <f t="shared" si="18"/>
        <v>0</v>
      </c>
      <c r="K194" s="46">
        <f t="shared" si="19"/>
        <v>0</v>
      </c>
      <c r="L194" s="46" cm="1">
        <f t="array" ref="L194">IF(A194="",0,SUMPRODUCT((A$2:A$201&lt;&gt;"")*((F$2:F$201*I194+G$2:G$201*J194+H$2:H$201*K194)&gt;0)*((F194*I$2:I$201+G194*J$2:J$201+H194*K$2:K$201)&gt;0))-IF(F194*I194+G194*J194+H194*K194&gt;0,1,0))</f>
        <v>0</v>
      </c>
      <c r="M194" s="46" t="str" cm="1">
        <f t="array" ref="M194">IF(A194="","",SUMPRODUCT((A$2:A$201&lt;&gt;"")*(L$2:L$201&lt;L194))+SUMPRODUCT((A$2:A$201&lt;&gt;"")*(L$2:L$201=L194)*(A$2:A$201&lt;A194))+1)</f>
        <v/>
      </c>
      <c r="N194" s="46" t="str" cm="1">
        <f t="array" aca="1" ref="N194" ca="1">IF(A194="","",SUMPRODUCT(((OFFSET(F$2,0,0,COUNTA('Mii List'!A$2:A$200),1)*I194+OFFSET(G$2,0,0,COUNTA('Mii List'!A$2:A$200),1)*J194+OFFSET(H$2,0,0,COUNTA('Mii List'!A$2:A$200),1)*K194)&gt;0)*((F194*OFFSET(I$2,0,0,COUNTA('Mii List'!A$2:A$200),1)+G194*OFFSET(J$2,0,0,COUNTA('Mii List'!A$2:A$200),1)+H194*OFFSET(K$2,0,0,COUNTA('Mii List'!A$2:A$200),1))&gt;0)*(ROW(OFFSET($A$2,0,0,COUNTA('Mii List'!A$2:A$200),1))&lt;&gt;ROW())*IF(OFFSET(L$2,0,0,COUNTA('Mii List'!A$2:A$200),1)&gt;0,1/OFFSET(L$2,0,0,COUNTA('Mii List'!A$2:A$200),1),0)))</f>
        <v/>
      </c>
      <c r="O194" s="46" t="str" cm="1">
        <f t="array" aca="1" ref="O194" ca="1">IF(A194="","",IF(L194=0,0,SUMPRODUCT(((OFFSET(F$2,0,0,COUNTA('Mii List'!A$2:A$200),1)*I194+OFFSET(G$2,0,0,COUNTA('Mii List'!A$2:A$200),1)*J194+OFFSET(H$2,0,0,COUNTA('Mii List'!A$2:A$200),1)*K194)&gt;0)*((F194*OFFSET(I$2,0,0,COUNTA('Mii List'!A$2:A$200),1)+G194*OFFSET(J$2,0,0,COUNTA('Mii List'!A$2:A$200),1)+H194*OFFSET(K$2,0,0,COUNTA('Mii List'!A$2:A$200),1))&gt;0)*(ROW(OFFSET($A$2,0,0,COUNTA('Mii List'!A$2:A$200),1))&lt;&gt;ROW())*OFFSET(L$2,0,0,COUNTA('Mii List'!A$2:A$200),1))/L194))</f>
        <v/>
      </c>
      <c r="P194" s="46" t="str">
        <f t="shared" si="20"/>
        <v/>
      </c>
    </row>
    <row r="195" spans="1:16" x14ac:dyDescent="0.35">
      <c r="A195" s="46" t="str" cm="1">
        <f t="array" ref="A195">IF(ROW()-1&gt;COUNTA('Mii List'!A$2:A$200),"",INDEX('Mii List'!A$2:A$200,ROW()-1))</f>
        <v/>
      </c>
      <c r="B195" s="46" t="str">
        <f>IF(A195="","",INDEX('Mii List'!B$2:B$200,MATCH(A195,'Mii List'!A$2:A$200,0)))</f>
        <v/>
      </c>
      <c r="C195" s="46" t="str">
        <f>IF(A195="","",INDEX('Mii List'!C$2:C$200,MATCH(A195,'Mii List'!A$2:A$200,0)))</f>
        <v/>
      </c>
      <c r="D195" s="46" t="str">
        <f>IF(A195="","",INDEX('Mii List'!D$2:D$200,MATCH(A195,'Mii List'!A$2:A$200,0)))</f>
        <v/>
      </c>
      <c r="E195" s="46" t="str">
        <f>IF(A195="","",INDEX('Mii List'!E$2:E$200,MATCH(A195,'Mii List'!A$2:A$200,0)))</f>
        <v/>
      </c>
      <c r="F195" s="46">
        <f t="shared" ref="F195:F201" si="21">IF(A195="",0,(C195="✓")*1)</f>
        <v>0</v>
      </c>
      <c r="G195" s="46">
        <f t="shared" ref="G195:G201" si="22">IF(A195="",0,(D195="✓")*1)</f>
        <v>0</v>
      </c>
      <c r="H195" s="46">
        <f t="shared" ref="H195:H201" si="23">IF(A195="",0,(E195="✓")*1)</f>
        <v>0</v>
      </c>
      <c r="I195" s="46">
        <f t="shared" ref="I195:I201" si="24">IF(A195="",0,(B195="Male")*1)</f>
        <v>0</v>
      </c>
      <c r="J195" s="46">
        <f t="shared" ref="J195:J201" si="25">IF(A195="",0,(B195="Female")*1)</f>
        <v>0</v>
      </c>
      <c r="K195" s="46">
        <f t="shared" ref="K195:K201" si="26">IF(A195="",0,(B195="Nonbinary")*1)</f>
        <v>0</v>
      </c>
      <c r="L195" s="46" cm="1">
        <f t="array" ref="L195">IF(A195="",0,SUMPRODUCT((A$2:A$201&lt;&gt;"")*((F$2:F$201*I195+G$2:G$201*J195+H$2:H$201*K195)&gt;0)*((F195*I$2:I$201+G195*J$2:J$201+H195*K$2:K$201)&gt;0))-IF(F195*I195+G195*J195+H195*K195&gt;0,1,0))</f>
        <v>0</v>
      </c>
      <c r="M195" s="46" t="str" cm="1">
        <f t="array" ref="M195">IF(A195="","",SUMPRODUCT((A$2:A$201&lt;&gt;"")*(L$2:L$201&lt;L195))+SUMPRODUCT((A$2:A$201&lt;&gt;"")*(L$2:L$201=L195)*(A$2:A$201&lt;A195))+1)</f>
        <v/>
      </c>
      <c r="N195" s="46" t="str" cm="1">
        <f t="array" aca="1" ref="N195" ca="1">IF(A195="","",SUMPRODUCT(((OFFSET(F$2,0,0,COUNTA('Mii List'!A$2:A$200),1)*I195+OFFSET(G$2,0,0,COUNTA('Mii List'!A$2:A$200),1)*J195+OFFSET(H$2,0,0,COUNTA('Mii List'!A$2:A$200),1)*K195)&gt;0)*((F195*OFFSET(I$2,0,0,COUNTA('Mii List'!A$2:A$200),1)+G195*OFFSET(J$2,0,0,COUNTA('Mii List'!A$2:A$200),1)+H195*OFFSET(K$2,0,0,COUNTA('Mii List'!A$2:A$200),1))&gt;0)*(ROW(OFFSET($A$2,0,0,COUNTA('Mii List'!A$2:A$200),1))&lt;&gt;ROW())*IF(OFFSET(L$2,0,0,COUNTA('Mii List'!A$2:A$200),1)&gt;0,1/OFFSET(L$2,0,0,COUNTA('Mii List'!A$2:A$200),1),0)))</f>
        <v/>
      </c>
      <c r="O195" s="46" t="str" cm="1">
        <f t="array" aca="1" ref="O195" ca="1">IF(A195="","",IF(L195=0,0,SUMPRODUCT(((OFFSET(F$2,0,0,COUNTA('Mii List'!A$2:A$200),1)*I195+OFFSET(G$2,0,0,COUNTA('Mii List'!A$2:A$200),1)*J195+OFFSET(H$2,0,0,COUNTA('Mii List'!A$2:A$200),1)*K195)&gt;0)*((F195*OFFSET(I$2,0,0,COUNTA('Mii List'!A$2:A$200),1)+G195*OFFSET(J$2,0,0,COUNTA('Mii List'!A$2:A$200),1)+H195*OFFSET(K$2,0,0,COUNTA('Mii List'!A$2:A$200),1))&gt;0)*(ROW(OFFSET($A$2,0,0,COUNTA('Mii List'!A$2:A$200),1))&lt;&gt;ROW())*OFFSET(L$2,0,0,COUNTA('Mii List'!A$2:A$200),1))/L195))</f>
        <v/>
      </c>
      <c r="P195" s="46" t="str">
        <f t="shared" ref="P195:P201" si="27">IF(A195="","",IF(L195*O195&gt;0,MIN(1,L195/O195),0))</f>
        <v/>
      </c>
    </row>
    <row r="196" spans="1:16" x14ac:dyDescent="0.35">
      <c r="A196" s="46" t="str" cm="1">
        <f t="array" ref="A196">IF(ROW()-1&gt;COUNTA('Mii List'!A$2:A$200),"",INDEX('Mii List'!A$2:A$200,ROW()-1))</f>
        <v/>
      </c>
      <c r="B196" s="46" t="str">
        <f>IF(A196="","",INDEX('Mii List'!B$2:B$200,MATCH(A196,'Mii List'!A$2:A$200,0)))</f>
        <v/>
      </c>
      <c r="C196" s="46" t="str">
        <f>IF(A196="","",INDEX('Mii List'!C$2:C$200,MATCH(A196,'Mii List'!A$2:A$200,0)))</f>
        <v/>
      </c>
      <c r="D196" s="46" t="str">
        <f>IF(A196="","",INDEX('Mii List'!D$2:D$200,MATCH(A196,'Mii List'!A$2:A$200,0)))</f>
        <v/>
      </c>
      <c r="E196" s="46" t="str">
        <f>IF(A196="","",INDEX('Mii List'!E$2:E$200,MATCH(A196,'Mii List'!A$2:A$200,0)))</f>
        <v/>
      </c>
      <c r="F196" s="46">
        <f t="shared" si="21"/>
        <v>0</v>
      </c>
      <c r="G196" s="46">
        <f t="shared" si="22"/>
        <v>0</v>
      </c>
      <c r="H196" s="46">
        <f t="shared" si="23"/>
        <v>0</v>
      </c>
      <c r="I196" s="46">
        <f t="shared" si="24"/>
        <v>0</v>
      </c>
      <c r="J196" s="46">
        <f t="shared" si="25"/>
        <v>0</v>
      </c>
      <c r="K196" s="46">
        <f t="shared" si="26"/>
        <v>0</v>
      </c>
      <c r="L196" s="46" cm="1">
        <f t="array" ref="L196">IF(A196="",0,SUMPRODUCT((A$2:A$201&lt;&gt;"")*((F$2:F$201*I196+G$2:G$201*J196+H$2:H$201*K196)&gt;0)*((F196*I$2:I$201+G196*J$2:J$201+H196*K$2:K$201)&gt;0))-IF(F196*I196+G196*J196+H196*K196&gt;0,1,0))</f>
        <v>0</v>
      </c>
      <c r="M196" s="46" t="str" cm="1">
        <f t="array" ref="M196">IF(A196="","",SUMPRODUCT((A$2:A$201&lt;&gt;"")*(L$2:L$201&lt;L196))+SUMPRODUCT((A$2:A$201&lt;&gt;"")*(L$2:L$201=L196)*(A$2:A$201&lt;A196))+1)</f>
        <v/>
      </c>
      <c r="N196" s="46" t="str" cm="1">
        <f t="array" aca="1" ref="N196" ca="1">IF(A196="","",SUMPRODUCT(((OFFSET(F$2,0,0,COUNTA('Mii List'!A$2:A$200),1)*I196+OFFSET(G$2,0,0,COUNTA('Mii List'!A$2:A$200),1)*J196+OFFSET(H$2,0,0,COUNTA('Mii List'!A$2:A$200),1)*K196)&gt;0)*((F196*OFFSET(I$2,0,0,COUNTA('Mii List'!A$2:A$200),1)+G196*OFFSET(J$2,0,0,COUNTA('Mii List'!A$2:A$200),1)+H196*OFFSET(K$2,0,0,COUNTA('Mii List'!A$2:A$200),1))&gt;0)*(ROW(OFFSET($A$2,0,0,COUNTA('Mii List'!A$2:A$200),1))&lt;&gt;ROW())*IF(OFFSET(L$2,0,0,COUNTA('Mii List'!A$2:A$200),1)&gt;0,1/OFFSET(L$2,0,0,COUNTA('Mii List'!A$2:A$200),1),0)))</f>
        <v/>
      </c>
      <c r="O196" s="46" t="str" cm="1">
        <f t="array" aca="1" ref="O196" ca="1">IF(A196="","",IF(L196=0,0,SUMPRODUCT(((OFFSET(F$2,0,0,COUNTA('Mii List'!A$2:A$200),1)*I196+OFFSET(G$2,0,0,COUNTA('Mii List'!A$2:A$200),1)*J196+OFFSET(H$2,0,0,COUNTA('Mii List'!A$2:A$200),1)*K196)&gt;0)*((F196*OFFSET(I$2,0,0,COUNTA('Mii List'!A$2:A$200),1)+G196*OFFSET(J$2,0,0,COUNTA('Mii List'!A$2:A$200),1)+H196*OFFSET(K$2,0,0,COUNTA('Mii List'!A$2:A$200),1))&gt;0)*(ROW(OFFSET($A$2,0,0,COUNTA('Mii List'!A$2:A$200),1))&lt;&gt;ROW())*OFFSET(L$2,0,0,COUNTA('Mii List'!A$2:A$200),1))/L196))</f>
        <v/>
      </c>
      <c r="P196" s="46" t="str">
        <f t="shared" si="27"/>
        <v/>
      </c>
    </row>
    <row r="197" spans="1:16" x14ac:dyDescent="0.35">
      <c r="A197" s="46" t="str" cm="1">
        <f t="array" ref="A197">IF(ROW()-1&gt;COUNTA('Mii List'!A$2:A$200),"",INDEX('Mii List'!A$2:A$200,ROW()-1))</f>
        <v/>
      </c>
      <c r="B197" s="46" t="str">
        <f>IF(A197="","",INDEX('Mii List'!B$2:B$200,MATCH(A197,'Mii List'!A$2:A$200,0)))</f>
        <v/>
      </c>
      <c r="C197" s="46" t="str">
        <f>IF(A197="","",INDEX('Mii List'!C$2:C$200,MATCH(A197,'Mii List'!A$2:A$200,0)))</f>
        <v/>
      </c>
      <c r="D197" s="46" t="str">
        <f>IF(A197="","",INDEX('Mii List'!D$2:D$200,MATCH(A197,'Mii List'!A$2:A$200,0)))</f>
        <v/>
      </c>
      <c r="E197" s="46" t="str">
        <f>IF(A197="","",INDEX('Mii List'!E$2:E$200,MATCH(A197,'Mii List'!A$2:A$200,0)))</f>
        <v/>
      </c>
      <c r="F197" s="46">
        <f t="shared" si="21"/>
        <v>0</v>
      </c>
      <c r="G197" s="46">
        <f t="shared" si="22"/>
        <v>0</v>
      </c>
      <c r="H197" s="46">
        <f t="shared" si="23"/>
        <v>0</v>
      </c>
      <c r="I197" s="46">
        <f t="shared" si="24"/>
        <v>0</v>
      </c>
      <c r="J197" s="46">
        <f t="shared" si="25"/>
        <v>0</v>
      </c>
      <c r="K197" s="46">
        <f t="shared" si="26"/>
        <v>0</v>
      </c>
      <c r="L197" s="46" cm="1">
        <f t="array" ref="L197">IF(A197="",0,SUMPRODUCT((A$2:A$201&lt;&gt;"")*((F$2:F$201*I197+G$2:G$201*J197+H$2:H$201*K197)&gt;0)*((F197*I$2:I$201+G197*J$2:J$201+H197*K$2:K$201)&gt;0))-IF(F197*I197+G197*J197+H197*K197&gt;0,1,0))</f>
        <v>0</v>
      </c>
      <c r="M197" s="46" t="str" cm="1">
        <f t="array" ref="M197">IF(A197="","",SUMPRODUCT((A$2:A$201&lt;&gt;"")*(L$2:L$201&lt;L197))+SUMPRODUCT((A$2:A$201&lt;&gt;"")*(L$2:L$201=L197)*(A$2:A$201&lt;A197))+1)</f>
        <v/>
      </c>
      <c r="N197" s="46" t="str" cm="1">
        <f t="array" aca="1" ref="N197" ca="1">IF(A197="","",SUMPRODUCT(((OFFSET(F$2,0,0,COUNTA('Mii List'!A$2:A$200),1)*I197+OFFSET(G$2,0,0,COUNTA('Mii List'!A$2:A$200),1)*J197+OFFSET(H$2,0,0,COUNTA('Mii List'!A$2:A$200),1)*K197)&gt;0)*((F197*OFFSET(I$2,0,0,COUNTA('Mii List'!A$2:A$200),1)+G197*OFFSET(J$2,0,0,COUNTA('Mii List'!A$2:A$200),1)+H197*OFFSET(K$2,0,0,COUNTA('Mii List'!A$2:A$200),1))&gt;0)*(ROW(OFFSET($A$2,0,0,COUNTA('Mii List'!A$2:A$200),1))&lt;&gt;ROW())*IF(OFFSET(L$2,0,0,COUNTA('Mii List'!A$2:A$200),1)&gt;0,1/OFFSET(L$2,0,0,COUNTA('Mii List'!A$2:A$200),1),0)))</f>
        <v/>
      </c>
      <c r="O197" s="46" t="str" cm="1">
        <f t="array" aca="1" ref="O197" ca="1">IF(A197="","",IF(L197=0,0,SUMPRODUCT(((OFFSET(F$2,0,0,COUNTA('Mii List'!A$2:A$200),1)*I197+OFFSET(G$2,0,0,COUNTA('Mii List'!A$2:A$200),1)*J197+OFFSET(H$2,0,0,COUNTA('Mii List'!A$2:A$200),1)*K197)&gt;0)*((F197*OFFSET(I$2,0,0,COUNTA('Mii List'!A$2:A$200),1)+G197*OFFSET(J$2,0,0,COUNTA('Mii List'!A$2:A$200),1)+H197*OFFSET(K$2,0,0,COUNTA('Mii List'!A$2:A$200),1))&gt;0)*(ROW(OFFSET($A$2,0,0,COUNTA('Mii List'!A$2:A$200),1))&lt;&gt;ROW())*OFFSET(L$2,0,0,COUNTA('Mii List'!A$2:A$200),1))/L197))</f>
        <v/>
      </c>
      <c r="P197" s="46" t="str">
        <f t="shared" si="27"/>
        <v/>
      </c>
    </row>
    <row r="198" spans="1:16" x14ac:dyDescent="0.35">
      <c r="A198" s="46" t="str" cm="1">
        <f t="array" ref="A198">IF(ROW()-1&gt;COUNTA('Mii List'!A$2:A$200),"",INDEX('Mii List'!A$2:A$200,ROW()-1))</f>
        <v/>
      </c>
      <c r="B198" s="46" t="str">
        <f>IF(A198="","",INDEX('Mii List'!B$2:B$200,MATCH(A198,'Mii List'!A$2:A$200,0)))</f>
        <v/>
      </c>
      <c r="C198" s="46" t="str">
        <f>IF(A198="","",INDEX('Mii List'!C$2:C$200,MATCH(A198,'Mii List'!A$2:A$200,0)))</f>
        <v/>
      </c>
      <c r="D198" s="46" t="str">
        <f>IF(A198="","",INDEX('Mii List'!D$2:D$200,MATCH(A198,'Mii List'!A$2:A$200,0)))</f>
        <v/>
      </c>
      <c r="E198" s="46" t="str">
        <f>IF(A198="","",INDEX('Mii List'!E$2:E$200,MATCH(A198,'Mii List'!A$2:A$200,0)))</f>
        <v/>
      </c>
      <c r="F198" s="46">
        <f t="shared" si="21"/>
        <v>0</v>
      </c>
      <c r="G198" s="46">
        <f t="shared" si="22"/>
        <v>0</v>
      </c>
      <c r="H198" s="46">
        <f t="shared" si="23"/>
        <v>0</v>
      </c>
      <c r="I198" s="46">
        <f t="shared" si="24"/>
        <v>0</v>
      </c>
      <c r="J198" s="46">
        <f t="shared" si="25"/>
        <v>0</v>
      </c>
      <c r="K198" s="46">
        <f t="shared" si="26"/>
        <v>0</v>
      </c>
      <c r="L198" s="46" cm="1">
        <f t="array" ref="L198">IF(A198="",0,SUMPRODUCT((A$2:A$201&lt;&gt;"")*((F$2:F$201*I198+G$2:G$201*J198+H$2:H$201*K198)&gt;0)*((F198*I$2:I$201+G198*J$2:J$201+H198*K$2:K$201)&gt;0))-IF(F198*I198+G198*J198+H198*K198&gt;0,1,0))</f>
        <v>0</v>
      </c>
      <c r="M198" s="46" t="str" cm="1">
        <f t="array" ref="M198">IF(A198="","",SUMPRODUCT((A$2:A$201&lt;&gt;"")*(L$2:L$201&lt;L198))+SUMPRODUCT((A$2:A$201&lt;&gt;"")*(L$2:L$201=L198)*(A$2:A$201&lt;A198))+1)</f>
        <v/>
      </c>
      <c r="N198" s="46" t="str" cm="1">
        <f t="array" aca="1" ref="N198" ca="1">IF(A198="","",SUMPRODUCT(((OFFSET(F$2,0,0,COUNTA('Mii List'!A$2:A$200),1)*I198+OFFSET(G$2,0,0,COUNTA('Mii List'!A$2:A$200),1)*J198+OFFSET(H$2,0,0,COUNTA('Mii List'!A$2:A$200),1)*K198)&gt;0)*((F198*OFFSET(I$2,0,0,COUNTA('Mii List'!A$2:A$200),1)+G198*OFFSET(J$2,0,0,COUNTA('Mii List'!A$2:A$200),1)+H198*OFFSET(K$2,0,0,COUNTA('Mii List'!A$2:A$200),1))&gt;0)*(ROW(OFFSET($A$2,0,0,COUNTA('Mii List'!A$2:A$200),1))&lt;&gt;ROW())*IF(OFFSET(L$2,0,0,COUNTA('Mii List'!A$2:A$200),1)&gt;0,1/OFFSET(L$2,0,0,COUNTA('Mii List'!A$2:A$200),1),0)))</f>
        <v/>
      </c>
      <c r="O198" s="46" t="str" cm="1">
        <f t="array" aca="1" ref="O198" ca="1">IF(A198="","",IF(L198=0,0,SUMPRODUCT(((OFFSET(F$2,0,0,COUNTA('Mii List'!A$2:A$200),1)*I198+OFFSET(G$2,0,0,COUNTA('Mii List'!A$2:A$200),1)*J198+OFFSET(H$2,0,0,COUNTA('Mii List'!A$2:A$200),1)*K198)&gt;0)*((F198*OFFSET(I$2,0,0,COUNTA('Mii List'!A$2:A$200),1)+G198*OFFSET(J$2,0,0,COUNTA('Mii List'!A$2:A$200),1)+H198*OFFSET(K$2,0,0,COUNTA('Mii List'!A$2:A$200),1))&gt;0)*(ROW(OFFSET($A$2,0,0,COUNTA('Mii List'!A$2:A$200),1))&lt;&gt;ROW())*OFFSET(L$2,0,0,COUNTA('Mii List'!A$2:A$200),1))/L198))</f>
        <v/>
      </c>
      <c r="P198" s="46" t="str">
        <f t="shared" si="27"/>
        <v/>
      </c>
    </row>
    <row r="199" spans="1:16" x14ac:dyDescent="0.35">
      <c r="A199" s="46" t="str" cm="1">
        <f t="array" ref="A199">IF(ROW()-1&gt;COUNTA('Mii List'!A$2:A$200),"",INDEX('Mii List'!A$2:A$200,ROW()-1))</f>
        <v/>
      </c>
      <c r="B199" s="46" t="str">
        <f>IF(A199="","",INDEX('Mii List'!B$2:B$200,MATCH(A199,'Mii List'!A$2:A$200,0)))</f>
        <v/>
      </c>
      <c r="C199" s="46" t="str">
        <f>IF(A199="","",INDEX('Mii List'!C$2:C$200,MATCH(A199,'Mii List'!A$2:A$200,0)))</f>
        <v/>
      </c>
      <c r="D199" s="46" t="str">
        <f>IF(A199="","",INDEX('Mii List'!D$2:D$200,MATCH(A199,'Mii List'!A$2:A$200,0)))</f>
        <v/>
      </c>
      <c r="E199" s="46" t="str">
        <f>IF(A199="","",INDEX('Mii List'!E$2:E$200,MATCH(A199,'Mii List'!A$2:A$200,0)))</f>
        <v/>
      </c>
      <c r="F199" s="46">
        <f t="shared" si="21"/>
        <v>0</v>
      </c>
      <c r="G199" s="46">
        <f t="shared" si="22"/>
        <v>0</v>
      </c>
      <c r="H199" s="46">
        <f t="shared" si="23"/>
        <v>0</v>
      </c>
      <c r="I199" s="46">
        <f t="shared" si="24"/>
        <v>0</v>
      </c>
      <c r="J199" s="46">
        <f t="shared" si="25"/>
        <v>0</v>
      </c>
      <c r="K199" s="46">
        <f t="shared" si="26"/>
        <v>0</v>
      </c>
      <c r="L199" s="46" cm="1">
        <f t="array" ref="L199">IF(A199="",0,SUMPRODUCT((A$2:A$201&lt;&gt;"")*((F$2:F$201*I199+G$2:G$201*J199+H$2:H$201*K199)&gt;0)*((F199*I$2:I$201+G199*J$2:J$201+H199*K$2:K$201)&gt;0))-IF(F199*I199+G199*J199+H199*K199&gt;0,1,0))</f>
        <v>0</v>
      </c>
      <c r="M199" s="46" t="str" cm="1">
        <f t="array" ref="M199">IF(A199="","",SUMPRODUCT((A$2:A$201&lt;&gt;"")*(L$2:L$201&lt;L199))+SUMPRODUCT((A$2:A$201&lt;&gt;"")*(L$2:L$201=L199)*(A$2:A$201&lt;A199))+1)</f>
        <v/>
      </c>
      <c r="N199" s="46" t="str" cm="1">
        <f t="array" aca="1" ref="N199" ca="1">IF(A199="","",SUMPRODUCT(((OFFSET(F$2,0,0,COUNTA('Mii List'!A$2:A$200),1)*I199+OFFSET(G$2,0,0,COUNTA('Mii List'!A$2:A$200),1)*J199+OFFSET(H$2,0,0,COUNTA('Mii List'!A$2:A$200),1)*K199)&gt;0)*((F199*OFFSET(I$2,0,0,COUNTA('Mii List'!A$2:A$200),1)+G199*OFFSET(J$2,0,0,COUNTA('Mii List'!A$2:A$200),1)+H199*OFFSET(K$2,0,0,COUNTA('Mii List'!A$2:A$200),1))&gt;0)*(ROW(OFFSET($A$2,0,0,COUNTA('Mii List'!A$2:A$200),1))&lt;&gt;ROW())*IF(OFFSET(L$2,0,0,COUNTA('Mii List'!A$2:A$200),1)&gt;0,1/OFFSET(L$2,0,0,COUNTA('Mii List'!A$2:A$200),1),0)))</f>
        <v/>
      </c>
      <c r="O199" s="46" t="str" cm="1">
        <f t="array" aca="1" ref="O199" ca="1">IF(A199="","",IF(L199=0,0,SUMPRODUCT(((OFFSET(F$2,0,0,COUNTA('Mii List'!A$2:A$200),1)*I199+OFFSET(G$2,0,0,COUNTA('Mii List'!A$2:A$200),1)*J199+OFFSET(H$2,0,0,COUNTA('Mii List'!A$2:A$200),1)*K199)&gt;0)*((F199*OFFSET(I$2,0,0,COUNTA('Mii List'!A$2:A$200),1)+G199*OFFSET(J$2,0,0,COUNTA('Mii List'!A$2:A$200),1)+H199*OFFSET(K$2,0,0,COUNTA('Mii List'!A$2:A$200),1))&gt;0)*(ROW(OFFSET($A$2,0,0,COUNTA('Mii List'!A$2:A$200),1))&lt;&gt;ROW())*OFFSET(L$2,0,0,COUNTA('Mii List'!A$2:A$200),1))/L199))</f>
        <v/>
      </c>
      <c r="P199" s="46" t="str">
        <f t="shared" si="27"/>
        <v/>
      </c>
    </row>
    <row r="200" spans="1:16" x14ac:dyDescent="0.35">
      <c r="A200" s="46" t="str" cm="1">
        <f t="array" ref="A200">IF(ROW()-1&gt;COUNTA('Mii List'!A$2:A$200),"",INDEX('Mii List'!A$2:A$200,ROW()-1))</f>
        <v/>
      </c>
      <c r="B200" s="46" t="str">
        <f>IF(A200="","",INDEX('Mii List'!B$2:B$200,MATCH(A200,'Mii List'!A$2:A$200,0)))</f>
        <v/>
      </c>
      <c r="C200" s="46" t="str">
        <f>IF(A200="","",INDEX('Mii List'!C$2:C$200,MATCH(A200,'Mii List'!A$2:A$200,0)))</f>
        <v/>
      </c>
      <c r="D200" s="46" t="str">
        <f>IF(A200="","",INDEX('Mii List'!D$2:D$200,MATCH(A200,'Mii List'!A$2:A$200,0)))</f>
        <v/>
      </c>
      <c r="E200" s="46" t="str">
        <f>IF(A200="","",INDEX('Mii List'!E$2:E$200,MATCH(A200,'Mii List'!A$2:A$200,0)))</f>
        <v/>
      </c>
      <c r="F200" s="46">
        <f t="shared" si="21"/>
        <v>0</v>
      </c>
      <c r="G200" s="46">
        <f t="shared" si="22"/>
        <v>0</v>
      </c>
      <c r="H200" s="46">
        <f t="shared" si="23"/>
        <v>0</v>
      </c>
      <c r="I200" s="46">
        <f t="shared" si="24"/>
        <v>0</v>
      </c>
      <c r="J200" s="46">
        <f t="shared" si="25"/>
        <v>0</v>
      </c>
      <c r="K200" s="46">
        <f t="shared" si="26"/>
        <v>0</v>
      </c>
      <c r="L200" s="46" cm="1">
        <f t="array" ref="L200">IF(A200="",0,SUMPRODUCT((A$2:A$201&lt;&gt;"")*((F$2:F$201*I200+G$2:G$201*J200+H$2:H$201*K200)&gt;0)*((F200*I$2:I$201+G200*J$2:J$201+H200*K$2:K$201)&gt;0))-IF(F200*I200+G200*J200+H200*K200&gt;0,1,0))</f>
        <v>0</v>
      </c>
      <c r="M200" s="46" t="str" cm="1">
        <f t="array" ref="M200">IF(A200="","",SUMPRODUCT((A$2:A$201&lt;&gt;"")*(L$2:L$201&lt;L200))+SUMPRODUCT((A$2:A$201&lt;&gt;"")*(L$2:L$201=L200)*(A$2:A$201&lt;A200))+1)</f>
        <v/>
      </c>
      <c r="N200" s="46" t="str" cm="1">
        <f t="array" aca="1" ref="N200" ca="1">IF(A200="","",SUMPRODUCT(((OFFSET(F$2,0,0,COUNTA('Mii List'!A$2:A$200),1)*I200+OFFSET(G$2,0,0,COUNTA('Mii List'!A$2:A$200),1)*J200+OFFSET(H$2,0,0,COUNTA('Mii List'!A$2:A$200),1)*K200)&gt;0)*((F200*OFFSET(I$2,0,0,COUNTA('Mii List'!A$2:A$200),1)+G200*OFFSET(J$2,0,0,COUNTA('Mii List'!A$2:A$200),1)+H200*OFFSET(K$2,0,0,COUNTA('Mii List'!A$2:A$200),1))&gt;0)*(ROW(OFFSET($A$2,0,0,COUNTA('Mii List'!A$2:A$200),1))&lt;&gt;ROW())*IF(OFFSET(L$2,0,0,COUNTA('Mii List'!A$2:A$200),1)&gt;0,1/OFFSET(L$2,0,0,COUNTA('Mii List'!A$2:A$200),1),0)))</f>
        <v/>
      </c>
      <c r="O200" s="46" t="str" cm="1">
        <f t="array" aca="1" ref="O200" ca="1">IF(A200="","",IF(L200=0,0,SUMPRODUCT(((OFFSET(F$2,0,0,COUNTA('Mii List'!A$2:A$200),1)*I200+OFFSET(G$2,0,0,COUNTA('Mii List'!A$2:A$200),1)*J200+OFFSET(H$2,0,0,COUNTA('Mii List'!A$2:A$200),1)*K200)&gt;0)*((F200*OFFSET(I$2,0,0,COUNTA('Mii List'!A$2:A$200),1)+G200*OFFSET(J$2,0,0,COUNTA('Mii List'!A$2:A$200),1)+H200*OFFSET(K$2,0,0,COUNTA('Mii List'!A$2:A$200),1))&gt;0)*(ROW(OFFSET($A$2,0,0,COUNTA('Mii List'!A$2:A$200),1))&lt;&gt;ROW())*OFFSET(L$2,0,0,COUNTA('Mii List'!A$2:A$200),1))/L200))</f>
        <v/>
      </c>
      <c r="P200" s="46" t="str">
        <f t="shared" si="27"/>
        <v/>
      </c>
    </row>
    <row r="201" spans="1:16" x14ac:dyDescent="0.35">
      <c r="A201" s="46" t="str" cm="1">
        <f t="array" ref="A201">IF(ROW()-1&gt;COUNTA('Mii List'!A$2:A$200),"",INDEX('Mii List'!A$2:A$200,ROW()-1))</f>
        <v/>
      </c>
      <c r="B201" s="46" t="str">
        <f>IF(A201="","",INDEX('Mii List'!B$2:B$200,MATCH(A201,'Mii List'!A$2:A$200,0)))</f>
        <v/>
      </c>
      <c r="C201" s="46" t="str">
        <f>IF(A201="","",INDEX('Mii List'!C$2:C$200,MATCH(A201,'Mii List'!A$2:A$200,0)))</f>
        <v/>
      </c>
      <c r="D201" s="46" t="str">
        <f>IF(A201="","",INDEX('Mii List'!D$2:D$200,MATCH(A201,'Mii List'!A$2:A$200,0)))</f>
        <v/>
      </c>
      <c r="E201" s="46" t="str">
        <f>IF(A201="","",INDEX('Mii List'!E$2:E$200,MATCH(A201,'Mii List'!A$2:A$200,0)))</f>
        <v/>
      </c>
      <c r="F201" s="46">
        <f t="shared" si="21"/>
        <v>0</v>
      </c>
      <c r="G201" s="46">
        <f t="shared" si="22"/>
        <v>0</v>
      </c>
      <c r="H201" s="46">
        <f t="shared" si="23"/>
        <v>0</v>
      </c>
      <c r="I201" s="46">
        <f t="shared" si="24"/>
        <v>0</v>
      </c>
      <c r="J201" s="46">
        <f t="shared" si="25"/>
        <v>0</v>
      </c>
      <c r="K201" s="46">
        <f t="shared" si="26"/>
        <v>0</v>
      </c>
      <c r="L201" s="46" cm="1">
        <f t="array" ref="L201">IF(A201="",0,SUMPRODUCT((A$2:A$201&lt;&gt;"")*((F$2:F$201*I201+G$2:G$201*J201+H$2:H$201*K201)&gt;0)*((F201*I$2:I$201+G201*J$2:J$201+H201*K$2:K$201)&gt;0))-IF(F201*I201+G201*J201+H201*K201&gt;0,1,0))</f>
        <v>0</v>
      </c>
      <c r="M201" s="46" t="str" cm="1">
        <f t="array" ref="M201">IF(A201="","",SUMPRODUCT((A$2:A$201&lt;&gt;"")*(L$2:L$201&lt;L201))+SUMPRODUCT((A$2:A$201&lt;&gt;"")*(L$2:L$201=L201)*(A$2:A$201&lt;A201))+1)</f>
        <v/>
      </c>
      <c r="N201" s="46" t="str" cm="1">
        <f t="array" aca="1" ref="N201" ca="1">IF(A201="","",SUMPRODUCT(((OFFSET(F$2,0,0,COUNTA('Mii List'!A$2:A$200),1)*I201+OFFSET(G$2,0,0,COUNTA('Mii List'!A$2:A$200),1)*J201+OFFSET(H$2,0,0,COUNTA('Mii List'!A$2:A$200),1)*K201)&gt;0)*((F201*OFFSET(I$2,0,0,COUNTA('Mii List'!A$2:A$200),1)+G201*OFFSET(J$2,0,0,COUNTA('Mii List'!A$2:A$200),1)+H201*OFFSET(K$2,0,0,COUNTA('Mii List'!A$2:A$200),1))&gt;0)*(ROW(OFFSET($A$2,0,0,COUNTA('Mii List'!A$2:A$200),1))&lt;&gt;ROW())*IF(OFFSET(L$2,0,0,COUNTA('Mii List'!A$2:A$200),1)&gt;0,1/OFFSET(L$2,0,0,COUNTA('Mii List'!A$2:A$200),1),0)))</f>
        <v/>
      </c>
      <c r="O201" s="46" t="str" cm="1">
        <f t="array" aca="1" ref="O201" ca="1">IF(A201="","",IF(L201=0,0,SUMPRODUCT(((OFFSET(F$2,0,0,COUNTA('Mii List'!A$2:A$200),1)*I201+OFFSET(G$2,0,0,COUNTA('Mii List'!A$2:A$200),1)*J201+OFFSET(H$2,0,0,COUNTA('Mii List'!A$2:A$200),1)*K201)&gt;0)*((F201*OFFSET(I$2,0,0,COUNTA('Mii List'!A$2:A$200),1)+G201*OFFSET(J$2,0,0,COUNTA('Mii List'!A$2:A$200),1)+H201*OFFSET(K$2,0,0,COUNTA('Mii List'!A$2:A$200),1))&gt;0)*(ROW(OFFSET($A$2,0,0,COUNTA('Mii List'!A$2:A$200),1))&lt;&gt;ROW())*OFFSET(L$2,0,0,COUNTA('Mii List'!A$2:A$200),1))/L201))</f>
        <v/>
      </c>
      <c r="P201" s="46" t="str">
        <f t="shared" si="27"/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1069-FA0A-410B-B501-71BD27F8849B}">
  <dimension ref="A1:A340"/>
  <sheetViews>
    <sheetView workbookViewId="0">
      <selection activeCell="A8" sqref="A8:XFD8"/>
    </sheetView>
  </sheetViews>
  <sheetFormatPr defaultRowHeight="14.5" x14ac:dyDescent="0.35"/>
  <cols>
    <col min="1" max="16384" width="8.7265625" style="48"/>
  </cols>
  <sheetData>
    <row r="1" spans="1:1" s="66" customFormat="1" x14ac:dyDescent="0.35">
      <c r="A1" s="66" t="s">
        <v>378</v>
      </c>
    </row>
    <row r="2" spans="1:1" s="66" customFormat="1" x14ac:dyDescent="0.35"/>
    <row r="3" spans="1:1" s="65" customFormat="1" ht="14.5" customHeight="1" x14ac:dyDescent="0.35">
      <c r="A3" s="65" t="s">
        <v>98</v>
      </c>
    </row>
    <row r="4" spans="1:1" s="65" customFormat="1" ht="14.5" customHeight="1" x14ac:dyDescent="0.35">
      <c r="A4" s="65" t="s">
        <v>99</v>
      </c>
    </row>
    <row r="5" spans="1:1" s="64" customFormat="1" x14ac:dyDescent="0.35"/>
    <row r="6" spans="1:1" s="65" customFormat="1" ht="14.5" customHeight="1" x14ac:dyDescent="0.35">
      <c r="A6" s="65" t="s">
        <v>100</v>
      </c>
    </row>
    <row r="7" spans="1:1" s="65" customFormat="1" ht="14.5" customHeight="1" x14ac:dyDescent="0.35">
      <c r="A7" s="65" t="s">
        <v>101</v>
      </c>
    </row>
    <row r="8" spans="1:1" s="65" customFormat="1" ht="14.5" customHeight="1" x14ac:dyDescent="0.35">
      <c r="A8" s="65" t="s">
        <v>102</v>
      </c>
    </row>
    <row r="9" spans="1:1" s="65" customFormat="1" ht="14.5" customHeight="1" x14ac:dyDescent="0.35">
      <c r="A9" s="65" t="s">
        <v>103</v>
      </c>
    </row>
    <row r="10" spans="1:1" s="64" customFormat="1" x14ac:dyDescent="0.35"/>
    <row r="11" spans="1:1" s="65" customFormat="1" ht="14.5" customHeight="1" x14ac:dyDescent="0.35">
      <c r="A11" s="65" t="s">
        <v>104</v>
      </c>
    </row>
    <row r="12" spans="1:1" s="64" customFormat="1" x14ac:dyDescent="0.35"/>
    <row r="13" spans="1:1" s="65" customFormat="1" ht="14.5" customHeight="1" x14ac:dyDescent="0.35">
      <c r="A13" s="65" t="s">
        <v>105</v>
      </c>
    </row>
    <row r="14" spans="1:1" s="65" customFormat="1" ht="14.5" customHeight="1" x14ac:dyDescent="0.35">
      <c r="A14" s="65" t="s">
        <v>106</v>
      </c>
    </row>
    <row r="15" spans="1:1" s="65" customFormat="1" ht="14.5" customHeight="1" x14ac:dyDescent="0.35">
      <c r="A15" s="65" t="s">
        <v>107</v>
      </c>
    </row>
    <row r="16" spans="1:1" s="65" customFormat="1" ht="14.5" customHeight="1" x14ac:dyDescent="0.35">
      <c r="A16" s="65" t="s">
        <v>108</v>
      </c>
    </row>
    <row r="17" spans="1:1" s="65" customFormat="1" ht="14.5" customHeight="1" x14ac:dyDescent="0.35">
      <c r="A17" s="65" t="s">
        <v>109</v>
      </c>
    </row>
    <row r="18" spans="1:1" s="65" customFormat="1" ht="14.5" customHeight="1" x14ac:dyDescent="0.35">
      <c r="A18" s="65" t="s">
        <v>110</v>
      </c>
    </row>
    <row r="19" spans="1:1" s="65" customFormat="1" ht="14.5" customHeight="1" x14ac:dyDescent="0.35">
      <c r="A19" s="65" t="s">
        <v>111</v>
      </c>
    </row>
    <row r="20" spans="1:1" s="65" customFormat="1" ht="14.5" customHeight="1" x14ac:dyDescent="0.35">
      <c r="A20" s="65" t="s">
        <v>112</v>
      </c>
    </row>
    <row r="21" spans="1:1" s="65" customFormat="1" ht="14.5" customHeight="1" x14ac:dyDescent="0.35">
      <c r="A21" s="65" t="s">
        <v>113</v>
      </c>
    </row>
    <row r="22" spans="1:1" s="64" customFormat="1" x14ac:dyDescent="0.35"/>
    <row r="23" spans="1:1" s="65" customFormat="1" ht="14.5" customHeight="1" x14ac:dyDescent="0.35">
      <c r="A23" s="65" t="s">
        <v>114</v>
      </c>
    </row>
    <row r="24" spans="1:1" s="65" customFormat="1" ht="14.5" customHeight="1" x14ac:dyDescent="0.35">
      <c r="A24" s="65" t="s">
        <v>115</v>
      </c>
    </row>
    <row r="25" spans="1:1" s="65" customFormat="1" ht="14.5" customHeight="1" x14ac:dyDescent="0.35">
      <c r="A25" s="65" t="s">
        <v>116</v>
      </c>
    </row>
    <row r="26" spans="1:1" s="65" customFormat="1" ht="14.5" customHeight="1" x14ac:dyDescent="0.35">
      <c r="A26" s="65" t="s">
        <v>117</v>
      </c>
    </row>
    <row r="27" spans="1:1" s="65" customFormat="1" ht="14.5" customHeight="1" x14ac:dyDescent="0.35">
      <c r="A27" s="65" t="s">
        <v>118</v>
      </c>
    </row>
    <row r="28" spans="1:1" s="65" customFormat="1" ht="14.5" customHeight="1" x14ac:dyDescent="0.35">
      <c r="A28" s="65" t="s">
        <v>119</v>
      </c>
    </row>
    <row r="29" spans="1:1" s="64" customFormat="1" x14ac:dyDescent="0.35"/>
    <row r="30" spans="1:1" s="65" customFormat="1" ht="14.5" customHeight="1" x14ac:dyDescent="0.35">
      <c r="A30" s="65" t="s">
        <v>120</v>
      </c>
    </row>
    <row r="31" spans="1:1" s="65" customFormat="1" ht="14.5" customHeight="1" x14ac:dyDescent="0.35">
      <c r="A31" s="65" t="s">
        <v>121</v>
      </c>
    </row>
    <row r="32" spans="1:1" s="65" customFormat="1" ht="14.5" customHeight="1" x14ac:dyDescent="0.35">
      <c r="A32" s="65" t="s">
        <v>122</v>
      </c>
    </row>
    <row r="33" spans="1:1" s="65" customFormat="1" ht="14.5" customHeight="1" x14ac:dyDescent="0.35">
      <c r="A33" s="65" t="s">
        <v>123</v>
      </c>
    </row>
    <row r="34" spans="1:1" s="64" customFormat="1" x14ac:dyDescent="0.35"/>
    <row r="35" spans="1:1" s="65" customFormat="1" ht="14.5" customHeight="1" x14ac:dyDescent="0.35">
      <c r="A35" s="65" t="s">
        <v>124</v>
      </c>
    </row>
    <row r="36" spans="1:1" s="65" customFormat="1" ht="14.5" customHeight="1" x14ac:dyDescent="0.35">
      <c r="A36" s="65" t="s">
        <v>125</v>
      </c>
    </row>
    <row r="37" spans="1:1" s="65" customFormat="1" ht="14.5" customHeight="1" x14ac:dyDescent="0.35">
      <c r="A37" s="65" t="s">
        <v>126</v>
      </c>
    </row>
    <row r="38" spans="1:1" s="65" customFormat="1" ht="14.5" customHeight="1" x14ac:dyDescent="0.35">
      <c r="A38" s="65" t="s">
        <v>127</v>
      </c>
    </row>
    <row r="39" spans="1:1" s="65" customFormat="1" ht="14.5" customHeight="1" x14ac:dyDescent="0.35">
      <c r="A39" s="65" t="s">
        <v>128</v>
      </c>
    </row>
    <row r="40" spans="1:1" s="64" customFormat="1" x14ac:dyDescent="0.35"/>
    <row r="41" spans="1:1" s="65" customFormat="1" ht="14.5" customHeight="1" x14ac:dyDescent="0.35">
      <c r="A41" s="65" t="s">
        <v>129</v>
      </c>
    </row>
    <row r="42" spans="1:1" s="65" customFormat="1" ht="14.5" customHeight="1" x14ac:dyDescent="0.35">
      <c r="A42" s="65" t="s">
        <v>130</v>
      </c>
    </row>
    <row r="43" spans="1:1" s="65" customFormat="1" ht="14.5" customHeight="1" x14ac:dyDescent="0.35">
      <c r="A43" s="65" t="s">
        <v>131</v>
      </c>
    </row>
    <row r="44" spans="1:1" s="64" customFormat="1" x14ac:dyDescent="0.35"/>
    <row r="45" spans="1:1" s="65" customFormat="1" ht="14.5" customHeight="1" x14ac:dyDescent="0.35">
      <c r="A45" s="65" t="s">
        <v>132</v>
      </c>
    </row>
    <row r="46" spans="1:1" s="65" customFormat="1" ht="14.5" customHeight="1" x14ac:dyDescent="0.35">
      <c r="A46" s="65" t="s">
        <v>133</v>
      </c>
    </row>
    <row r="47" spans="1:1" s="65" customFormat="1" ht="14.5" customHeight="1" x14ac:dyDescent="0.35">
      <c r="A47" s="65" t="s">
        <v>134</v>
      </c>
    </row>
    <row r="48" spans="1:1" s="65" customFormat="1" ht="14.5" customHeight="1" x14ac:dyDescent="0.35">
      <c r="A48" s="65" t="s">
        <v>135</v>
      </c>
    </row>
    <row r="49" spans="1:1" s="65" customFormat="1" ht="14.5" customHeight="1" x14ac:dyDescent="0.35">
      <c r="A49" s="65" t="s">
        <v>136</v>
      </c>
    </row>
    <row r="50" spans="1:1" s="65" customFormat="1" ht="14.5" customHeight="1" x14ac:dyDescent="0.35">
      <c r="A50" s="65" t="s">
        <v>137</v>
      </c>
    </row>
    <row r="51" spans="1:1" s="64" customFormat="1" x14ac:dyDescent="0.35"/>
    <row r="52" spans="1:1" s="65" customFormat="1" ht="14.5" customHeight="1" x14ac:dyDescent="0.35">
      <c r="A52" s="65" t="s">
        <v>138</v>
      </c>
    </row>
    <row r="53" spans="1:1" s="65" customFormat="1" ht="14.5" customHeight="1" x14ac:dyDescent="0.35">
      <c r="A53" s="65" t="s">
        <v>139</v>
      </c>
    </row>
    <row r="54" spans="1:1" s="65" customFormat="1" ht="14.5" customHeight="1" x14ac:dyDescent="0.35">
      <c r="A54" s="65" t="s">
        <v>140</v>
      </c>
    </row>
    <row r="55" spans="1:1" s="65" customFormat="1" ht="14.5" customHeight="1" x14ac:dyDescent="0.35">
      <c r="A55" s="65" t="s">
        <v>141</v>
      </c>
    </row>
    <row r="56" spans="1:1" s="65" customFormat="1" ht="14.5" customHeight="1" x14ac:dyDescent="0.35">
      <c r="A56" s="65" t="s">
        <v>142</v>
      </c>
    </row>
    <row r="57" spans="1:1" s="64" customFormat="1" x14ac:dyDescent="0.35"/>
    <row r="58" spans="1:1" s="65" customFormat="1" ht="14.5" customHeight="1" x14ac:dyDescent="0.35">
      <c r="A58" s="65" t="s">
        <v>143</v>
      </c>
    </row>
    <row r="59" spans="1:1" s="65" customFormat="1" ht="14.5" customHeight="1" x14ac:dyDescent="0.35">
      <c r="A59" s="65" t="s">
        <v>144</v>
      </c>
    </row>
    <row r="60" spans="1:1" s="64" customFormat="1" x14ac:dyDescent="0.35"/>
    <row r="61" spans="1:1" s="65" customFormat="1" ht="14.5" customHeight="1" x14ac:dyDescent="0.35">
      <c r="A61" s="65" t="s">
        <v>98</v>
      </c>
    </row>
    <row r="62" spans="1:1" s="65" customFormat="1" ht="14.5" customHeight="1" x14ac:dyDescent="0.35">
      <c r="A62" s="65" t="s">
        <v>145</v>
      </c>
    </row>
    <row r="63" spans="1:1" s="64" customFormat="1" x14ac:dyDescent="0.35"/>
    <row r="64" spans="1:1" s="65" customFormat="1" ht="14.5" customHeight="1" x14ac:dyDescent="0.35">
      <c r="A64" s="65" t="s">
        <v>146</v>
      </c>
    </row>
    <row r="65" spans="1:1" s="65" customFormat="1" ht="14.5" customHeight="1" x14ac:dyDescent="0.35">
      <c r="A65" s="65" t="s">
        <v>147</v>
      </c>
    </row>
    <row r="66" spans="1:1" s="65" customFormat="1" ht="14.5" customHeight="1" x14ac:dyDescent="0.35">
      <c r="A66" s="65" t="s">
        <v>148</v>
      </c>
    </row>
    <row r="67" spans="1:1" s="65" customFormat="1" ht="14.5" customHeight="1" x14ac:dyDescent="0.35">
      <c r="A67" s="65" t="s">
        <v>149</v>
      </c>
    </row>
    <row r="68" spans="1:1" s="65" customFormat="1" ht="14.5" customHeight="1" x14ac:dyDescent="0.35">
      <c r="A68" s="65" t="s">
        <v>150</v>
      </c>
    </row>
    <row r="69" spans="1:1" s="65" customFormat="1" ht="14.5" customHeight="1" x14ac:dyDescent="0.35">
      <c r="A69" s="65" t="s">
        <v>151</v>
      </c>
    </row>
    <row r="70" spans="1:1" s="65" customFormat="1" ht="14.5" customHeight="1" x14ac:dyDescent="0.35">
      <c r="A70" s="65" t="s">
        <v>152</v>
      </c>
    </row>
    <row r="71" spans="1:1" s="65" customFormat="1" ht="14.5" customHeight="1" x14ac:dyDescent="0.35">
      <c r="A71" s="65" t="s">
        <v>153</v>
      </c>
    </row>
    <row r="72" spans="1:1" s="65" customFormat="1" ht="14.5" customHeight="1" x14ac:dyDescent="0.35">
      <c r="A72" s="65" t="s">
        <v>154</v>
      </c>
    </row>
    <row r="73" spans="1:1" s="64" customFormat="1" x14ac:dyDescent="0.35"/>
    <row r="74" spans="1:1" s="65" customFormat="1" ht="14.5" customHeight="1" x14ac:dyDescent="0.35">
      <c r="A74" s="65" t="s">
        <v>155</v>
      </c>
    </row>
    <row r="75" spans="1:1" s="65" customFormat="1" ht="14.5" customHeight="1" x14ac:dyDescent="0.35">
      <c r="A75" s="65" t="s">
        <v>156</v>
      </c>
    </row>
    <row r="76" spans="1:1" s="65" customFormat="1" ht="14.5" customHeight="1" x14ac:dyDescent="0.35">
      <c r="A76" s="65" t="s">
        <v>157</v>
      </c>
    </row>
    <row r="77" spans="1:1" s="65" customFormat="1" ht="14.5" customHeight="1" x14ac:dyDescent="0.35">
      <c r="A77" s="65" t="s">
        <v>158</v>
      </c>
    </row>
    <row r="78" spans="1:1" s="65" customFormat="1" ht="14.5" customHeight="1" x14ac:dyDescent="0.35">
      <c r="A78" s="65" t="s">
        <v>159</v>
      </c>
    </row>
    <row r="79" spans="1:1" s="65" customFormat="1" ht="14.5" customHeight="1" x14ac:dyDescent="0.35">
      <c r="A79" s="65" t="s">
        <v>160</v>
      </c>
    </row>
    <row r="80" spans="1:1" s="64" customFormat="1" x14ac:dyDescent="0.35"/>
    <row r="81" spans="1:1" s="65" customFormat="1" ht="14.5" customHeight="1" x14ac:dyDescent="0.35">
      <c r="A81" s="65" t="s">
        <v>161</v>
      </c>
    </row>
    <row r="82" spans="1:1" s="65" customFormat="1" ht="14.5" customHeight="1" x14ac:dyDescent="0.35">
      <c r="A82" s="65" t="s">
        <v>162</v>
      </c>
    </row>
    <row r="83" spans="1:1" s="65" customFormat="1" ht="14.5" customHeight="1" x14ac:dyDescent="0.35">
      <c r="A83" s="65" t="s">
        <v>163</v>
      </c>
    </row>
    <row r="84" spans="1:1" s="65" customFormat="1" ht="14.5" customHeight="1" x14ac:dyDescent="0.35">
      <c r="A84" s="65" t="s">
        <v>164</v>
      </c>
    </row>
    <row r="85" spans="1:1" s="65" customFormat="1" ht="14.5" customHeight="1" x14ac:dyDescent="0.35">
      <c r="A85" s="65" t="s">
        <v>165</v>
      </c>
    </row>
    <row r="86" spans="1:1" s="65" customFormat="1" ht="14.5" customHeight="1" x14ac:dyDescent="0.35">
      <c r="A86" s="65" t="s">
        <v>166</v>
      </c>
    </row>
    <row r="87" spans="1:1" s="65" customFormat="1" ht="14.5" customHeight="1" x14ac:dyDescent="0.35">
      <c r="A87" s="65" t="s">
        <v>167</v>
      </c>
    </row>
    <row r="88" spans="1:1" s="64" customFormat="1" x14ac:dyDescent="0.35"/>
    <row r="89" spans="1:1" s="65" customFormat="1" ht="14.5" customHeight="1" x14ac:dyDescent="0.35">
      <c r="A89" s="65" t="s">
        <v>168</v>
      </c>
    </row>
    <row r="90" spans="1:1" s="65" customFormat="1" ht="14.5" customHeight="1" x14ac:dyDescent="0.35">
      <c r="A90" s="65" t="s">
        <v>169</v>
      </c>
    </row>
    <row r="91" spans="1:1" s="64" customFormat="1" x14ac:dyDescent="0.35"/>
    <row r="92" spans="1:1" s="65" customFormat="1" ht="14.5" customHeight="1" x14ac:dyDescent="0.35">
      <c r="A92" s="65" t="s">
        <v>170</v>
      </c>
    </row>
    <row r="93" spans="1:1" s="65" customFormat="1" ht="14.5" customHeight="1" x14ac:dyDescent="0.35">
      <c r="A93" s="65" t="s">
        <v>171</v>
      </c>
    </row>
    <row r="94" spans="1:1" s="65" customFormat="1" ht="14.5" customHeight="1" x14ac:dyDescent="0.35">
      <c r="A94" s="65" t="s">
        <v>172</v>
      </c>
    </row>
    <row r="95" spans="1:1" s="65" customFormat="1" ht="14.5" customHeight="1" x14ac:dyDescent="0.35">
      <c r="A95" s="65" t="s">
        <v>173</v>
      </c>
    </row>
    <row r="96" spans="1:1" s="64" customFormat="1" x14ac:dyDescent="0.35"/>
    <row r="97" spans="1:1" s="65" customFormat="1" ht="14.5" customHeight="1" x14ac:dyDescent="0.35">
      <c r="A97" s="65" t="s">
        <v>174</v>
      </c>
    </row>
    <row r="98" spans="1:1" s="65" customFormat="1" ht="14.5" customHeight="1" x14ac:dyDescent="0.35">
      <c r="A98" s="65" t="s">
        <v>175</v>
      </c>
    </row>
    <row r="99" spans="1:1" s="64" customFormat="1" x14ac:dyDescent="0.35"/>
    <row r="100" spans="1:1" s="65" customFormat="1" ht="14.5" customHeight="1" x14ac:dyDescent="0.35">
      <c r="A100" s="65" t="s">
        <v>176</v>
      </c>
    </row>
    <row r="101" spans="1:1" s="65" customFormat="1" ht="14.5" customHeight="1" x14ac:dyDescent="0.35">
      <c r="A101" s="65" t="s">
        <v>177</v>
      </c>
    </row>
    <row r="102" spans="1:1" s="65" customFormat="1" ht="14.5" customHeight="1" x14ac:dyDescent="0.35">
      <c r="A102" s="65" t="s">
        <v>178</v>
      </c>
    </row>
    <row r="103" spans="1:1" s="65" customFormat="1" ht="14.5" customHeight="1" x14ac:dyDescent="0.35">
      <c r="A103" s="65" t="s">
        <v>179</v>
      </c>
    </row>
    <row r="104" spans="1:1" s="64" customFormat="1" x14ac:dyDescent="0.35"/>
    <row r="105" spans="1:1" s="65" customFormat="1" ht="14.5" customHeight="1" x14ac:dyDescent="0.35">
      <c r="A105" s="65" t="s">
        <v>180</v>
      </c>
    </row>
    <row r="106" spans="1:1" s="65" customFormat="1" ht="14.5" customHeight="1" x14ac:dyDescent="0.35">
      <c r="A106" s="65" t="s">
        <v>181</v>
      </c>
    </row>
    <row r="107" spans="1:1" s="65" customFormat="1" ht="14.5" customHeight="1" x14ac:dyDescent="0.35">
      <c r="A107" s="65" t="s">
        <v>182</v>
      </c>
    </row>
    <row r="108" spans="1:1" s="65" customFormat="1" ht="14.5" customHeight="1" x14ac:dyDescent="0.35">
      <c r="A108" s="65" t="s">
        <v>183</v>
      </c>
    </row>
    <row r="109" spans="1:1" s="65" customFormat="1" ht="14.5" customHeight="1" x14ac:dyDescent="0.35">
      <c r="A109" s="65" t="s">
        <v>184</v>
      </c>
    </row>
    <row r="110" spans="1:1" s="65" customFormat="1" ht="14.5" customHeight="1" x14ac:dyDescent="0.35">
      <c r="A110" s="65" t="s">
        <v>185</v>
      </c>
    </row>
    <row r="111" spans="1:1" s="65" customFormat="1" ht="14.5" customHeight="1" x14ac:dyDescent="0.35">
      <c r="A111" s="65" t="s">
        <v>186</v>
      </c>
    </row>
    <row r="112" spans="1:1" s="65" customFormat="1" ht="14.5" customHeight="1" x14ac:dyDescent="0.35">
      <c r="A112" s="65" t="s">
        <v>187</v>
      </c>
    </row>
    <row r="113" spans="1:1" s="65" customFormat="1" ht="14.5" customHeight="1" x14ac:dyDescent="0.35">
      <c r="A113" s="65" t="s">
        <v>188</v>
      </c>
    </row>
    <row r="114" spans="1:1" s="65" customFormat="1" ht="14.5" customHeight="1" x14ac:dyDescent="0.35">
      <c r="A114" s="65" t="s">
        <v>189</v>
      </c>
    </row>
    <row r="115" spans="1:1" s="64" customFormat="1" x14ac:dyDescent="0.35"/>
    <row r="116" spans="1:1" s="65" customFormat="1" ht="14.5" customHeight="1" x14ac:dyDescent="0.35">
      <c r="A116" s="65" t="s">
        <v>190</v>
      </c>
    </row>
    <row r="117" spans="1:1" s="65" customFormat="1" ht="14.5" customHeight="1" x14ac:dyDescent="0.35">
      <c r="A117" s="65" t="s">
        <v>191</v>
      </c>
    </row>
    <row r="118" spans="1:1" s="65" customFormat="1" ht="14.5" customHeight="1" x14ac:dyDescent="0.35">
      <c r="A118" s="65" t="s">
        <v>192</v>
      </c>
    </row>
    <row r="119" spans="1:1" s="65" customFormat="1" ht="14.5" customHeight="1" x14ac:dyDescent="0.35">
      <c r="A119" s="65" t="s">
        <v>193</v>
      </c>
    </row>
    <row r="120" spans="1:1" s="65" customFormat="1" ht="14.5" customHeight="1" x14ac:dyDescent="0.35">
      <c r="A120" s="65" t="s">
        <v>194</v>
      </c>
    </row>
    <row r="121" spans="1:1" s="65" customFormat="1" ht="14.5" customHeight="1" x14ac:dyDescent="0.35">
      <c r="A121" s="65" t="s">
        <v>195</v>
      </c>
    </row>
    <row r="122" spans="1:1" s="65" customFormat="1" ht="14.5" customHeight="1" x14ac:dyDescent="0.35">
      <c r="A122" s="65" t="s">
        <v>196</v>
      </c>
    </row>
    <row r="123" spans="1:1" s="65" customFormat="1" ht="14.5" customHeight="1" x14ac:dyDescent="0.35">
      <c r="A123" s="65" t="s">
        <v>197</v>
      </c>
    </row>
    <row r="124" spans="1:1" s="65" customFormat="1" ht="14.5" customHeight="1" x14ac:dyDescent="0.35">
      <c r="A124" s="65" t="s">
        <v>198</v>
      </c>
    </row>
    <row r="125" spans="1:1" s="64" customFormat="1" x14ac:dyDescent="0.35"/>
    <row r="126" spans="1:1" s="65" customFormat="1" ht="14.5" customHeight="1" x14ac:dyDescent="0.35">
      <c r="A126" s="65" t="s">
        <v>199</v>
      </c>
    </row>
    <row r="127" spans="1:1" s="65" customFormat="1" ht="14.5" customHeight="1" x14ac:dyDescent="0.35">
      <c r="A127" s="65" t="s">
        <v>200</v>
      </c>
    </row>
    <row r="128" spans="1:1" s="65" customFormat="1" ht="14.5" customHeight="1" x14ac:dyDescent="0.35">
      <c r="A128" s="65" t="s">
        <v>201</v>
      </c>
    </row>
    <row r="129" spans="1:1" s="65" customFormat="1" ht="14.5" customHeight="1" x14ac:dyDescent="0.35">
      <c r="A129" s="65" t="s">
        <v>202</v>
      </c>
    </row>
    <row r="130" spans="1:1" s="64" customFormat="1" x14ac:dyDescent="0.35"/>
    <row r="131" spans="1:1" s="65" customFormat="1" ht="14.5" customHeight="1" x14ac:dyDescent="0.35">
      <c r="A131" s="65" t="s">
        <v>203</v>
      </c>
    </row>
    <row r="132" spans="1:1" s="65" customFormat="1" ht="14.5" customHeight="1" x14ac:dyDescent="0.35">
      <c r="A132" s="65" t="s">
        <v>204</v>
      </c>
    </row>
    <row r="133" spans="1:1" s="65" customFormat="1" ht="14.5" customHeight="1" x14ac:dyDescent="0.35">
      <c r="A133" s="65" t="s">
        <v>205</v>
      </c>
    </row>
    <row r="134" spans="1:1" s="65" customFormat="1" ht="14.5" customHeight="1" x14ac:dyDescent="0.35">
      <c r="A134" s="65" t="s">
        <v>206</v>
      </c>
    </row>
    <row r="135" spans="1:1" s="64" customFormat="1" x14ac:dyDescent="0.35"/>
    <row r="136" spans="1:1" s="65" customFormat="1" ht="14.5" customHeight="1" x14ac:dyDescent="0.35">
      <c r="A136" s="65" t="s">
        <v>207</v>
      </c>
    </row>
    <row r="137" spans="1:1" s="65" customFormat="1" ht="14.5" customHeight="1" x14ac:dyDescent="0.35">
      <c r="A137" s="65" t="s">
        <v>208</v>
      </c>
    </row>
    <row r="138" spans="1:1" s="65" customFormat="1" ht="14.5" customHeight="1" x14ac:dyDescent="0.35">
      <c r="A138" s="65" t="s">
        <v>209</v>
      </c>
    </row>
    <row r="139" spans="1:1" s="64" customFormat="1" x14ac:dyDescent="0.35"/>
    <row r="140" spans="1:1" s="65" customFormat="1" ht="14.5" customHeight="1" x14ac:dyDescent="0.35">
      <c r="A140" s="65" t="s">
        <v>210</v>
      </c>
    </row>
    <row r="141" spans="1:1" s="65" customFormat="1" ht="14.5" customHeight="1" x14ac:dyDescent="0.35">
      <c r="A141" s="65" t="s">
        <v>211</v>
      </c>
    </row>
    <row r="142" spans="1:1" s="65" customFormat="1" ht="14.5" customHeight="1" x14ac:dyDescent="0.35">
      <c r="A142" s="65" t="s">
        <v>212</v>
      </c>
    </row>
    <row r="143" spans="1:1" s="64" customFormat="1" x14ac:dyDescent="0.35"/>
    <row r="144" spans="1:1" s="65" customFormat="1" ht="14.5" customHeight="1" x14ac:dyDescent="0.35">
      <c r="A144" s="65" t="s">
        <v>213</v>
      </c>
    </row>
    <row r="145" spans="1:1" s="65" customFormat="1" ht="14.5" customHeight="1" x14ac:dyDescent="0.35">
      <c r="A145" s="65" t="s">
        <v>214</v>
      </c>
    </row>
    <row r="146" spans="1:1" s="65" customFormat="1" ht="14.5" customHeight="1" x14ac:dyDescent="0.35">
      <c r="A146" s="65" t="s">
        <v>215</v>
      </c>
    </row>
    <row r="147" spans="1:1" s="65" customFormat="1" ht="14.5" customHeight="1" x14ac:dyDescent="0.35">
      <c r="A147" s="65" t="s">
        <v>216</v>
      </c>
    </row>
    <row r="148" spans="1:1" s="65" customFormat="1" ht="14.5" customHeight="1" x14ac:dyDescent="0.35">
      <c r="A148" s="65" t="s">
        <v>217</v>
      </c>
    </row>
    <row r="149" spans="1:1" s="65" customFormat="1" ht="14.5" customHeight="1" x14ac:dyDescent="0.35">
      <c r="A149" s="65" t="s">
        <v>218</v>
      </c>
    </row>
    <row r="150" spans="1:1" s="64" customFormat="1" x14ac:dyDescent="0.35"/>
    <row r="151" spans="1:1" s="65" customFormat="1" ht="14.5" customHeight="1" x14ac:dyDescent="0.35">
      <c r="A151" s="65" t="s">
        <v>219</v>
      </c>
    </row>
    <row r="152" spans="1:1" s="65" customFormat="1" ht="14.5" customHeight="1" x14ac:dyDescent="0.35">
      <c r="A152" s="65" t="s">
        <v>220</v>
      </c>
    </row>
    <row r="153" spans="1:1" s="65" customFormat="1" ht="14.5" customHeight="1" x14ac:dyDescent="0.35">
      <c r="A153" s="65" t="s">
        <v>221</v>
      </c>
    </row>
    <row r="154" spans="1:1" s="65" customFormat="1" ht="14.5" customHeight="1" x14ac:dyDescent="0.35">
      <c r="A154" s="65" t="s">
        <v>222</v>
      </c>
    </row>
    <row r="155" spans="1:1" s="65" customFormat="1" ht="14.5" customHeight="1" x14ac:dyDescent="0.35">
      <c r="A155" s="65" t="s">
        <v>223</v>
      </c>
    </row>
    <row r="156" spans="1:1" s="64" customFormat="1" x14ac:dyDescent="0.35"/>
    <row r="157" spans="1:1" s="65" customFormat="1" ht="14.5" customHeight="1" x14ac:dyDescent="0.35">
      <c r="A157" s="65" t="s">
        <v>224</v>
      </c>
    </row>
    <row r="158" spans="1:1" s="65" customFormat="1" ht="14.5" customHeight="1" x14ac:dyDescent="0.35">
      <c r="A158" s="65" t="s">
        <v>225</v>
      </c>
    </row>
    <row r="159" spans="1:1" s="65" customFormat="1" ht="14.5" customHeight="1" x14ac:dyDescent="0.35">
      <c r="A159" s="65" t="s">
        <v>226</v>
      </c>
    </row>
    <row r="160" spans="1:1" s="65" customFormat="1" ht="14.5" customHeight="1" x14ac:dyDescent="0.35">
      <c r="A160" s="65" t="s">
        <v>227</v>
      </c>
    </row>
    <row r="161" spans="1:1" s="65" customFormat="1" ht="14.5" customHeight="1" x14ac:dyDescent="0.35">
      <c r="A161" s="65" t="s">
        <v>228</v>
      </c>
    </row>
    <row r="162" spans="1:1" s="65" customFormat="1" ht="14.5" customHeight="1" x14ac:dyDescent="0.35">
      <c r="A162" s="65" t="s">
        <v>229</v>
      </c>
    </row>
    <row r="163" spans="1:1" s="65" customFormat="1" ht="14.5" customHeight="1" x14ac:dyDescent="0.35">
      <c r="A163" s="65" t="s">
        <v>230</v>
      </c>
    </row>
    <row r="164" spans="1:1" s="65" customFormat="1" ht="14.5" customHeight="1" x14ac:dyDescent="0.35">
      <c r="A164" s="65" t="s">
        <v>231</v>
      </c>
    </row>
    <row r="165" spans="1:1" s="65" customFormat="1" ht="14.5" customHeight="1" x14ac:dyDescent="0.35">
      <c r="A165" s="65" t="s">
        <v>232</v>
      </c>
    </row>
    <row r="166" spans="1:1" s="65" customFormat="1" ht="14.5" customHeight="1" x14ac:dyDescent="0.35">
      <c r="A166" s="65" t="s">
        <v>233</v>
      </c>
    </row>
    <row r="167" spans="1:1" s="64" customFormat="1" x14ac:dyDescent="0.35"/>
    <row r="168" spans="1:1" s="65" customFormat="1" ht="14.5" customHeight="1" x14ac:dyDescent="0.35">
      <c r="A168" s="65" t="s">
        <v>234</v>
      </c>
    </row>
    <row r="169" spans="1:1" s="65" customFormat="1" ht="14.5" customHeight="1" x14ac:dyDescent="0.35">
      <c r="A169" s="65" t="s">
        <v>235</v>
      </c>
    </row>
    <row r="170" spans="1:1" s="65" customFormat="1" ht="14.5" customHeight="1" x14ac:dyDescent="0.35">
      <c r="A170" s="65" t="s">
        <v>236</v>
      </c>
    </row>
    <row r="171" spans="1:1" s="65" customFormat="1" ht="14.5" customHeight="1" x14ac:dyDescent="0.35">
      <c r="A171" s="65" t="s">
        <v>237</v>
      </c>
    </row>
    <row r="172" spans="1:1" s="65" customFormat="1" ht="14.5" customHeight="1" x14ac:dyDescent="0.35">
      <c r="A172" s="65" t="s">
        <v>238</v>
      </c>
    </row>
    <row r="173" spans="1:1" s="64" customFormat="1" x14ac:dyDescent="0.35"/>
    <row r="174" spans="1:1" s="65" customFormat="1" ht="14.5" customHeight="1" x14ac:dyDescent="0.35">
      <c r="A174" s="65" t="s">
        <v>239</v>
      </c>
    </row>
    <row r="175" spans="1:1" s="65" customFormat="1" ht="14.5" customHeight="1" x14ac:dyDescent="0.35">
      <c r="A175" s="65" t="s">
        <v>240</v>
      </c>
    </row>
    <row r="176" spans="1:1" s="65" customFormat="1" ht="14.5" customHeight="1" x14ac:dyDescent="0.35">
      <c r="A176" s="65" t="s">
        <v>241</v>
      </c>
    </row>
    <row r="177" spans="1:1" s="65" customFormat="1" ht="14.5" customHeight="1" x14ac:dyDescent="0.35">
      <c r="A177" s="65" t="s">
        <v>242</v>
      </c>
    </row>
    <row r="178" spans="1:1" s="65" customFormat="1" ht="14.5" customHeight="1" x14ac:dyDescent="0.35">
      <c r="A178" s="65" t="s">
        <v>243</v>
      </c>
    </row>
    <row r="179" spans="1:1" s="65" customFormat="1" ht="14.5" customHeight="1" x14ac:dyDescent="0.35">
      <c r="A179" s="65" t="s">
        <v>244</v>
      </c>
    </row>
    <row r="180" spans="1:1" s="65" customFormat="1" ht="14.5" customHeight="1" x14ac:dyDescent="0.35">
      <c r="A180" s="65" t="s">
        <v>245</v>
      </c>
    </row>
    <row r="181" spans="1:1" s="64" customFormat="1" x14ac:dyDescent="0.35"/>
    <row r="182" spans="1:1" s="65" customFormat="1" ht="14.5" customHeight="1" x14ac:dyDescent="0.35">
      <c r="A182" s="65" t="s">
        <v>246</v>
      </c>
    </row>
    <row r="183" spans="1:1" s="65" customFormat="1" ht="14.5" customHeight="1" x14ac:dyDescent="0.35">
      <c r="A183" s="65" t="s">
        <v>247</v>
      </c>
    </row>
    <row r="184" spans="1:1" s="65" customFormat="1" ht="14.5" customHeight="1" x14ac:dyDescent="0.35">
      <c r="A184" s="65" t="s">
        <v>248</v>
      </c>
    </row>
    <row r="185" spans="1:1" s="65" customFormat="1" ht="14.5" customHeight="1" x14ac:dyDescent="0.35">
      <c r="A185" s="65" t="s">
        <v>249</v>
      </c>
    </row>
    <row r="186" spans="1:1" s="65" customFormat="1" ht="14.5" customHeight="1" x14ac:dyDescent="0.35">
      <c r="A186" s="65" t="s">
        <v>250</v>
      </c>
    </row>
    <row r="187" spans="1:1" s="65" customFormat="1" ht="14.5" customHeight="1" x14ac:dyDescent="0.35">
      <c r="A187" s="65" t="s">
        <v>251</v>
      </c>
    </row>
    <row r="188" spans="1:1" s="65" customFormat="1" ht="14.5" customHeight="1" x14ac:dyDescent="0.35">
      <c r="A188" s="65" t="s">
        <v>252</v>
      </c>
    </row>
    <row r="189" spans="1:1" s="65" customFormat="1" ht="14.5" customHeight="1" x14ac:dyDescent="0.35">
      <c r="A189" s="65" t="s">
        <v>253</v>
      </c>
    </row>
    <row r="190" spans="1:1" s="64" customFormat="1" x14ac:dyDescent="0.35"/>
    <row r="191" spans="1:1" s="65" customFormat="1" ht="14.5" customHeight="1" x14ac:dyDescent="0.35">
      <c r="A191" s="65" t="s">
        <v>254</v>
      </c>
    </row>
    <row r="192" spans="1:1" s="65" customFormat="1" ht="14.5" customHeight="1" x14ac:dyDescent="0.35">
      <c r="A192" s="65" t="s">
        <v>255</v>
      </c>
    </row>
    <row r="193" spans="1:1" s="65" customFormat="1" ht="14.5" customHeight="1" x14ac:dyDescent="0.35">
      <c r="A193" s="65" t="s">
        <v>256</v>
      </c>
    </row>
    <row r="194" spans="1:1" s="65" customFormat="1" ht="14.5" customHeight="1" x14ac:dyDescent="0.35">
      <c r="A194" s="65" t="s">
        <v>257</v>
      </c>
    </row>
    <row r="195" spans="1:1" s="65" customFormat="1" ht="14.5" customHeight="1" x14ac:dyDescent="0.35">
      <c r="A195" s="65" t="s">
        <v>258</v>
      </c>
    </row>
    <row r="196" spans="1:1" s="65" customFormat="1" ht="14.5" customHeight="1" x14ac:dyDescent="0.35">
      <c r="A196" s="65" t="s">
        <v>259</v>
      </c>
    </row>
    <row r="197" spans="1:1" s="65" customFormat="1" ht="14.5" customHeight="1" x14ac:dyDescent="0.35">
      <c r="A197" s="65" t="s">
        <v>260</v>
      </c>
    </row>
    <row r="198" spans="1:1" s="64" customFormat="1" x14ac:dyDescent="0.35"/>
    <row r="199" spans="1:1" s="65" customFormat="1" ht="14.5" customHeight="1" x14ac:dyDescent="0.35">
      <c r="A199" s="65" t="s">
        <v>261</v>
      </c>
    </row>
    <row r="200" spans="1:1" s="65" customFormat="1" ht="14.5" customHeight="1" x14ac:dyDescent="0.35">
      <c r="A200" s="65" t="s">
        <v>262</v>
      </c>
    </row>
    <row r="201" spans="1:1" s="65" customFormat="1" ht="14.5" customHeight="1" x14ac:dyDescent="0.35">
      <c r="A201" s="65" t="s">
        <v>263</v>
      </c>
    </row>
    <row r="202" spans="1:1" s="65" customFormat="1" ht="14.5" customHeight="1" x14ac:dyDescent="0.35">
      <c r="A202" s="65" t="s">
        <v>264</v>
      </c>
    </row>
    <row r="203" spans="1:1" s="65" customFormat="1" ht="14.5" customHeight="1" x14ac:dyDescent="0.35">
      <c r="A203" s="65" t="s">
        <v>265</v>
      </c>
    </row>
    <row r="204" spans="1:1" s="65" customFormat="1" ht="14.5" customHeight="1" x14ac:dyDescent="0.35">
      <c r="A204" s="65" t="s">
        <v>266</v>
      </c>
    </row>
    <row r="205" spans="1:1" s="65" customFormat="1" ht="14.5" customHeight="1" x14ac:dyDescent="0.35">
      <c r="A205" s="65" t="s">
        <v>267</v>
      </c>
    </row>
    <row r="206" spans="1:1" s="65" customFormat="1" ht="14.5" customHeight="1" x14ac:dyDescent="0.35">
      <c r="A206" s="65" t="s">
        <v>268</v>
      </c>
    </row>
    <row r="207" spans="1:1" s="65" customFormat="1" ht="14.5" customHeight="1" x14ac:dyDescent="0.35">
      <c r="A207" s="65" t="s">
        <v>269</v>
      </c>
    </row>
    <row r="208" spans="1:1" s="65" customFormat="1" ht="14.5" customHeight="1" x14ac:dyDescent="0.35">
      <c r="A208" s="65" t="s">
        <v>270</v>
      </c>
    </row>
    <row r="209" spans="1:1" s="65" customFormat="1" ht="14.5" customHeight="1" x14ac:dyDescent="0.35">
      <c r="A209" s="65" t="s">
        <v>271</v>
      </c>
    </row>
    <row r="210" spans="1:1" s="65" customFormat="1" ht="14.5" customHeight="1" x14ac:dyDescent="0.35">
      <c r="A210" s="65" t="s">
        <v>272</v>
      </c>
    </row>
    <row r="211" spans="1:1" s="64" customFormat="1" x14ac:dyDescent="0.35"/>
    <row r="212" spans="1:1" s="65" customFormat="1" ht="14.5" customHeight="1" x14ac:dyDescent="0.35">
      <c r="A212" s="65" t="s">
        <v>273</v>
      </c>
    </row>
    <row r="213" spans="1:1" s="65" customFormat="1" ht="14.5" customHeight="1" x14ac:dyDescent="0.35">
      <c r="A213" s="65" t="s">
        <v>274</v>
      </c>
    </row>
    <row r="214" spans="1:1" s="65" customFormat="1" ht="14.5" customHeight="1" x14ac:dyDescent="0.35">
      <c r="A214" s="65" t="s">
        <v>275</v>
      </c>
    </row>
    <row r="215" spans="1:1" s="65" customFormat="1" ht="14.5" customHeight="1" x14ac:dyDescent="0.35">
      <c r="A215" s="65" t="s">
        <v>276</v>
      </c>
    </row>
    <row r="216" spans="1:1" s="64" customFormat="1" x14ac:dyDescent="0.35"/>
    <row r="217" spans="1:1" s="65" customFormat="1" ht="14.5" customHeight="1" x14ac:dyDescent="0.35">
      <c r="A217" s="65" t="s">
        <v>277</v>
      </c>
    </row>
    <row r="218" spans="1:1" s="65" customFormat="1" ht="14.5" customHeight="1" x14ac:dyDescent="0.35">
      <c r="A218" s="65" t="s">
        <v>278</v>
      </c>
    </row>
    <row r="219" spans="1:1" s="65" customFormat="1" ht="14.5" customHeight="1" x14ac:dyDescent="0.35">
      <c r="A219" s="65" t="s">
        <v>279</v>
      </c>
    </row>
    <row r="220" spans="1:1" s="65" customFormat="1" ht="14.5" customHeight="1" x14ac:dyDescent="0.35">
      <c r="A220" s="65" t="s">
        <v>280</v>
      </c>
    </row>
    <row r="221" spans="1:1" s="65" customFormat="1" ht="14.5" customHeight="1" x14ac:dyDescent="0.35">
      <c r="A221" s="65" t="s">
        <v>281</v>
      </c>
    </row>
    <row r="222" spans="1:1" s="65" customFormat="1" ht="14.5" customHeight="1" x14ac:dyDescent="0.35">
      <c r="A222" s="65" t="s">
        <v>282</v>
      </c>
    </row>
    <row r="223" spans="1:1" s="65" customFormat="1" ht="14.5" customHeight="1" x14ac:dyDescent="0.35">
      <c r="A223" s="65" t="s">
        <v>283</v>
      </c>
    </row>
    <row r="224" spans="1:1" s="65" customFormat="1" ht="14.5" customHeight="1" x14ac:dyDescent="0.35">
      <c r="A224" s="65" t="s">
        <v>284</v>
      </c>
    </row>
    <row r="225" spans="1:1" s="65" customFormat="1" ht="14.5" customHeight="1" x14ac:dyDescent="0.35">
      <c r="A225" s="65" t="s">
        <v>285</v>
      </c>
    </row>
    <row r="226" spans="1:1" s="65" customFormat="1" ht="14.5" customHeight="1" x14ac:dyDescent="0.35">
      <c r="A226" s="65" t="s">
        <v>286</v>
      </c>
    </row>
    <row r="227" spans="1:1" s="64" customFormat="1" x14ac:dyDescent="0.35"/>
    <row r="228" spans="1:1" s="65" customFormat="1" ht="14.5" customHeight="1" x14ac:dyDescent="0.35">
      <c r="A228" s="65" t="s">
        <v>287</v>
      </c>
    </row>
    <row r="229" spans="1:1" s="65" customFormat="1" ht="14.5" customHeight="1" x14ac:dyDescent="0.35">
      <c r="A229" s="65" t="s">
        <v>288</v>
      </c>
    </row>
    <row r="230" spans="1:1" s="64" customFormat="1" x14ac:dyDescent="0.35"/>
    <row r="231" spans="1:1" s="65" customFormat="1" ht="14.5" customHeight="1" x14ac:dyDescent="0.35">
      <c r="A231" s="65" t="s">
        <v>289</v>
      </c>
    </row>
    <row r="232" spans="1:1" s="65" customFormat="1" ht="14.5" customHeight="1" x14ac:dyDescent="0.35">
      <c r="A232" s="65" t="s">
        <v>290</v>
      </c>
    </row>
    <row r="233" spans="1:1" s="65" customFormat="1" ht="14.5" customHeight="1" x14ac:dyDescent="0.35">
      <c r="A233" s="65" t="s">
        <v>291</v>
      </c>
    </row>
    <row r="234" spans="1:1" s="65" customFormat="1" ht="14.5" customHeight="1" x14ac:dyDescent="0.35">
      <c r="A234" s="65" t="s">
        <v>292</v>
      </c>
    </row>
    <row r="235" spans="1:1" s="65" customFormat="1" ht="14.5" customHeight="1" x14ac:dyDescent="0.35">
      <c r="A235" s="65" t="s">
        <v>293</v>
      </c>
    </row>
    <row r="236" spans="1:1" s="65" customFormat="1" ht="14.5" customHeight="1" x14ac:dyDescent="0.35">
      <c r="A236" s="65" t="s">
        <v>294</v>
      </c>
    </row>
    <row r="237" spans="1:1" s="65" customFormat="1" ht="14.5" customHeight="1" x14ac:dyDescent="0.35">
      <c r="A237" s="65" t="s">
        <v>295</v>
      </c>
    </row>
    <row r="238" spans="1:1" s="64" customFormat="1" x14ac:dyDescent="0.35"/>
    <row r="239" spans="1:1" s="65" customFormat="1" ht="14.5" customHeight="1" x14ac:dyDescent="0.35">
      <c r="A239" s="65" t="s">
        <v>296</v>
      </c>
    </row>
    <row r="240" spans="1:1" s="65" customFormat="1" ht="14.5" customHeight="1" x14ac:dyDescent="0.35">
      <c r="A240" s="65" t="s">
        <v>297</v>
      </c>
    </row>
    <row r="241" spans="1:1" s="65" customFormat="1" ht="14.5" customHeight="1" x14ac:dyDescent="0.35">
      <c r="A241" s="65" t="s">
        <v>298</v>
      </c>
    </row>
    <row r="242" spans="1:1" s="65" customFormat="1" ht="14.5" customHeight="1" x14ac:dyDescent="0.35">
      <c r="A242" s="65" t="s">
        <v>299</v>
      </c>
    </row>
    <row r="243" spans="1:1" s="64" customFormat="1" x14ac:dyDescent="0.35"/>
    <row r="244" spans="1:1" s="65" customFormat="1" ht="14.5" customHeight="1" x14ac:dyDescent="0.35">
      <c r="A244" s="65" t="s">
        <v>300</v>
      </c>
    </row>
    <row r="245" spans="1:1" s="65" customFormat="1" ht="14.5" customHeight="1" x14ac:dyDescent="0.35">
      <c r="A245" s="65" t="s">
        <v>301</v>
      </c>
    </row>
    <row r="246" spans="1:1" s="65" customFormat="1" ht="14.5" customHeight="1" x14ac:dyDescent="0.35">
      <c r="A246" s="65" t="s">
        <v>302</v>
      </c>
    </row>
    <row r="247" spans="1:1" s="65" customFormat="1" ht="14.5" customHeight="1" x14ac:dyDescent="0.35">
      <c r="A247" s="65" t="s">
        <v>303</v>
      </c>
    </row>
    <row r="248" spans="1:1" s="65" customFormat="1" ht="14.5" customHeight="1" x14ac:dyDescent="0.35">
      <c r="A248" s="65" t="s">
        <v>304</v>
      </c>
    </row>
    <row r="249" spans="1:1" s="65" customFormat="1" ht="14.5" customHeight="1" x14ac:dyDescent="0.35">
      <c r="A249" s="65" t="s">
        <v>305</v>
      </c>
    </row>
    <row r="250" spans="1:1" s="65" customFormat="1" ht="14.5" customHeight="1" x14ac:dyDescent="0.35">
      <c r="A250" s="65" t="s">
        <v>306</v>
      </c>
    </row>
    <row r="251" spans="1:1" s="64" customFormat="1" x14ac:dyDescent="0.35"/>
    <row r="252" spans="1:1" s="65" customFormat="1" ht="14.5" customHeight="1" x14ac:dyDescent="0.35">
      <c r="A252" s="65" t="s">
        <v>307</v>
      </c>
    </row>
    <row r="253" spans="1:1" s="65" customFormat="1" ht="14.5" customHeight="1" x14ac:dyDescent="0.35">
      <c r="A253" s="65" t="s">
        <v>308</v>
      </c>
    </row>
    <row r="254" spans="1:1" s="65" customFormat="1" ht="14.5" customHeight="1" x14ac:dyDescent="0.35">
      <c r="A254" s="65" t="s">
        <v>309</v>
      </c>
    </row>
    <row r="255" spans="1:1" s="65" customFormat="1" ht="14.5" customHeight="1" x14ac:dyDescent="0.35">
      <c r="A255" s="65" t="s">
        <v>310</v>
      </c>
    </row>
    <row r="256" spans="1:1" s="65" customFormat="1" ht="14.5" customHeight="1" x14ac:dyDescent="0.35">
      <c r="A256" s="65" t="s">
        <v>311</v>
      </c>
    </row>
    <row r="257" spans="1:1" s="65" customFormat="1" ht="14.5" customHeight="1" x14ac:dyDescent="0.35">
      <c r="A257" s="65" t="s">
        <v>312</v>
      </c>
    </row>
    <row r="258" spans="1:1" s="65" customFormat="1" ht="14.5" customHeight="1" x14ac:dyDescent="0.35">
      <c r="A258" s="65" t="s">
        <v>313</v>
      </c>
    </row>
    <row r="259" spans="1:1" s="64" customFormat="1" x14ac:dyDescent="0.35"/>
    <row r="260" spans="1:1" s="65" customFormat="1" ht="14.5" customHeight="1" x14ac:dyDescent="0.35">
      <c r="A260" s="65" t="s">
        <v>314</v>
      </c>
    </row>
    <row r="261" spans="1:1" s="64" customFormat="1" x14ac:dyDescent="0.35"/>
    <row r="262" spans="1:1" s="65" customFormat="1" ht="14.5" customHeight="1" x14ac:dyDescent="0.35">
      <c r="A262" s="65" t="s">
        <v>315</v>
      </c>
    </row>
    <row r="263" spans="1:1" s="65" customFormat="1" ht="14.5" customHeight="1" x14ac:dyDescent="0.35">
      <c r="A263" s="65" t="s">
        <v>316</v>
      </c>
    </row>
    <row r="264" spans="1:1" s="65" customFormat="1" ht="14.5" customHeight="1" x14ac:dyDescent="0.35">
      <c r="A264" s="65" t="s">
        <v>317</v>
      </c>
    </row>
    <row r="265" spans="1:1" s="65" customFormat="1" ht="14.5" customHeight="1" x14ac:dyDescent="0.35">
      <c r="A265" s="65" t="s">
        <v>318</v>
      </c>
    </row>
    <row r="266" spans="1:1" s="65" customFormat="1" ht="14.5" customHeight="1" x14ac:dyDescent="0.35">
      <c r="A266" s="65" t="s">
        <v>319</v>
      </c>
    </row>
    <row r="267" spans="1:1" s="65" customFormat="1" ht="14.5" customHeight="1" x14ac:dyDescent="0.35">
      <c r="A267" s="65" t="s">
        <v>320</v>
      </c>
    </row>
    <row r="268" spans="1:1" s="65" customFormat="1" ht="14.5" customHeight="1" x14ac:dyDescent="0.35">
      <c r="A268" s="65" t="s">
        <v>321</v>
      </c>
    </row>
    <row r="269" spans="1:1" s="65" customFormat="1" ht="14.5" customHeight="1" x14ac:dyDescent="0.35">
      <c r="A269" s="65" t="s">
        <v>322</v>
      </c>
    </row>
    <row r="270" spans="1:1" s="65" customFormat="1" ht="14.5" customHeight="1" x14ac:dyDescent="0.35">
      <c r="A270" s="65" t="s">
        <v>323</v>
      </c>
    </row>
    <row r="271" spans="1:1" s="64" customFormat="1" x14ac:dyDescent="0.35"/>
    <row r="272" spans="1:1" s="65" customFormat="1" ht="14.5" customHeight="1" x14ac:dyDescent="0.35">
      <c r="A272" s="65" t="s">
        <v>324</v>
      </c>
    </row>
    <row r="273" spans="1:1" s="65" customFormat="1" ht="14.5" customHeight="1" x14ac:dyDescent="0.35">
      <c r="A273" s="65" t="s">
        <v>325</v>
      </c>
    </row>
    <row r="274" spans="1:1" s="65" customFormat="1" ht="14.5" customHeight="1" x14ac:dyDescent="0.35">
      <c r="A274" s="65" t="s">
        <v>326</v>
      </c>
    </row>
    <row r="275" spans="1:1" s="65" customFormat="1" ht="14.5" customHeight="1" x14ac:dyDescent="0.35">
      <c r="A275" s="65" t="s">
        <v>327</v>
      </c>
    </row>
    <row r="276" spans="1:1" s="65" customFormat="1" ht="14.5" customHeight="1" x14ac:dyDescent="0.35">
      <c r="A276" s="65" t="s">
        <v>328</v>
      </c>
    </row>
    <row r="277" spans="1:1" s="65" customFormat="1" ht="14.5" customHeight="1" x14ac:dyDescent="0.35">
      <c r="A277" s="65" t="s">
        <v>329</v>
      </c>
    </row>
    <row r="278" spans="1:1" s="65" customFormat="1" ht="14.5" customHeight="1" x14ac:dyDescent="0.35">
      <c r="A278" s="65" t="s">
        <v>330</v>
      </c>
    </row>
    <row r="279" spans="1:1" s="65" customFormat="1" ht="14.5" customHeight="1" x14ac:dyDescent="0.35">
      <c r="A279" s="65" t="s">
        <v>331</v>
      </c>
    </row>
    <row r="280" spans="1:1" s="65" customFormat="1" ht="14.5" customHeight="1" x14ac:dyDescent="0.35">
      <c r="A280" s="65" t="s">
        <v>332</v>
      </c>
    </row>
    <row r="281" spans="1:1" s="64" customFormat="1" x14ac:dyDescent="0.35"/>
    <row r="282" spans="1:1" s="65" customFormat="1" ht="14.5" customHeight="1" x14ac:dyDescent="0.35">
      <c r="A282" s="65" t="s">
        <v>333</v>
      </c>
    </row>
    <row r="283" spans="1:1" s="64" customFormat="1" x14ac:dyDescent="0.35"/>
    <row r="284" spans="1:1" s="65" customFormat="1" ht="14.5" customHeight="1" x14ac:dyDescent="0.35">
      <c r="A284" s="65" t="s">
        <v>334</v>
      </c>
    </row>
    <row r="285" spans="1:1" s="64" customFormat="1" x14ac:dyDescent="0.35"/>
    <row r="286" spans="1:1" s="65" customFormat="1" ht="14.5" customHeight="1" x14ac:dyDescent="0.35">
      <c r="A286" s="65" t="s">
        <v>335</v>
      </c>
    </row>
    <row r="287" spans="1:1" s="65" customFormat="1" ht="14.5" customHeight="1" x14ac:dyDescent="0.35">
      <c r="A287" s="65" t="s">
        <v>336</v>
      </c>
    </row>
    <row r="288" spans="1:1" s="65" customFormat="1" ht="14.5" customHeight="1" x14ac:dyDescent="0.35">
      <c r="A288" s="65" t="s">
        <v>337</v>
      </c>
    </row>
    <row r="289" spans="1:1" s="64" customFormat="1" x14ac:dyDescent="0.35"/>
    <row r="290" spans="1:1" s="65" customFormat="1" ht="14.5" customHeight="1" x14ac:dyDescent="0.35">
      <c r="A290" s="65" t="s">
        <v>338</v>
      </c>
    </row>
    <row r="291" spans="1:1" s="65" customFormat="1" ht="14.5" customHeight="1" x14ac:dyDescent="0.35">
      <c r="A291" s="65" t="s">
        <v>339</v>
      </c>
    </row>
    <row r="292" spans="1:1" s="65" customFormat="1" ht="14.5" customHeight="1" x14ac:dyDescent="0.35">
      <c r="A292" s="65" t="s">
        <v>340</v>
      </c>
    </row>
    <row r="293" spans="1:1" s="65" customFormat="1" ht="14.5" customHeight="1" x14ac:dyDescent="0.35">
      <c r="A293" s="65" t="s">
        <v>341</v>
      </c>
    </row>
    <row r="294" spans="1:1" s="64" customFormat="1" x14ac:dyDescent="0.35"/>
    <row r="295" spans="1:1" s="65" customFormat="1" ht="14.5" customHeight="1" x14ac:dyDescent="0.35">
      <c r="A295" s="65" t="s">
        <v>342</v>
      </c>
    </row>
    <row r="296" spans="1:1" s="65" customFormat="1" ht="14.5" customHeight="1" x14ac:dyDescent="0.35">
      <c r="A296" s="65" t="s">
        <v>343</v>
      </c>
    </row>
    <row r="297" spans="1:1" s="64" customFormat="1" x14ac:dyDescent="0.35"/>
    <row r="298" spans="1:1" s="65" customFormat="1" ht="14.5" customHeight="1" x14ac:dyDescent="0.35">
      <c r="A298" s="65" t="s">
        <v>344</v>
      </c>
    </row>
    <row r="299" spans="1:1" s="65" customFormat="1" ht="14.5" customHeight="1" x14ac:dyDescent="0.35">
      <c r="A299" s="65" t="s">
        <v>345</v>
      </c>
    </row>
    <row r="300" spans="1:1" s="65" customFormat="1" ht="14.5" customHeight="1" x14ac:dyDescent="0.35">
      <c r="A300" s="65" t="s">
        <v>346</v>
      </c>
    </row>
    <row r="301" spans="1:1" s="65" customFormat="1" ht="14.5" customHeight="1" x14ac:dyDescent="0.35">
      <c r="A301" s="65" t="s">
        <v>347</v>
      </c>
    </row>
    <row r="302" spans="1:1" s="64" customFormat="1" x14ac:dyDescent="0.35"/>
    <row r="303" spans="1:1" s="65" customFormat="1" ht="14.5" customHeight="1" x14ac:dyDescent="0.35">
      <c r="A303" s="65" t="s">
        <v>348</v>
      </c>
    </row>
    <row r="304" spans="1:1" s="65" customFormat="1" ht="14.5" customHeight="1" x14ac:dyDescent="0.35">
      <c r="A304" s="65" t="s">
        <v>349</v>
      </c>
    </row>
    <row r="305" spans="1:1" s="65" customFormat="1" ht="14.5" customHeight="1" x14ac:dyDescent="0.35">
      <c r="A305" s="65" t="s">
        <v>350</v>
      </c>
    </row>
    <row r="306" spans="1:1" s="65" customFormat="1" ht="14.5" customHeight="1" x14ac:dyDescent="0.35">
      <c r="A306" s="65" t="s">
        <v>351</v>
      </c>
    </row>
    <row r="307" spans="1:1" s="64" customFormat="1" x14ac:dyDescent="0.35"/>
    <row r="308" spans="1:1" s="65" customFormat="1" ht="14.5" customHeight="1" x14ac:dyDescent="0.35">
      <c r="A308" s="65" t="s">
        <v>352</v>
      </c>
    </row>
    <row r="309" spans="1:1" s="65" customFormat="1" ht="14.5" customHeight="1" x14ac:dyDescent="0.35">
      <c r="A309" s="65" t="s">
        <v>353</v>
      </c>
    </row>
    <row r="310" spans="1:1" s="64" customFormat="1" x14ac:dyDescent="0.35"/>
    <row r="311" spans="1:1" s="65" customFormat="1" ht="14.5" customHeight="1" x14ac:dyDescent="0.35">
      <c r="A311" s="65" t="s">
        <v>354</v>
      </c>
    </row>
    <row r="312" spans="1:1" s="64" customFormat="1" x14ac:dyDescent="0.35"/>
    <row r="313" spans="1:1" s="65" customFormat="1" ht="14.5" customHeight="1" x14ac:dyDescent="0.35">
      <c r="A313" s="65" t="s">
        <v>355</v>
      </c>
    </row>
    <row r="314" spans="1:1" s="65" customFormat="1" ht="14.5" customHeight="1" x14ac:dyDescent="0.35">
      <c r="A314" s="65" t="s">
        <v>356</v>
      </c>
    </row>
    <row r="315" spans="1:1" s="64" customFormat="1" x14ac:dyDescent="0.35"/>
    <row r="316" spans="1:1" s="65" customFormat="1" ht="14.5" customHeight="1" x14ac:dyDescent="0.35">
      <c r="A316" s="65" t="s">
        <v>357</v>
      </c>
    </row>
    <row r="317" spans="1:1" s="65" customFormat="1" ht="14.5" customHeight="1" x14ac:dyDescent="0.35">
      <c r="A317" s="65" t="s">
        <v>358</v>
      </c>
    </row>
    <row r="318" spans="1:1" s="65" customFormat="1" ht="14.5" customHeight="1" x14ac:dyDescent="0.35">
      <c r="A318" s="65" t="s">
        <v>359</v>
      </c>
    </row>
    <row r="319" spans="1:1" s="65" customFormat="1" ht="14.5" customHeight="1" x14ac:dyDescent="0.35">
      <c r="A319" s="65" t="s">
        <v>360</v>
      </c>
    </row>
    <row r="320" spans="1:1" s="64" customFormat="1" x14ac:dyDescent="0.35"/>
    <row r="321" spans="1:1" s="65" customFormat="1" ht="14.5" customHeight="1" x14ac:dyDescent="0.35">
      <c r="A321" s="65" t="s">
        <v>361</v>
      </c>
    </row>
    <row r="322" spans="1:1" s="65" customFormat="1" ht="14.5" customHeight="1" x14ac:dyDescent="0.35">
      <c r="A322" s="65" t="s">
        <v>362</v>
      </c>
    </row>
    <row r="323" spans="1:1" s="65" customFormat="1" ht="14.5" customHeight="1" x14ac:dyDescent="0.35">
      <c r="A323" s="65" t="s">
        <v>363</v>
      </c>
    </row>
    <row r="324" spans="1:1" s="65" customFormat="1" ht="14.5" customHeight="1" x14ac:dyDescent="0.35">
      <c r="A324" s="65" t="s">
        <v>364</v>
      </c>
    </row>
    <row r="325" spans="1:1" s="64" customFormat="1" x14ac:dyDescent="0.35"/>
    <row r="326" spans="1:1" s="65" customFormat="1" ht="14.5" customHeight="1" x14ac:dyDescent="0.35">
      <c r="A326" s="65" t="s">
        <v>365</v>
      </c>
    </row>
    <row r="327" spans="1:1" s="65" customFormat="1" ht="14.5" customHeight="1" x14ac:dyDescent="0.35">
      <c r="A327" s="65" t="s">
        <v>366</v>
      </c>
    </row>
    <row r="328" spans="1:1" s="65" customFormat="1" ht="14.5" customHeight="1" x14ac:dyDescent="0.35">
      <c r="A328" s="65" t="s">
        <v>367</v>
      </c>
    </row>
    <row r="329" spans="1:1" s="64" customFormat="1" x14ac:dyDescent="0.35"/>
    <row r="330" spans="1:1" s="65" customFormat="1" ht="14.5" customHeight="1" x14ac:dyDescent="0.35">
      <c r="A330" s="65" t="s">
        <v>368</v>
      </c>
    </row>
    <row r="331" spans="1:1" s="65" customFormat="1" ht="14.5" customHeight="1" x14ac:dyDescent="0.35">
      <c r="A331" s="65" t="s">
        <v>369</v>
      </c>
    </row>
    <row r="332" spans="1:1" s="64" customFormat="1" x14ac:dyDescent="0.35"/>
    <row r="333" spans="1:1" s="65" customFormat="1" ht="14.5" customHeight="1" x14ac:dyDescent="0.35">
      <c r="A333" s="65" t="s">
        <v>370</v>
      </c>
    </row>
    <row r="334" spans="1:1" s="65" customFormat="1" ht="14.5" customHeight="1" x14ac:dyDescent="0.35">
      <c r="A334" s="65" t="s">
        <v>371</v>
      </c>
    </row>
    <row r="335" spans="1:1" s="64" customFormat="1" x14ac:dyDescent="0.35"/>
    <row r="336" spans="1:1" s="65" customFormat="1" ht="14.5" customHeight="1" x14ac:dyDescent="0.35">
      <c r="A336" s="65" t="s">
        <v>372</v>
      </c>
    </row>
    <row r="337" spans="1:1" s="65" customFormat="1" ht="14.5" customHeight="1" x14ac:dyDescent="0.35">
      <c r="A337" s="65" t="s">
        <v>373</v>
      </c>
    </row>
    <row r="338" spans="1:1" s="65" customFormat="1" ht="14.5" customHeight="1" x14ac:dyDescent="0.35">
      <c r="A338" s="65" t="s">
        <v>374</v>
      </c>
    </row>
    <row r="339" spans="1:1" s="65" customFormat="1" ht="14.5" customHeight="1" x14ac:dyDescent="0.35">
      <c r="A339" s="65" t="s">
        <v>375</v>
      </c>
    </row>
    <row r="340" spans="1:1" s="65" customFormat="1" ht="14.5" customHeight="1" x14ac:dyDescent="0.35">
      <c r="A340" s="65" t="s">
        <v>376</v>
      </c>
    </row>
  </sheetData>
  <mergeCells count="340">
    <mergeCell ref="A1:XFD1"/>
    <mergeCell ref="A336:XFD336"/>
    <mergeCell ref="A337:XFD337"/>
    <mergeCell ref="A338:XFD338"/>
    <mergeCell ref="A339:XFD339"/>
    <mergeCell ref="A340:XFD340"/>
    <mergeCell ref="A2:XFD2"/>
    <mergeCell ref="A330:XFD330"/>
    <mergeCell ref="A331:XFD331"/>
    <mergeCell ref="A332:XFD332"/>
    <mergeCell ref="A333:XFD333"/>
    <mergeCell ref="A334:XFD334"/>
    <mergeCell ref="A335:XFD335"/>
    <mergeCell ref="A324:XFD324"/>
    <mergeCell ref="A325:XFD325"/>
    <mergeCell ref="A326:XFD326"/>
    <mergeCell ref="A327:XFD327"/>
    <mergeCell ref="A328:XFD328"/>
    <mergeCell ref="A329:XFD329"/>
    <mergeCell ref="A318:XFD318"/>
    <mergeCell ref="A319:XFD319"/>
    <mergeCell ref="A320:XFD320"/>
    <mergeCell ref="A321:XFD321"/>
    <mergeCell ref="A322:XFD322"/>
    <mergeCell ref="A323:XFD323"/>
    <mergeCell ref="A312:XFD312"/>
    <mergeCell ref="A313:XFD313"/>
    <mergeCell ref="A314:XFD314"/>
    <mergeCell ref="A315:XFD315"/>
    <mergeCell ref="A316:XFD316"/>
    <mergeCell ref="A317:XFD317"/>
    <mergeCell ref="A306:XFD306"/>
    <mergeCell ref="A307:XFD307"/>
    <mergeCell ref="A308:XFD308"/>
    <mergeCell ref="A309:XFD309"/>
    <mergeCell ref="A310:XFD310"/>
    <mergeCell ref="A311:XFD311"/>
    <mergeCell ref="A300:XFD300"/>
    <mergeCell ref="A301:XFD301"/>
    <mergeCell ref="A302:XFD302"/>
    <mergeCell ref="A303:XFD303"/>
    <mergeCell ref="A304:XFD304"/>
    <mergeCell ref="A305:XFD305"/>
    <mergeCell ref="A294:XFD294"/>
    <mergeCell ref="A295:XFD295"/>
    <mergeCell ref="A296:XFD296"/>
    <mergeCell ref="A297:XFD297"/>
    <mergeCell ref="A298:XFD298"/>
    <mergeCell ref="A299:XFD299"/>
    <mergeCell ref="A288:XFD288"/>
    <mergeCell ref="A289:XFD289"/>
    <mergeCell ref="A290:XFD290"/>
    <mergeCell ref="A291:XFD291"/>
    <mergeCell ref="A292:XFD292"/>
    <mergeCell ref="A293:XFD293"/>
    <mergeCell ref="A282:XFD282"/>
    <mergeCell ref="A283:XFD283"/>
    <mergeCell ref="A284:XFD284"/>
    <mergeCell ref="A285:XFD285"/>
    <mergeCell ref="A286:XFD286"/>
    <mergeCell ref="A287:XFD287"/>
    <mergeCell ref="A276:XFD276"/>
    <mergeCell ref="A277:XFD277"/>
    <mergeCell ref="A278:XFD278"/>
    <mergeCell ref="A279:XFD279"/>
    <mergeCell ref="A280:XFD280"/>
    <mergeCell ref="A281:XFD281"/>
    <mergeCell ref="A270:XFD270"/>
    <mergeCell ref="A271:XFD271"/>
    <mergeCell ref="A272:XFD272"/>
    <mergeCell ref="A273:XFD273"/>
    <mergeCell ref="A274:XFD274"/>
    <mergeCell ref="A275:XFD275"/>
    <mergeCell ref="A264:XFD264"/>
    <mergeCell ref="A265:XFD265"/>
    <mergeCell ref="A266:XFD266"/>
    <mergeCell ref="A267:XFD267"/>
    <mergeCell ref="A268:XFD268"/>
    <mergeCell ref="A269:XFD269"/>
    <mergeCell ref="A258:XFD258"/>
    <mergeCell ref="A259:XFD259"/>
    <mergeCell ref="A260:XFD260"/>
    <mergeCell ref="A261:XFD261"/>
    <mergeCell ref="A262:XFD262"/>
    <mergeCell ref="A263:XFD263"/>
    <mergeCell ref="A252:XFD252"/>
    <mergeCell ref="A253:XFD253"/>
    <mergeCell ref="A254:XFD254"/>
    <mergeCell ref="A255:XFD255"/>
    <mergeCell ref="A256:XFD256"/>
    <mergeCell ref="A257:XFD257"/>
    <mergeCell ref="A246:XFD246"/>
    <mergeCell ref="A247:XFD247"/>
    <mergeCell ref="A248:XFD248"/>
    <mergeCell ref="A249:XFD249"/>
    <mergeCell ref="A250:XFD250"/>
    <mergeCell ref="A251:XFD251"/>
    <mergeCell ref="A240:XFD240"/>
    <mergeCell ref="A241:XFD241"/>
    <mergeCell ref="A242:XFD242"/>
    <mergeCell ref="A243:XFD243"/>
    <mergeCell ref="A244:XFD244"/>
    <mergeCell ref="A245:XFD245"/>
    <mergeCell ref="A234:XFD234"/>
    <mergeCell ref="A235:XFD235"/>
    <mergeCell ref="A236:XFD236"/>
    <mergeCell ref="A237:XFD237"/>
    <mergeCell ref="A238:XFD238"/>
    <mergeCell ref="A239:XFD239"/>
    <mergeCell ref="A228:XFD228"/>
    <mergeCell ref="A229:XFD229"/>
    <mergeCell ref="A230:XFD230"/>
    <mergeCell ref="A231:XFD231"/>
    <mergeCell ref="A232:XFD232"/>
    <mergeCell ref="A233:XFD233"/>
    <mergeCell ref="A222:XFD222"/>
    <mergeCell ref="A223:XFD223"/>
    <mergeCell ref="A224:XFD224"/>
    <mergeCell ref="A225:XFD225"/>
    <mergeCell ref="A226:XFD226"/>
    <mergeCell ref="A227:XFD227"/>
    <mergeCell ref="A216:XFD216"/>
    <mergeCell ref="A217:XFD217"/>
    <mergeCell ref="A218:XFD218"/>
    <mergeCell ref="A219:XFD219"/>
    <mergeCell ref="A220:XFD220"/>
    <mergeCell ref="A221:XFD221"/>
    <mergeCell ref="A210:XFD210"/>
    <mergeCell ref="A211:XFD211"/>
    <mergeCell ref="A212:XFD212"/>
    <mergeCell ref="A213:XFD213"/>
    <mergeCell ref="A214:XFD214"/>
    <mergeCell ref="A215:XFD215"/>
    <mergeCell ref="A204:XFD204"/>
    <mergeCell ref="A205:XFD205"/>
    <mergeCell ref="A206:XFD206"/>
    <mergeCell ref="A207:XFD207"/>
    <mergeCell ref="A208:XFD208"/>
    <mergeCell ref="A209:XFD209"/>
    <mergeCell ref="A198:XFD198"/>
    <mergeCell ref="A199:XFD199"/>
    <mergeCell ref="A200:XFD200"/>
    <mergeCell ref="A201:XFD201"/>
    <mergeCell ref="A202:XFD202"/>
    <mergeCell ref="A203:XFD203"/>
    <mergeCell ref="A192:XFD192"/>
    <mergeCell ref="A193:XFD193"/>
    <mergeCell ref="A194:XFD194"/>
    <mergeCell ref="A195:XFD195"/>
    <mergeCell ref="A196:XFD196"/>
    <mergeCell ref="A197:XFD197"/>
    <mergeCell ref="A186:XFD186"/>
    <mergeCell ref="A187:XFD187"/>
    <mergeCell ref="A188:XFD188"/>
    <mergeCell ref="A189:XFD189"/>
    <mergeCell ref="A190:XFD190"/>
    <mergeCell ref="A191:XFD191"/>
    <mergeCell ref="A180:XFD180"/>
    <mergeCell ref="A181:XFD181"/>
    <mergeCell ref="A182:XFD182"/>
    <mergeCell ref="A183:XFD183"/>
    <mergeCell ref="A184:XFD184"/>
    <mergeCell ref="A185:XFD185"/>
    <mergeCell ref="A174:XFD174"/>
    <mergeCell ref="A175:XFD175"/>
    <mergeCell ref="A176:XFD176"/>
    <mergeCell ref="A177:XFD177"/>
    <mergeCell ref="A178:XFD178"/>
    <mergeCell ref="A179:XFD179"/>
    <mergeCell ref="A168:XFD168"/>
    <mergeCell ref="A169:XFD169"/>
    <mergeCell ref="A170:XFD170"/>
    <mergeCell ref="A171:XFD171"/>
    <mergeCell ref="A172:XFD172"/>
    <mergeCell ref="A173:XFD173"/>
    <mergeCell ref="A162:XFD162"/>
    <mergeCell ref="A163:XFD163"/>
    <mergeCell ref="A164:XFD164"/>
    <mergeCell ref="A165:XFD165"/>
    <mergeCell ref="A166:XFD166"/>
    <mergeCell ref="A167:XFD167"/>
    <mergeCell ref="A156:XFD156"/>
    <mergeCell ref="A157:XFD157"/>
    <mergeCell ref="A158:XFD158"/>
    <mergeCell ref="A159:XFD159"/>
    <mergeCell ref="A160:XFD160"/>
    <mergeCell ref="A161:XFD161"/>
    <mergeCell ref="A150:XFD150"/>
    <mergeCell ref="A151:XFD151"/>
    <mergeCell ref="A152:XFD152"/>
    <mergeCell ref="A153:XFD153"/>
    <mergeCell ref="A154:XFD154"/>
    <mergeCell ref="A155:XFD155"/>
    <mergeCell ref="A144:XFD144"/>
    <mergeCell ref="A145:XFD145"/>
    <mergeCell ref="A146:XFD146"/>
    <mergeCell ref="A147:XFD147"/>
    <mergeCell ref="A148:XFD148"/>
    <mergeCell ref="A149:XFD149"/>
    <mergeCell ref="A138:XFD138"/>
    <mergeCell ref="A139:XFD139"/>
    <mergeCell ref="A140:XFD140"/>
    <mergeCell ref="A141:XFD141"/>
    <mergeCell ref="A142:XFD142"/>
    <mergeCell ref="A143:XFD143"/>
    <mergeCell ref="A132:XFD132"/>
    <mergeCell ref="A133:XFD133"/>
    <mergeCell ref="A134:XFD134"/>
    <mergeCell ref="A135:XFD135"/>
    <mergeCell ref="A136:XFD136"/>
    <mergeCell ref="A137:XFD137"/>
    <mergeCell ref="A126:XFD126"/>
    <mergeCell ref="A127:XFD127"/>
    <mergeCell ref="A128:XFD128"/>
    <mergeCell ref="A129:XFD129"/>
    <mergeCell ref="A130:XFD130"/>
    <mergeCell ref="A131:XFD131"/>
    <mergeCell ref="A120:XFD120"/>
    <mergeCell ref="A121:XFD121"/>
    <mergeCell ref="A122:XFD122"/>
    <mergeCell ref="A123:XFD123"/>
    <mergeCell ref="A124:XFD124"/>
    <mergeCell ref="A125:XFD125"/>
    <mergeCell ref="A114:XFD114"/>
    <mergeCell ref="A115:XFD115"/>
    <mergeCell ref="A116:XFD116"/>
    <mergeCell ref="A117:XFD117"/>
    <mergeCell ref="A118:XFD118"/>
    <mergeCell ref="A119:XFD119"/>
    <mergeCell ref="A108:XFD108"/>
    <mergeCell ref="A109:XFD109"/>
    <mergeCell ref="A110:XFD110"/>
    <mergeCell ref="A111:XFD111"/>
    <mergeCell ref="A112:XFD112"/>
    <mergeCell ref="A113:XFD113"/>
    <mergeCell ref="A102:XFD102"/>
    <mergeCell ref="A103:XFD103"/>
    <mergeCell ref="A104:XFD104"/>
    <mergeCell ref="A105:XFD105"/>
    <mergeCell ref="A106:XFD106"/>
    <mergeCell ref="A107:XFD107"/>
    <mergeCell ref="A96:XFD96"/>
    <mergeCell ref="A97:XFD97"/>
    <mergeCell ref="A98:XFD98"/>
    <mergeCell ref="A99:XFD99"/>
    <mergeCell ref="A100:XFD100"/>
    <mergeCell ref="A101:XFD101"/>
    <mergeCell ref="A90:XFD90"/>
    <mergeCell ref="A91:XFD91"/>
    <mergeCell ref="A92:XFD92"/>
    <mergeCell ref="A93:XFD93"/>
    <mergeCell ref="A94:XFD94"/>
    <mergeCell ref="A95:XFD95"/>
    <mergeCell ref="A84:XFD84"/>
    <mergeCell ref="A85:XFD85"/>
    <mergeCell ref="A86:XFD86"/>
    <mergeCell ref="A87:XFD87"/>
    <mergeCell ref="A88:XFD88"/>
    <mergeCell ref="A89:XFD89"/>
    <mergeCell ref="A78:XFD78"/>
    <mergeCell ref="A79:XFD79"/>
    <mergeCell ref="A80:XFD80"/>
    <mergeCell ref="A81:XFD81"/>
    <mergeCell ref="A82:XFD82"/>
    <mergeCell ref="A83:XFD83"/>
    <mergeCell ref="A72:XFD72"/>
    <mergeCell ref="A73:XFD73"/>
    <mergeCell ref="A74:XFD74"/>
    <mergeCell ref="A75:XFD75"/>
    <mergeCell ref="A76:XFD76"/>
    <mergeCell ref="A77:XFD77"/>
    <mergeCell ref="A66:XFD66"/>
    <mergeCell ref="A67:XFD67"/>
    <mergeCell ref="A68:XFD68"/>
    <mergeCell ref="A69:XFD69"/>
    <mergeCell ref="A70:XFD70"/>
    <mergeCell ref="A71:XFD71"/>
    <mergeCell ref="A60:XFD60"/>
    <mergeCell ref="A61:XFD61"/>
    <mergeCell ref="A62:XFD62"/>
    <mergeCell ref="A63:XFD63"/>
    <mergeCell ref="A64:XFD64"/>
    <mergeCell ref="A65:XFD65"/>
    <mergeCell ref="A54:XFD54"/>
    <mergeCell ref="A55:XFD55"/>
    <mergeCell ref="A56:XFD56"/>
    <mergeCell ref="A57:XFD57"/>
    <mergeCell ref="A58:XFD58"/>
    <mergeCell ref="A59:XFD59"/>
    <mergeCell ref="A48:XFD48"/>
    <mergeCell ref="A49:XFD49"/>
    <mergeCell ref="A50:XFD50"/>
    <mergeCell ref="A51:XFD51"/>
    <mergeCell ref="A52:XFD52"/>
    <mergeCell ref="A53:XFD53"/>
    <mergeCell ref="A42:XFD42"/>
    <mergeCell ref="A43:XFD43"/>
    <mergeCell ref="A44:XFD44"/>
    <mergeCell ref="A45:XFD45"/>
    <mergeCell ref="A46:XFD46"/>
    <mergeCell ref="A47:XFD47"/>
    <mergeCell ref="A36:XFD36"/>
    <mergeCell ref="A37:XFD37"/>
    <mergeCell ref="A38:XFD38"/>
    <mergeCell ref="A39:XFD39"/>
    <mergeCell ref="A40:XFD40"/>
    <mergeCell ref="A41:XFD41"/>
    <mergeCell ref="A30:XFD30"/>
    <mergeCell ref="A31:XFD31"/>
    <mergeCell ref="A32:XFD32"/>
    <mergeCell ref="A33:XFD33"/>
    <mergeCell ref="A34:XFD34"/>
    <mergeCell ref="A35:XFD35"/>
    <mergeCell ref="A24:XFD24"/>
    <mergeCell ref="A25:XFD25"/>
    <mergeCell ref="A26:XFD26"/>
    <mergeCell ref="A27:XFD27"/>
    <mergeCell ref="A28:XFD28"/>
    <mergeCell ref="A29:XFD29"/>
    <mergeCell ref="A18:XFD18"/>
    <mergeCell ref="A19:XFD19"/>
    <mergeCell ref="A20:XFD20"/>
    <mergeCell ref="A21:XFD21"/>
    <mergeCell ref="A22:XFD22"/>
    <mergeCell ref="A23:XFD23"/>
    <mergeCell ref="A12:XFD12"/>
    <mergeCell ref="A13:XFD13"/>
    <mergeCell ref="A14:XFD14"/>
    <mergeCell ref="A15:XFD15"/>
    <mergeCell ref="A16:XFD16"/>
    <mergeCell ref="A17:XFD17"/>
    <mergeCell ref="A3:XFD3"/>
    <mergeCell ref="A4:XFD4"/>
    <mergeCell ref="A5:XFD5"/>
    <mergeCell ref="A6:XFD6"/>
    <mergeCell ref="A7:XFD7"/>
    <mergeCell ref="A8:XFD8"/>
    <mergeCell ref="A9:XFD9"/>
    <mergeCell ref="A10:XFD10"/>
    <mergeCell ref="A11:XF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Mii List</vt:lpstr>
      <vt:lpstr>Relationship Analysis</vt:lpstr>
      <vt:lpstr>Matching Engine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Reel, Robin</dc:creator>
  <dc:description/>
  <cp:lastModifiedBy>Reel, Robin</cp:lastModifiedBy>
  <cp:revision>0</cp:revision>
  <dcterms:created xsi:type="dcterms:W3CDTF">2026-02-14T16:59:01Z</dcterms:created>
  <dcterms:modified xsi:type="dcterms:W3CDTF">2026-02-15T04:04:23Z</dcterms:modified>
  <dc:language>en-US</dc:language>
</cp:coreProperties>
</file>